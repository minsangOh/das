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4" lowestEdited="4" rupBuild="4506"/>
  <workbookPr codeName="ThisWorkbook" defaultThemeVersion="166925"/>
  <bookViews>
    <workbookView/>
  </bookViews>
  <sheets>
    <sheet name="절압지도서" sheetId="1" r:id="rId1"/>
    <sheet name="PT" sheetId="2" r:id="rId2"/>
    <sheet name="DATA(STRIP LENGTH)" sheetId="3" r:id="rId3"/>
    <sheet name="인장력" sheetId="4" r:id="rId4"/>
    <sheet name="이원화" sheetId="5" r:id="rId5"/>
  </sheets>
  <externalReferences>
    <externalReference r:id="rId6"/>
    <externalReference r:id="rId7"/>
  </externalReferences>
  <definedNames>
    <definedName name="_xlnm._FilterDatabase" comment="" localSheetId="1">PT!$A$3:$M$21</definedName>
    <definedName name="_xlnm._FilterDatabase" comment="" localSheetId="0">절압지도서!$A$27:$W$82</definedName>
    <definedName name="_xlnm.Print_Area" comment="" localSheetId="1">PT!$A$1:$K$21</definedName>
    <definedName name="_xlnm.Print_Area" comment="" localSheetId="0">절압지도서!$B$1:$N$83</definedName>
    <definedName name="_xlnm.Print_Titles" comment="" localSheetId="0">절압지도서!$25:$27</definedName>
  </definedNames>
  <calcPr fullPrecision="1" calcId="125725"/>
</workbook>
</file>

<file path=xl/sharedStrings.xml><?xml version="1.0" encoding="utf-8"?>
<sst xmlns="http://schemas.openxmlformats.org/spreadsheetml/2006/main" uniqueCount="1019" count="2141">
  <si>
    <t>작  업  지  도  서 ( Work Sheet)</t>
  </si>
  <si>
    <t xml:space="preserve">                          절 단  및  압 착 (Cut and Crimp)</t>
  </si>
  <si>
    <t>㈜세림전자 (SerimElectronics)</t>
  </si>
  <si>
    <t>양식No</t>
  </si>
  <si>
    <t>SLQD-250406</t>
  </si>
  <si>
    <t>제품(PRODUCT)</t>
  </si>
  <si>
    <t>얼음정수기</t>
  </si>
  <si>
    <t>PJT</t>
  </si>
  <si>
    <t>RWP90H</t>
  </si>
  <si>
    <t>CODE</t>
  </si>
  <si>
    <t>DA96-01767C</t>
  </si>
  <si>
    <t>개정 내용
(Revised content)</t>
  </si>
  <si>
    <t>NO</t>
  </si>
  <si>
    <t>일 자
(Date)</t>
  </si>
  <si>
    <t>내  용
(Content)</t>
  </si>
  <si>
    <t>작성
(DESIGN)</t>
  </si>
  <si>
    <t>검토
(CHECK)</t>
  </si>
  <si>
    <t>승인
(APPROV)</t>
  </si>
  <si>
    <t>비      고
(Bignoran)</t>
  </si>
  <si>
    <t>신규제정</t>
  </si>
  <si>
    <t>오민상</t>
  </si>
  <si>
    <t>김준범</t>
  </si>
  <si>
    <t>제빙기, 디스펜서 JOINT 전선 길이 단축</t>
  </si>
  <si>
    <t>제빙기, 디스펜서 STEP VALVE JOINT 전선 길이 변경</t>
  </si>
  <si>
    <t>하우징 사양, 전선 길이 변경, 68번 전선 추가</t>
  </si>
  <si>
    <t>54,55번전선 삭제, 52번 전선 핀맵 위치 변경</t>
  </si>
  <si>
    <t>제빙기 커넥터 사양 변경, 전선 길이, 정형 변경</t>
  </si>
  <si>
    <t>커넥터 변경(연호 --&gt; KET), 전선 길이 변경, PVC 튜브 추가</t>
  </si>
  <si>
    <t>제빙기, 디스펜서 조인트 길이 단축</t>
  </si>
  <si>
    <t>품 질 POINT
(Quality POINT)</t>
  </si>
  <si>
    <t xml:space="preserve"> 심선절단 (A core wire cutting)
  - 절연피복 STRIP시 심선에 흠 또는 그로인한 심선의 끊어짐이 없도록 할 것. (In case of insulation STRIP, make sure that the core is not damaged or broken.)
 압착상태 (pressed condition)
  - 심선압착부 내측에 유지류 또는 기타 이물질이 없을 것. (Core apchakppu inner will not be fat and oils or other debris.)
  - 압착시 심선 압착부의 이음매에 심선의 일부가빠져 나오지 말 것. (Do not remove any part of the heart from the seam of the heart's compression section when)
  - 절연 피복의 일부가 심선 압착부에 들어가지 말 것. (Do not allow any part of the insulation to enter the core compression section.)
  - 압착부 절연피복은 절연피복 압착부에 고정될 것. (The insulation of the compression part shall be fixed to the insulation compression part.)
 외 관 (The external appearance)
  - 사용상 문제가 없을 것. (No problem in use.)</t>
  </si>
  <si>
    <t>측정 주기
(Measurement cycle)</t>
  </si>
  <si>
    <t>초, 중, 종물</t>
  </si>
  <si>
    <t>측정 값
(Measured value)</t>
  </si>
  <si>
    <t>탈피 길이,인장력
(Strip Length, tensile strength)</t>
  </si>
  <si>
    <t>단        자
(Terminal)</t>
  </si>
  <si>
    <t>품 명
(Product name)</t>
  </si>
  <si>
    <t>WIRE SPEC
(mm)</t>
  </si>
  <si>
    <t>Wire Strip Length
(mm)</t>
  </si>
  <si>
    <t>Tensile strength
(kgf)</t>
  </si>
  <si>
    <t>A</t>
  </si>
  <si>
    <t>B</t>
  </si>
  <si>
    <t>Strip Length</t>
  </si>
  <si>
    <t>이원화 자재</t>
  </si>
  <si>
    <t>규    격</t>
  </si>
  <si>
    <t>색상</t>
  </si>
  <si>
    <t>길이</t>
  </si>
  <si>
    <t>원수</t>
  </si>
  <si>
    <t>방법</t>
  </si>
  <si>
    <t>START</t>
  </si>
  <si>
    <t>END</t>
  </si>
  <si>
    <t xml:space="preserve">1767C-1
</t>
  </si>
  <si>
    <t>1007#24/A</t>
  </si>
  <si>
    <t>RED</t>
  </si>
  <si>
    <t>ST731509-3T</t>
  </si>
  <si>
    <t>ST731454-3SS</t>
  </si>
  <si>
    <t>CN40 #1</t>
  </si>
  <si>
    <t>MAIN PBA JOINT #9</t>
  </si>
  <si>
    <t>CN40 #3</t>
  </si>
  <si>
    <t>MAIN PBA JOINT #10</t>
  </si>
  <si>
    <t>BLK</t>
  </si>
  <si>
    <t>CN40 #5</t>
  </si>
  <si>
    <t>MAIN PBA JOINT #7</t>
  </si>
  <si>
    <t>CN40 #7</t>
  </si>
  <si>
    <t>MAIN PBA JOINT #8</t>
  </si>
  <si>
    <t>2468#26 2C (BLK/WHT)</t>
  </si>
  <si>
    <t>ST741461-3T</t>
  </si>
  <si>
    <t>CN40 #6</t>
  </si>
  <si>
    <t>STEP VALVE JOINT #11</t>
  </si>
  <si>
    <t>WHT</t>
  </si>
  <si>
    <t>CN40 #8</t>
  </si>
  <si>
    <t>STEP VALVE JOINT #12</t>
  </si>
  <si>
    <t>1007#26/A</t>
  </si>
  <si>
    <t>BLU</t>
  </si>
  <si>
    <t>CN40 #18</t>
  </si>
  <si>
    <t>MAIN PBA JOINT 2 #5</t>
  </si>
  <si>
    <t>CN40 #20</t>
  </si>
  <si>
    <t>MAIN PBA JOINT 2 #7</t>
  </si>
  <si>
    <t>CN40 #22</t>
  </si>
  <si>
    <t>MAIN PBA JOINT 2 #4</t>
  </si>
  <si>
    <t>CN40 #24</t>
  </si>
  <si>
    <t>MAIN PBA JOINT 2 #6</t>
  </si>
  <si>
    <t>2468#26 2C (ORG/WHT)</t>
  </si>
  <si>
    <t>ORG</t>
  </si>
  <si>
    <t>SXA-001T-P0.6L</t>
  </si>
  <si>
    <t>CN40 #15</t>
  </si>
  <si>
    <t>ASSY 제빙기 JOINT #2</t>
  </si>
  <si>
    <t>CN40 #17</t>
  </si>
  <si>
    <t>ASSY 제빙기 JOINT #1</t>
  </si>
  <si>
    <t>W/RED</t>
  </si>
  <si>
    <t>CN40 #27</t>
  </si>
  <si>
    <t>ASSY 제빙기 JOINT #3</t>
  </si>
  <si>
    <t>2468#26 3C (BLK/WHT)</t>
  </si>
  <si>
    <t>CN40 #9</t>
  </si>
  <si>
    <t>디스펜서 JOINT #1</t>
  </si>
  <si>
    <t>CN40 #11</t>
  </si>
  <si>
    <t>디스펜서 JOINT #2</t>
  </si>
  <si>
    <t>CN40 #13</t>
  </si>
  <si>
    <t>디스펜서 JOINT #3</t>
  </si>
  <si>
    <t xml:space="preserve">1767C-2
</t>
  </si>
  <si>
    <t>2468#26 5C (ORG/WHT)</t>
  </si>
  <si>
    <t>CN50 #1</t>
  </si>
  <si>
    <t>STEP VALVE JOINT #1</t>
  </si>
  <si>
    <t>CN50 #3</t>
  </si>
  <si>
    <t>STEP VALVE JOINT #2</t>
  </si>
  <si>
    <t>CN50 #5</t>
  </si>
  <si>
    <t>STEP VALVE JOINT #3</t>
  </si>
  <si>
    <t>CN50 #7</t>
  </si>
  <si>
    <t>STEP VALVE JOINT #4</t>
  </si>
  <si>
    <t>CN50 #9</t>
  </si>
  <si>
    <t>STEP VALVE JOINT #5</t>
  </si>
  <si>
    <t>2468#26 5C (BLK/WHT)</t>
  </si>
  <si>
    <t>CN50 #11</t>
  </si>
  <si>
    <t>STEP VALVE JOINT #6</t>
  </si>
  <si>
    <t>CN50 #13</t>
  </si>
  <si>
    <t>STEP VALVE JOINT #7</t>
  </si>
  <si>
    <t>CN50 #15</t>
  </si>
  <si>
    <t>STEP VALVE JOINT #8</t>
  </si>
  <si>
    <t>CN50 #17</t>
  </si>
  <si>
    <t>STEP VALVE JOINT #9</t>
  </si>
  <si>
    <t>CN50 #19</t>
  </si>
  <si>
    <t>STEP VALVE JOINT #10</t>
  </si>
  <si>
    <t>1007#22/A</t>
  </si>
  <si>
    <t>GRN</t>
  </si>
  <si>
    <t>ST731509-3S</t>
  </si>
  <si>
    <t>CN50 #21</t>
  </si>
  <si>
    <t>디스펜서 JOINT #6</t>
  </si>
  <si>
    <t>CN50 #23</t>
  </si>
  <si>
    <t>디스펜서 JOINT #7</t>
  </si>
  <si>
    <t>CN50 #2</t>
  </si>
  <si>
    <t>ASSY 제빙기 JOINT #5</t>
  </si>
  <si>
    <t>CN50 #4</t>
  </si>
  <si>
    <t>ASSY 제빙기 JOINT #6</t>
  </si>
  <si>
    <t>CN50 #6</t>
  </si>
  <si>
    <t>ASSY 제빙기 JOINT #7</t>
  </si>
  <si>
    <t>CN50 #8</t>
  </si>
  <si>
    <t>ASSY 제빙기 JOINT #8</t>
  </si>
  <si>
    <t>CN50 #10</t>
  </si>
  <si>
    <t>ASSY 제빙기 JOINT #9</t>
  </si>
  <si>
    <t>2468#26 6C (ORG/WHT)</t>
  </si>
  <si>
    <t>CN50 #16</t>
  </si>
  <si>
    <t>ASSY 제빙기 JOINT #10</t>
  </si>
  <si>
    <t>CN50 #18</t>
  </si>
  <si>
    <t>ASSY 제빙기 JOINT #11</t>
  </si>
  <si>
    <t>CN50 #20</t>
  </si>
  <si>
    <t>ASSY 제빙기 JOINT #12</t>
  </si>
  <si>
    <t>CN50 #22</t>
  </si>
  <si>
    <t>ASSY 제빙기 JOINT #13</t>
  </si>
  <si>
    <t>CN50 #24</t>
  </si>
  <si>
    <t>ASSY 제빙기 JOINT #14</t>
  </si>
  <si>
    <t>CN50 #26</t>
  </si>
  <si>
    <t>ASSY 제빙기 JOINT #15</t>
  </si>
  <si>
    <t>CN50 #25</t>
  </si>
  <si>
    <t>ASSY 제빙기 JOINT #16</t>
  </si>
  <si>
    <t xml:space="preserve">1767C-3
</t>
  </si>
  <si>
    <t>CN60 #21</t>
  </si>
  <si>
    <t>MAIN PBA JOINT 2 #1</t>
  </si>
  <si>
    <t>CN60 #19</t>
  </si>
  <si>
    <t>MAIN PBA JOINT 2 #2</t>
  </si>
  <si>
    <t>CN60 #1</t>
  </si>
  <si>
    <t>MAIN PBA JOINT 2 #8</t>
  </si>
  <si>
    <t>CN60 #3</t>
  </si>
  <si>
    <t>MAIN PBA JOINT 2 #9</t>
  </si>
  <si>
    <t>CN60 #5</t>
  </si>
  <si>
    <t>MAIN PBA JOINT 2 #10</t>
  </si>
  <si>
    <t>CN60 #7</t>
  </si>
  <si>
    <t>MAIN PBA JOINT 2 #11</t>
  </si>
  <si>
    <t>CN60 #9</t>
  </si>
  <si>
    <t>MAIN PBA JOINT 2 #12</t>
  </si>
  <si>
    <t>CN60 #11</t>
  </si>
  <si>
    <t>MAIN PBA JOINT #1</t>
  </si>
  <si>
    <t>CN60 #13</t>
  </si>
  <si>
    <t>MAIN PBA JOINT #2</t>
  </si>
  <si>
    <t>CN60 #15</t>
  </si>
  <si>
    <t>MAIN PBA JOINT #3</t>
  </si>
  <si>
    <t>2468#26 3C (BLU/WHT)</t>
  </si>
  <si>
    <t>CN60 #2</t>
  </si>
  <si>
    <t>MAIN PBA JOINT #4</t>
  </si>
  <si>
    <t>CN60 #4</t>
  </si>
  <si>
    <t>MAIN PBA JOINT #5</t>
  </si>
  <si>
    <t>CN60 #6</t>
  </si>
  <si>
    <t>MAIN PBA JOINT #6</t>
  </si>
  <si>
    <t>`</t>
  </si>
  <si>
    <t>품      명</t>
  </si>
  <si>
    <t>자코드</t>
  </si>
  <si>
    <t>규  격</t>
  </si>
  <si>
    <t>단위</t>
  </si>
  <si>
    <t>소요량</t>
  </si>
  <si>
    <t>요청수량</t>
  </si>
  <si>
    <t>분류</t>
  </si>
  <si>
    <t>적용코드</t>
  </si>
  <si>
    <t>품명</t>
  </si>
  <si>
    <t>MG615674-026</t>
  </si>
  <si>
    <t>EA</t>
  </si>
  <si>
    <t>2</t>
  </si>
  <si>
    <t>1767C-1</t>
  </si>
  <si>
    <t>MG635939-213</t>
  </si>
  <si>
    <t>MG615632-012</t>
  </si>
  <si>
    <t>8</t>
  </si>
  <si>
    <t>MG635826-212</t>
  </si>
  <si>
    <t>MG615632-010</t>
  </si>
  <si>
    <t>7</t>
  </si>
  <si>
    <t>MG635826-210</t>
  </si>
  <si>
    <t>MG615674-028</t>
  </si>
  <si>
    <t>1</t>
  </si>
  <si>
    <t>1767C-2</t>
  </si>
  <si>
    <t>MG635939-214</t>
  </si>
  <si>
    <t>HOUSING</t>
  </si>
  <si>
    <t>HOU2507</t>
  </si>
  <si>
    <t>XMP-18VC-WGL1</t>
  </si>
  <si>
    <t>4</t>
  </si>
  <si>
    <t>X2.5-09</t>
  </si>
  <si>
    <t>HOU2532</t>
  </si>
  <si>
    <t>MG625500-012</t>
  </si>
  <si>
    <t>5</t>
  </si>
  <si>
    <t>MG625500-007</t>
  </si>
  <si>
    <t>6</t>
  </si>
  <si>
    <t>MG635826-207</t>
  </si>
  <si>
    <t>MG615674-024</t>
  </si>
  <si>
    <t>3</t>
  </si>
  <si>
    <t>1767C-3</t>
  </si>
  <si>
    <t>MG635939-212</t>
  </si>
  <si>
    <t>19M/MX20 (WHT)</t>
  </si>
  <si>
    <t>M</t>
  </si>
  <si>
    <t>LABEL 20X15</t>
  </si>
  <si>
    <t>FIXER COVER</t>
  </si>
  <si>
    <t>INJ0559</t>
  </si>
  <si>
    <t>DA61-16643A</t>
  </si>
  <si>
    <t>UL9.5Ø0.5T/BLKGARUM#3/8(10Ø)</t>
  </si>
  <si>
    <t>Terminal</t>
  </si>
  <si>
    <t>Strip Length
(커넥터 제조사 규격)</t>
  </si>
  <si>
    <t>SELIM</t>
  </si>
  <si>
    <t>SXA-001T-P0.6</t>
  </si>
  <si>
    <t>5-170063-2</t>
  </si>
  <si>
    <t>ST731594-3T</t>
  </si>
  <si>
    <t>1.3~1.6</t>
  </si>
  <si>
    <t>20003TS</t>
  </si>
  <si>
    <t>1.5~2</t>
  </si>
  <si>
    <t>반탈피</t>
  </si>
  <si>
    <t>길이 입력</t>
  </si>
  <si>
    <t>20003TS(L)</t>
  </si>
  <si>
    <t>YST200-H3</t>
  </si>
  <si>
    <t>1.5~2.0</t>
  </si>
  <si>
    <t>1.7~1.9</t>
  </si>
  <si>
    <t>ST741476-3S</t>
  </si>
  <si>
    <t>1.8~2.1</t>
  </si>
  <si>
    <t>ST741476-3T</t>
  </si>
  <si>
    <t>SXM-001T-P0.6</t>
  </si>
  <si>
    <t>1.9~2.4</t>
  </si>
  <si>
    <t>YDT200</t>
  </si>
  <si>
    <t>2.0~2.5</t>
  </si>
  <si>
    <t>YDT200-C</t>
  </si>
  <si>
    <t>YST025L3</t>
  </si>
  <si>
    <t>2.2~2.7</t>
  </si>
  <si>
    <t>ST731504-3S</t>
  </si>
  <si>
    <t>2.5~2.7</t>
  </si>
  <si>
    <t>ST750293-3</t>
  </si>
  <si>
    <t>2.5~3.0</t>
  </si>
  <si>
    <t>YDT236(M)SB</t>
  </si>
  <si>
    <t>ST741388-3T</t>
  </si>
  <si>
    <t>2.6~2.8</t>
  </si>
  <si>
    <t>ST731082-3</t>
  </si>
  <si>
    <t>2.7~3.2</t>
  </si>
  <si>
    <t>ST731083-3</t>
  </si>
  <si>
    <t>ST741085-3</t>
  </si>
  <si>
    <t>ST741086-3</t>
  </si>
  <si>
    <t>ST741388-3S</t>
  </si>
  <si>
    <t>2.8~3.2</t>
  </si>
  <si>
    <t>YT396P</t>
  </si>
  <si>
    <t>2.9~3.4</t>
  </si>
  <si>
    <t>YT396C-RT</t>
  </si>
  <si>
    <t>2.9~3.5</t>
  </si>
  <si>
    <t>YT396C-RT(S)</t>
  </si>
  <si>
    <t>SSM-01T-P1.4</t>
  </si>
  <si>
    <t>3.0(±0.5)</t>
  </si>
  <si>
    <t>SYF-01T-P0.5A</t>
  </si>
  <si>
    <t>SYM-01T-P0.5A</t>
  </si>
  <si>
    <t>SYM-41T-P0.5A</t>
  </si>
  <si>
    <t>SYF-01T-P0.5A
SYM-01T-P0.5A</t>
  </si>
  <si>
    <t>SSF-01T-P1.4AB</t>
  </si>
  <si>
    <t>3.0~3.5</t>
  </si>
  <si>
    <t>SSF-21T-P1.4AB</t>
  </si>
  <si>
    <t>SSF-21T-P1.4AB(W)</t>
  </si>
  <si>
    <t>SSM-21T-P1.4</t>
  </si>
  <si>
    <t>SYF-41T-P0.5A</t>
  </si>
  <si>
    <t>ST731177-3</t>
  </si>
  <si>
    <t>ST731307-3</t>
  </si>
  <si>
    <t>ST731081-3</t>
  </si>
  <si>
    <t>ST741084-3</t>
  </si>
  <si>
    <t>YST200-CRT</t>
  </si>
  <si>
    <t>1743728-1</t>
  </si>
  <si>
    <t>3.5 ±0.5</t>
  </si>
  <si>
    <t>ST731506-3M</t>
  </si>
  <si>
    <t>3.8~4.0</t>
  </si>
  <si>
    <t>ST730649-3S</t>
  </si>
  <si>
    <t>3.9~4.1</t>
  </si>
  <si>
    <t>WW45A-51109</t>
  </si>
  <si>
    <t>3~4.1</t>
  </si>
  <si>
    <t>ST741435-3DW</t>
  </si>
  <si>
    <t>4.0~4.4</t>
  </si>
  <si>
    <t>ST731433-3DW</t>
  </si>
  <si>
    <t>ST731433-3L</t>
  </si>
  <si>
    <t>ST731433-3M</t>
  </si>
  <si>
    <t>ST731433-3S</t>
  </si>
  <si>
    <t>ST741435-3L</t>
  </si>
  <si>
    <t>ST741435-3M</t>
  </si>
  <si>
    <t>ST741435-3S</t>
  </si>
  <si>
    <t>ST741436-3DW</t>
  </si>
  <si>
    <t>ST741436-3L</t>
  </si>
  <si>
    <t>ST741436-3M</t>
  </si>
  <si>
    <t>ST741436-3S</t>
  </si>
  <si>
    <t>ST730948-3</t>
  </si>
  <si>
    <t>4.0~4.5</t>
  </si>
  <si>
    <t>ST730993-3</t>
  </si>
  <si>
    <t>ST731031-3</t>
  </si>
  <si>
    <t>ST731079-3</t>
  </si>
  <si>
    <t>ST731228-3</t>
  </si>
  <si>
    <t>ST741296-3</t>
  </si>
  <si>
    <t>ST730567-3</t>
  </si>
  <si>
    <t>4.0~5.0</t>
  </si>
  <si>
    <t>ST730568-3</t>
  </si>
  <si>
    <t>ST730948-3T</t>
  </si>
  <si>
    <t>4.2~4.5</t>
  </si>
  <si>
    <t>ST780242-2</t>
  </si>
  <si>
    <t>ST731386-3</t>
  </si>
  <si>
    <t>4.4~4.6</t>
  </si>
  <si>
    <t>ST741351-3</t>
  </si>
  <si>
    <t>ST710945-3</t>
  </si>
  <si>
    <t>4.5~5.0</t>
  </si>
  <si>
    <t>ST730245-2</t>
  </si>
  <si>
    <t>ST730694-3</t>
  </si>
  <si>
    <t>ST730825-3</t>
  </si>
  <si>
    <t>ST740634-3</t>
  </si>
  <si>
    <t>ST740815-3</t>
  </si>
  <si>
    <t>ST740690-3</t>
  </si>
  <si>
    <t>ST731394-3M</t>
  </si>
  <si>
    <t>4.8~5.3</t>
  </si>
  <si>
    <t>ST731394-3T</t>
  </si>
  <si>
    <t>ST740871-3</t>
  </si>
  <si>
    <t>ST710944-3</t>
  </si>
  <si>
    <t>5.0~5.5</t>
  </si>
  <si>
    <t>ST730190-2</t>
  </si>
  <si>
    <t>ST730571-3</t>
  </si>
  <si>
    <t>ST730620-3</t>
  </si>
  <si>
    <t>ST730638-3</t>
  </si>
  <si>
    <t>ST730649-3</t>
  </si>
  <si>
    <t>ST730837-3</t>
  </si>
  <si>
    <t>ST731016-3</t>
  </si>
  <si>
    <t>ST740254-3</t>
  </si>
  <si>
    <t>ST710489-3</t>
  </si>
  <si>
    <t>YRT250-B(M)E</t>
  </si>
  <si>
    <t>5.1~5.6</t>
  </si>
  <si>
    <t>ST730191-2</t>
  </si>
  <si>
    <t>5.5~6.0</t>
  </si>
  <si>
    <t>ST760320-1</t>
  </si>
  <si>
    <t>6.5~7.5</t>
  </si>
  <si>
    <t>ST760145-1</t>
  </si>
  <si>
    <t>7.5~8.5</t>
  </si>
  <si>
    <t>ST760145-2</t>
  </si>
  <si>
    <t>ST760149-1</t>
  </si>
  <si>
    <t>ST760149-2</t>
  </si>
  <si>
    <t>ST760299-1</t>
  </si>
  <si>
    <t>ST760320-2</t>
  </si>
  <si>
    <t>0039000454(5558T2-A)</t>
  </si>
  <si>
    <t>39000040(5558T)</t>
  </si>
  <si>
    <t>39000038(5556T)</t>
  </si>
  <si>
    <t>SC41202-005A</t>
  </si>
  <si>
    <t>SC42205-005A</t>
  </si>
  <si>
    <t>2.8 ~ 3.3</t>
  </si>
  <si>
    <t>25045TP</t>
  </si>
  <si>
    <t>2.6~3.1</t>
  </si>
  <si>
    <t>ST761319-3</t>
  </si>
  <si>
    <t>ST761320-3</t>
  </si>
  <si>
    <t>ST730570-3</t>
  </si>
  <si>
    <t>ST730572-3</t>
  </si>
  <si>
    <t>ST731342-3</t>
  </si>
  <si>
    <t>3.5~4.0</t>
  </si>
  <si>
    <t>ST710237-2</t>
  </si>
  <si>
    <t>6.5~7.0</t>
  </si>
  <si>
    <t>170325-1</t>
  </si>
  <si>
    <t>170326-1</t>
  </si>
  <si>
    <t>63677-1</t>
  </si>
  <si>
    <t>ST731394-3S</t>
  </si>
  <si>
    <t>ST730268-3</t>
  </si>
  <si>
    <t>ST730206-3</t>
  </si>
  <si>
    <t>1217039-1</t>
  </si>
  <si>
    <t>2232112-1</t>
  </si>
  <si>
    <t>170213-2</t>
  </si>
  <si>
    <t>ST740050-3</t>
  </si>
  <si>
    <t>ST731131-3</t>
  </si>
  <si>
    <t>ST730147-2</t>
  </si>
  <si>
    <t>ST731261-3S</t>
  </si>
  <si>
    <t>ST731261-3M</t>
  </si>
  <si>
    <t>ST731217-3</t>
  </si>
  <si>
    <t>WB20L-61209</t>
  </si>
  <si>
    <t>WIRE SPEC</t>
  </si>
  <si>
    <t>인장력</t>
  </si>
  <si>
    <t>UL1007#26</t>
  </si>
  <si>
    <t>2.5kgf</t>
  </si>
  <si>
    <t>UL1007#26/A</t>
  </si>
  <si>
    <t>UL1007#24</t>
  </si>
  <si>
    <t>3kgf</t>
  </si>
  <si>
    <t>UL1007#24/A</t>
  </si>
  <si>
    <t>UL1007#22</t>
  </si>
  <si>
    <t>4.5kgf</t>
  </si>
  <si>
    <t>UL1007#22/A</t>
  </si>
  <si>
    <t>UL1007#20</t>
  </si>
  <si>
    <t>8kgf</t>
  </si>
  <si>
    <t>UL1007#20/A</t>
  </si>
  <si>
    <t>UL1015#24</t>
  </si>
  <si>
    <t>UL1015#24/A</t>
  </si>
  <si>
    <t>UL1015#22</t>
  </si>
  <si>
    <t>UL1015#22/A</t>
  </si>
  <si>
    <t>UL1015#20</t>
  </si>
  <si>
    <t>UL1015#20/A</t>
  </si>
  <si>
    <t>UL1015#18</t>
  </si>
  <si>
    <t>UL1015#18/A</t>
  </si>
  <si>
    <t>1007#26</t>
  </si>
  <si>
    <t>1007#24</t>
  </si>
  <si>
    <t>1007#22</t>
  </si>
  <si>
    <t>1007#20</t>
  </si>
  <si>
    <t>1007#20/A</t>
  </si>
  <si>
    <t>1015#24</t>
  </si>
  <si>
    <t>1015#24/A</t>
  </si>
  <si>
    <t>1015#22</t>
  </si>
  <si>
    <t>1015#22/A</t>
  </si>
  <si>
    <t>1015#20</t>
  </si>
  <si>
    <t>1015#20/A</t>
  </si>
  <si>
    <t>1015#18</t>
  </si>
  <si>
    <t>1015#18/A</t>
  </si>
  <si>
    <t>IEC080.75SQ</t>
  </si>
  <si>
    <t>IEC080.5SQ</t>
  </si>
  <si>
    <t>10125#28</t>
  </si>
  <si>
    <t>2kgf</t>
  </si>
  <si>
    <t>10125#26</t>
  </si>
  <si>
    <t>2468#26 14C W/BLK</t>
  </si>
  <si>
    <t>2468#26 15C (RED/WHT)</t>
  </si>
  <si>
    <t>2468#26 4C (BLK/WHT)</t>
  </si>
  <si>
    <t>2468#26 6C (BLK/WHT)</t>
  </si>
  <si>
    <t>2468#26 10C (BLK/WHT)</t>
  </si>
  <si>
    <t>2468#26 10C (RED/WHT)</t>
  </si>
  <si>
    <t>2468#26 14C (ORG/WHT)</t>
  </si>
  <si>
    <t>2468#26 4C (ORG/WHT)</t>
  </si>
  <si>
    <t>2468#26 7C (ORG/WHT)</t>
  </si>
  <si>
    <t>2468#26 9C (ORG/WHT)</t>
  </si>
  <si>
    <t>2468#26 12C (ORG/WHT)</t>
  </si>
  <si>
    <t>2468#26 8C (ORG/WHT)</t>
  </si>
  <si>
    <t>2468#26 10C (ORG/WHT)</t>
  </si>
  <si>
    <t>2468#26 11C (ORG/WHT)</t>
  </si>
  <si>
    <t>2468#26 13C (ORG/WHT)</t>
  </si>
  <si>
    <t>2468#26 15C (ORG/WHT)</t>
  </si>
  <si>
    <t>2468#26 3C (ORG/WHT)</t>
  </si>
  <si>
    <t>2468#26 11C (RED/WHT)</t>
  </si>
  <si>
    <t>2468#26 12C WHT (DOT MARKING)</t>
  </si>
  <si>
    <t>2468#26 5C (RED/WHT)</t>
  </si>
  <si>
    <t>2468#26 12C (RED/WHT)</t>
  </si>
  <si>
    <t>2468#26 14C (RED/WHT)</t>
  </si>
  <si>
    <t>X2468#26 10C (RED/WHT)</t>
  </si>
  <si>
    <t>2468#26 5C (BRN/BLK)</t>
  </si>
  <si>
    <t>X2468#26 5C (RED/WHT)</t>
  </si>
  <si>
    <t>2468#26 2C (BLU/WHT)</t>
  </si>
  <si>
    <t>2468#26 2C (YEL/WHT)</t>
  </si>
  <si>
    <t>2468#26 2C (ORG/WHT)-C</t>
  </si>
  <si>
    <t>2468#26 3C (ORG/WHT)-A</t>
  </si>
  <si>
    <t>2468#26 2C (RED/WHT)</t>
  </si>
  <si>
    <t>2468#26 3C (YEL/WHT)</t>
  </si>
  <si>
    <t>2468#26 8C (RED/WHT)</t>
  </si>
  <si>
    <t>2468#26 4C (RED/WHT)</t>
  </si>
  <si>
    <t>2468#26 4C (BLU/WHT)</t>
  </si>
  <si>
    <t>2468#26 9C (BLK/WHT)</t>
  </si>
  <si>
    <t>2468#24 10C (BLK/WHT)</t>
  </si>
  <si>
    <t>2468#24 2C (BLK/WHT)</t>
  </si>
  <si>
    <t>2468#24 2C (ORG/WHT)</t>
  </si>
  <si>
    <t>2468#24 4C (ORG/WHT)</t>
  </si>
  <si>
    <t>2095#26 6C</t>
  </si>
  <si>
    <t>2095#26 13C GY</t>
  </si>
  <si>
    <t>2095#26 6C GY(BL,YL,OG,PK,RD,BN)</t>
  </si>
  <si>
    <t>2095#26 12C GRY</t>
  </si>
  <si>
    <t>2095#26 15C GRY(OG,YL,GY,BK,PK,BN,BL,VT~WH/BK)</t>
  </si>
  <si>
    <t>2095#26 10C GY(WH,GY,VT,BL,GN,YL,OG,RD,BN,BK)</t>
  </si>
  <si>
    <t>2095#26 5C GY(BL,VT,GN,WH,S/BL)</t>
  </si>
  <si>
    <t>2095#26 4C GY(RD,OG,YL,BL)</t>
  </si>
  <si>
    <t>2095#26 3C GY(BK,BN,RD)</t>
  </si>
  <si>
    <t>2095#26 9C</t>
  </si>
  <si>
    <t>2095#26 3C BK(RD,WH,BK)</t>
  </si>
  <si>
    <t>2095#26 5C GY(YL,OG,BL,PK,RD)</t>
  </si>
  <si>
    <t>2095#26 4C GY(BK,BN,RD,OG)</t>
  </si>
  <si>
    <t>2095#26 4C GY(BK,YL,BL,WH)</t>
  </si>
  <si>
    <t>2095#26 2C GY(RD,BK)</t>
  </si>
  <si>
    <t>2095#26 6C GY(OG,PK,BK,GY,YL,BN)</t>
  </si>
  <si>
    <t>2095#26 8C GY(BN,RD,OG,YL,PK,BL,WH,GN)</t>
  </si>
  <si>
    <t>2095#26 4C GRY (YEL~BLU)</t>
  </si>
  <si>
    <t>2095#26 4C GY(BL,VT,GN,WH)</t>
  </si>
  <si>
    <t>2095#26 9C GY(BK,BN,RD,OG,YL,GN,BL,VT,GY)</t>
  </si>
  <si>
    <t>2095#26 3C GY(BK,RD,OG)</t>
  </si>
  <si>
    <t>2095#26 5C GY(OG,RD,YL,BK,BL)</t>
  </si>
  <si>
    <t>2095#26 6C GY(BN,WH,RD,OG,YL,BL)</t>
  </si>
  <si>
    <t>2095#26 4C BK(BK,BN,RD,OG)</t>
  </si>
  <si>
    <t>2095#24 3C BLK(RD,BL,YL)</t>
  </si>
  <si>
    <t>2095#24 3C GY(BN,BK,RD)</t>
  </si>
  <si>
    <t>2095#24 4C</t>
  </si>
  <si>
    <t>2095#24 2C GY(BL,RD)</t>
  </si>
  <si>
    <t>2095#24 6C GRY(RD,BL,OG,YL,PK,WH)</t>
  </si>
  <si>
    <t>2095#24 5C</t>
  </si>
  <si>
    <t>2095#24 7C GY(RD,OG,YL,BL,GY,WH,PK)</t>
  </si>
  <si>
    <t>2095#24 6C GY(GN,WH,VT,BL,YL,GY)</t>
  </si>
  <si>
    <t>2095#24 6C GY(BN,PK,OG,RD,BL,YL)</t>
  </si>
  <si>
    <t>2095#24 6C GY(BN,PK,OG,YL,GY,BK)</t>
  </si>
  <si>
    <t>2095#24 6C GY(RD,PK,BL,OG,YL,BN)</t>
  </si>
  <si>
    <t>2095#24 5C BK(RD,BK,WH,YL,BL)</t>
  </si>
  <si>
    <t>2095#24 5C GY(RD,PK,BL,OG,YL)</t>
  </si>
  <si>
    <t>2095#24 2C GY</t>
  </si>
  <si>
    <t>2095#24 6C BK(GY,BK,BN,VT,BL,GN)</t>
  </si>
  <si>
    <t>2095#24 5C BK(GY,BK,BN,VT,BL)</t>
  </si>
  <si>
    <t>2095#24 4C BK(GY,BK,BN,VT)</t>
  </si>
  <si>
    <t>2095#24 4C GY(BK,BN,RD,OG)</t>
  </si>
  <si>
    <t>2095#24 4C GY(RD,BL,OG,YL)</t>
  </si>
  <si>
    <t>2095#24 4C BK(RD,BL,OG,YL)</t>
  </si>
  <si>
    <t>2095#24 2C BK(RD,BL)</t>
  </si>
  <si>
    <t>2095#24 3C GY(RD,OG,BK)</t>
  </si>
  <si>
    <t>2095#24 13C GY</t>
  </si>
  <si>
    <t>2095#24 12C GY</t>
  </si>
  <si>
    <t>2095#24 4C GY(RD,BK,BL,YL)</t>
  </si>
  <si>
    <t>2095#24 5C BK(RD,PK,BL,OG,YL)</t>
  </si>
  <si>
    <t>2095#24 2C GY(RD,BK)</t>
  </si>
  <si>
    <t>21016#28 7C (BLK/GRY)</t>
  </si>
  <si>
    <t>21016#28 5C (BLK/GRY)</t>
  </si>
  <si>
    <t>21016#28 8C (BLK/GRY)</t>
  </si>
  <si>
    <t>21016#26 7C (BLK/GRY)</t>
  </si>
  <si>
    <t>21016#28 6C (BLK/GRY)</t>
  </si>
  <si>
    <t>21016#28 3C (BLK/GRY)</t>
  </si>
  <si>
    <t>21016#28 4C (BLK/GRY)</t>
  </si>
  <si>
    <t>21296[#28*1P,#28*6C,AMESB,5.7pi,BK]</t>
  </si>
  <si>
    <t>1007#22/(L)</t>
  </si>
  <si>
    <t>1007#26/(L)</t>
  </si>
  <si>
    <t xml:space="preserve">1015#18(L) </t>
  </si>
  <si>
    <t xml:space="preserve">1015#22(L) </t>
  </si>
  <si>
    <t>UL1007#22/(L)</t>
  </si>
  <si>
    <t>UL1007#26/(L)</t>
  </si>
  <si>
    <t xml:space="preserve">UL1015#18(L) </t>
  </si>
  <si>
    <t xml:space="preserve">UL1015#22(L) </t>
  </si>
  <si>
    <t>1569#24</t>
  </si>
  <si>
    <t>1015#12</t>
  </si>
  <si>
    <t>15kgf</t>
  </si>
  <si>
    <t>1015#14</t>
  </si>
  <si>
    <t>1015#16</t>
  </si>
  <si>
    <t>1569#18</t>
  </si>
  <si>
    <t>1569#20</t>
  </si>
  <si>
    <t>1569#22</t>
  </si>
  <si>
    <t>UL1569#22</t>
  </si>
  <si>
    <t>UL1569#18</t>
  </si>
  <si>
    <t>UL1569#24</t>
  </si>
  <si>
    <t>2468#26 3C (RED/WHT)</t>
  </si>
  <si>
    <t>2651#26 3C (BLK/WHT)</t>
  </si>
  <si>
    <t>2651#26 3C (YEL/WHT)</t>
  </si>
  <si>
    <t>형명 (색상별 구분 작성)</t>
  </si>
  <si>
    <t>35965-0200</t>
  </si>
  <si>
    <t>MG615695-002</t>
  </si>
  <si>
    <t>35965-0202</t>
  </si>
  <si>
    <t>MG615695-102</t>
  </si>
  <si>
    <t>35965-0203</t>
  </si>
  <si>
    <t>MG615695-302</t>
  </si>
  <si>
    <t>35965-0204</t>
  </si>
  <si>
    <t>MG615695-202</t>
  </si>
  <si>
    <t>35965-9200</t>
  </si>
  <si>
    <t>35965-9202</t>
  </si>
  <si>
    <t>35965-9203</t>
  </si>
  <si>
    <t>35965-9204</t>
  </si>
  <si>
    <t>35965-0210</t>
  </si>
  <si>
    <t>MG615696-002</t>
  </si>
  <si>
    <t>35965-0212</t>
  </si>
  <si>
    <t>MG615696-102</t>
  </si>
  <si>
    <t>35965-0213</t>
  </si>
  <si>
    <t>MG615696-302</t>
  </si>
  <si>
    <t>35965-0214</t>
  </si>
  <si>
    <t>MG615696-202</t>
  </si>
  <si>
    <t>35965-9210</t>
  </si>
  <si>
    <t>35965-9212</t>
  </si>
  <si>
    <t>35965-9213</t>
  </si>
  <si>
    <t>35965-9214</t>
  </si>
  <si>
    <t>35965-0220</t>
  </si>
  <si>
    <t>MG615697-002</t>
  </si>
  <si>
    <t>35965-0222</t>
  </si>
  <si>
    <t>MG615697-102</t>
  </si>
  <si>
    <t>35965-0223</t>
  </si>
  <si>
    <t>MG615697-302</t>
  </si>
  <si>
    <t>35965-0224</t>
  </si>
  <si>
    <t>MG615697-202</t>
  </si>
  <si>
    <t>35965-9220</t>
  </si>
  <si>
    <t>35965-9222</t>
  </si>
  <si>
    <t>35965-9223</t>
  </si>
  <si>
    <t>35965-9224</t>
  </si>
  <si>
    <t>35965-0290</t>
  </si>
  <si>
    <t>MG636074-002</t>
  </si>
  <si>
    <t>35965-0292</t>
  </si>
  <si>
    <t>MG636074-102</t>
  </si>
  <si>
    <t>35965-0293</t>
  </si>
  <si>
    <t>MG636074-302</t>
  </si>
  <si>
    <t>35965-0294</t>
  </si>
  <si>
    <t>MG636074-202</t>
  </si>
  <si>
    <t>104081-0280</t>
  </si>
  <si>
    <t>MG636079-002</t>
  </si>
  <si>
    <t>104081-0282</t>
  </si>
  <si>
    <t>MG636079-102</t>
  </si>
  <si>
    <t>104081-0283</t>
  </si>
  <si>
    <t>MG636079-302</t>
  </si>
  <si>
    <t>104081-0284</t>
  </si>
  <si>
    <t>MG636079-202</t>
  </si>
  <si>
    <t>49547-0390</t>
  </si>
  <si>
    <t>MG636080-003</t>
  </si>
  <si>
    <t>49547-0392</t>
  </si>
  <si>
    <t>MG636080-103</t>
  </si>
  <si>
    <t>49547-0393</t>
  </si>
  <si>
    <t>MG636080-303</t>
  </si>
  <si>
    <t>49547-0394</t>
  </si>
  <si>
    <t>MG636080-203</t>
  </si>
  <si>
    <t>49548-0390</t>
  </si>
  <si>
    <t>MG636081-003</t>
  </si>
  <si>
    <t>49548-0392</t>
  </si>
  <si>
    <t>MG636081-103</t>
  </si>
  <si>
    <t>49548-0393</t>
  </si>
  <si>
    <t>MG636081-303</t>
  </si>
  <si>
    <t>49548-0394</t>
  </si>
  <si>
    <t>MG636081-203</t>
  </si>
  <si>
    <t>35180-0400</t>
  </si>
  <si>
    <t>MG625501-004</t>
  </si>
  <si>
    <t>35180-0402</t>
  </si>
  <si>
    <t>MG625501-104</t>
  </si>
  <si>
    <t>35180-0403</t>
  </si>
  <si>
    <t>MG625501-304</t>
  </si>
  <si>
    <t>35180-0404</t>
  </si>
  <si>
    <t>MG625501-204</t>
  </si>
  <si>
    <t>35180-0409</t>
  </si>
  <si>
    <t>35180-2409</t>
  </si>
  <si>
    <t>35180-3409</t>
  </si>
  <si>
    <t>35180-4409</t>
  </si>
  <si>
    <t>35180-0600</t>
  </si>
  <si>
    <t>MG625502-006</t>
  </si>
  <si>
    <t>35180-0602</t>
  </si>
  <si>
    <t>MG625502-106</t>
  </si>
  <si>
    <t>35180-0603</t>
  </si>
  <si>
    <t>MG625502-306</t>
  </si>
  <si>
    <t>35180-0604</t>
  </si>
  <si>
    <t>MG625502-206</t>
  </si>
  <si>
    <t>35180-0609</t>
  </si>
  <si>
    <t>35180-2609</t>
  </si>
  <si>
    <t>35180-3609</t>
  </si>
  <si>
    <t>35180-4609</t>
  </si>
  <si>
    <t>35182-0290</t>
  </si>
  <si>
    <t>MG636075-002</t>
  </si>
  <si>
    <t>35182-0292</t>
  </si>
  <si>
    <t>MG636075-102</t>
  </si>
  <si>
    <t>35182-0293</t>
  </si>
  <si>
    <t>MG636075-302</t>
  </si>
  <si>
    <t>35182-0294</t>
  </si>
  <si>
    <t>MG636075-202</t>
  </si>
  <si>
    <t>35182-0390</t>
  </si>
  <si>
    <t>MG636076-003</t>
  </si>
  <si>
    <t>35182-0392</t>
  </si>
  <si>
    <t>MG636076-103</t>
  </si>
  <si>
    <t>35182-0393</t>
  </si>
  <si>
    <t>MG636076-303</t>
  </si>
  <si>
    <t>35182-0394</t>
  </si>
  <si>
    <t>MG636076-203</t>
  </si>
  <si>
    <t>35746-0410</t>
  </si>
  <si>
    <t>35746-0110</t>
  </si>
  <si>
    <t>35746-0210</t>
  </si>
  <si>
    <t>35746-0310</t>
  </si>
  <si>
    <t>35748-0410</t>
  </si>
  <si>
    <t>ST731434-3S</t>
  </si>
  <si>
    <t>35748-0110</t>
  </si>
  <si>
    <t>ST731434-3M</t>
  </si>
  <si>
    <t>35748-0210</t>
  </si>
  <si>
    <t>ST731434-3L</t>
  </si>
  <si>
    <t>35748-0310</t>
  </si>
  <si>
    <t>ST731434-3DW</t>
  </si>
  <si>
    <t>35745-0410</t>
  </si>
  <si>
    <t>35745-0110</t>
  </si>
  <si>
    <t>35745-0210</t>
  </si>
  <si>
    <t>35745-0310</t>
  </si>
  <si>
    <t>35747-0410</t>
  </si>
  <si>
    <t>35747-0110</t>
  </si>
  <si>
    <t>35747-0210</t>
  </si>
  <si>
    <t>35747-0310</t>
  </si>
  <si>
    <t>SMH200-H03H3</t>
  </si>
  <si>
    <t>MG615708-003</t>
  </si>
  <si>
    <t>SMH200-H04H3</t>
  </si>
  <si>
    <t>MG615708-004</t>
  </si>
  <si>
    <t>SMH200-H05H3</t>
  </si>
  <si>
    <t>MG615708-005</t>
  </si>
  <si>
    <t>SMH200-H06H3</t>
  </si>
  <si>
    <t>MG615708-006</t>
  </si>
  <si>
    <t>SMH200-H07H3</t>
  </si>
  <si>
    <t>MG615708-007</t>
  </si>
  <si>
    <t>SMH200-H08H3</t>
  </si>
  <si>
    <t>MG615708-008</t>
  </si>
  <si>
    <t>SMH200-H09H3</t>
  </si>
  <si>
    <t>MG615708-009</t>
  </si>
  <si>
    <t>SMH200-H10H3</t>
  </si>
  <si>
    <t>MG615708-010</t>
  </si>
  <si>
    <t>SMH200-H11H3</t>
  </si>
  <si>
    <t>MG615708-011</t>
  </si>
  <si>
    <t>SMH200-H12H3</t>
  </si>
  <si>
    <t>MG615708-012</t>
  </si>
  <si>
    <t>SMH200-H13H3</t>
  </si>
  <si>
    <t>MG615708-013</t>
  </si>
  <si>
    <t>SMH200-H14H3</t>
  </si>
  <si>
    <t>MG615708-014</t>
  </si>
  <si>
    <t>SMH200-03HRT(RE)</t>
  </si>
  <si>
    <t>MG636089-203</t>
  </si>
  <si>
    <t>SMH200-04HRT(RE)</t>
  </si>
  <si>
    <t>MG636089-204</t>
  </si>
  <si>
    <t>SMH200-05HRT(RE)</t>
  </si>
  <si>
    <t>MG636089-205</t>
  </si>
  <si>
    <t>SMH200-06HRT(RE)</t>
  </si>
  <si>
    <t>MG636089-206</t>
  </si>
  <si>
    <t>SMH200-07HRT(RE)</t>
  </si>
  <si>
    <t>MG636089-207</t>
  </si>
  <si>
    <t>SMH200-08HRT(RE)</t>
  </si>
  <si>
    <t>MG636089-208</t>
  </si>
  <si>
    <t>SMH200-09HRT(RE)</t>
  </si>
  <si>
    <t>MG636089-209</t>
  </si>
  <si>
    <t>SMH200-10HRT(RE)</t>
  </si>
  <si>
    <t>MG636089-210</t>
  </si>
  <si>
    <t>SMH200-11HRT(RE)</t>
  </si>
  <si>
    <t>MG636089-211</t>
  </si>
  <si>
    <t>SMH200-12HRT(RE)</t>
  </si>
  <si>
    <t>MG636089-212</t>
  </si>
  <si>
    <t>SMH200-13HRT(RE)</t>
  </si>
  <si>
    <t>MG636089-213</t>
  </si>
  <si>
    <t>SMH200-14HRT(RE)</t>
  </si>
  <si>
    <t>MG636089-214</t>
  </si>
  <si>
    <t>WB20M-028-411</t>
  </si>
  <si>
    <t>WB20M-026-411</t>
  </si>
  <si>
    <t>WB20M-024-411</t>
  </si>
  <si>
    <t>WB20M-028-454</t>
  </si>
  <si>
    <t>WB20M-026-454</t>
  </si>
  <si>
    <t>WB20M-024-454</t>
  </si>
  <si>
    <t>YDH236-02(W)</t>
  </si>
  <si>
    <t>MG615653-002</t>
  </si>
  <si>
    <t>YDH236-01(W)</t>
  </si>
  <si>
    <t>MG615653-001</t>
  </si>
  <si>
    <t>YDH236-01(BL)</t>
  </si>
  <si>
    <t>MG615653-201</t>
  </si>
  <si>
    <t>YT236-(M)SB</t>
  </si>
  <si>
    <t>YT236-(L)SB</t>
  </si>
  <si>
    <t>ST731506-3L</t>
  </si>
  <si>
    <t>WB20L-66209</t>
  </si>
  <si>
    <t>25045HP-03AZ</t>
  </si>
  <si>
    <t>MG625500-003</t>
  </si>
  <si>
    <t>25045HP-04AZ</t>
  </si>
  <si>
    <t>MG625500-004</t>
  </si>
  <si>
    <t>25045HP-05AZ</t>
  </si>
  <si>
    <t>MG625500-005</t>
  </si>
  <si>
    <t>25045HP-06AZ</t>
  </si>
  <si>
    <t>MG625500-006</t>
  </si>
  <si>
    <t>25045HP-07AZ</t>
  </si>
  <si>
    <t>25045HP-08AZ</t>
  </si>
  <si>
    <t>MG625500-008</t>
  </si>
  <si>
    <t>25045HP-09AZ</t>
  </si>
  <si>
    <t>MG625500-009</t>
  </si>
  <si>
    <t>25045HP-10AZ</t>
  </si>
  <si>
    <t>MG625500-010</t>
  </si>
  <si>
    <t>25045HP-11AZ</t>
  </si>
  <si>
    <t>MG625500-011</t>
  </si>
  <si>
    <t>25045HP-12AZ</t>
  </si>
  <si>
    <t>25045HP-13AZ</t>
  </si>
  <si>
    <t>MG625500-013</t>
  </si>
  <si>
    <t>25045HP-14AZ</t>
  </si>
  <si>
    <t>MG625500-014</t>
  </si>
  <si>
    <t>25045HP-15AZ</t>
  </si>
  <si>
    <t>MG625500-015</t>
  </si>
  <si>
    <t>SMH250-03LZ</t>
  </si>
  <si>
    <t>MG615632-003</t>
  </si>
  <si>
    <t>SMH250-04LZ</t>
  </si>
  <si>
    <t>MG615632-004</t>
  </si>
  <si>
    <t>SMH250-05LZ</t>
  </si>
  <si>
    <t>MG615632-005</t>
  </si>
  <si>
    <t>SMH250-06LZ</t>
  </si>
  <si>
    <t>MG615632-006</t>
  </si>
  <si>
    <t>SMH250-07LZ</t>
  </si>
  <si>
    <t>MG615632-007</t>
  </si>
  <si>
    <t>SMH250-08LZ</t>
  </si>
  <si>
    <t>MG615632-008</t>
  </si>
  <si>
    <t>SMH250-09LZ</t>
  </si>
  <si>
    <t>MG615632-009</t>
  </si>
  <si>
    <t>SMH250-10LZ</t>
  </si>
  <si>
    <t>SMH250-11LZ</t>
  </si>
  <si>
    <t>MG615632-011</t>
  </si>
  <si>
    <t>SMH250-12LZ</t>
  </si>
  <si>
    <t>SMH250-13LZ</t>
  </si>
  <si>
    <t>MG615632-013</t>
  </si>
  <si>
    <t>SMH250-14LZ</t>
  </si>
  <si>
    <t>MG615632-014</t>
  </si>
  <si>
    <t>SMH250-15LZ</t>
  </si>
  <si>
    <t>MG615632-015</t>
  </si>
  <si>
    <t>SMH250J-03RT(RE)</t>
  </si>
  <si>
    <t>MG635826-203</t>
  </si>
  <si>
    <t>SMH250J-04RT(RE)</t>
  </si>
  <si>
    <t>MG635826-204</t>
  </si>
  <si>
    <t>SMH250J-05RT(RE)</t>
  </si>
  <si>
    <t>MG635826-205</t>
  </si>
  <si>
    <t>SMH250J-06RT(RE)</t>
  </si>
  <si>
    <t>MG635826-206</t>
  </si>
  <si>
    <t>SMH250J-07RT(RE)</t>
  </si>
  <si>
    <t>SMH250J-08RT(RE)</t>
  </si>
  <si>
    <t>MG635826-208</t>
  </si>
  <si>
    <t>SMH250J-09RT(RE)</t>
  </si>
  <si>
    <t>MG635826-209</t>
  </si>
  <si>
    <t>SMH250J-10RT(RE)</t>
  </si>
  <si>
    <t>SMH250J-11RT(RE)</t>
  </si>
  <si>
    <t>MG635826-211</t>
  </si>
  <si>
    <t>SMH250J-12RT(RE)</t>
  </si>
  <si>
    <t>SMH250J-13RT(RE)</t>
  </si>
  <si>
    <t>MG635826-213</t>
  </si>
  <si>
    <t>SMH250J-14RT(RE)</t>
  </si>
  <si>
    <t>MG635826-214</t>
  </si>
  <si>
    <t>SMH250J-15RT(RE)</t>
  </si>
  <si>
    <t>MG635826-215</t>
  </si>
  <si>
    <t>35151-0210</t>
  </si>
  <si>
    <t>MG615304</t>
  </si>
  <si>
    <t>35151-0212</t>
  </si>
  <si>
    <t>MG615304-1</t>
  </si>
  <si>
    <t>35151-0213</t>
  </si>
  <si>
    <t>MG615304-3</t>
  </si>
  <si>
    <t>35151-0214</t>
  </si>
  <si>
    <t>MG615304-2</t>
  </si>
  <si>
    <t>35151-0219</t>
  </si>
  <si>
    <t>MG615304T</t>
  </si>
  <si>
    <t>35151-2219</t>
  </si>
  <si>
    <t>MG615304T-1</t>
  </si>
  <si>
    <t>35151-3219</t>
  </si>
  <si>
    <t>MG615304T-3</t>
  </si>
  <si>
    <t>35151-4219</t>
  </si>
  <si>
    <t>MG615304T-2</t>
  </si>
  <si>
    <t>35150-0210</t>
  </si>
  <si>
    <t>MG625305</t>
  </si>
  <si>
    <t>35150-0212</t>
  </si>
  <si>
    <t>MG625305-1</t>
  </si>
  <si>
    <t>35150-0213</t>
  </si>
  <si>
    <t>MG625305-3</t>
  </si>
  <si>
    <t>35150-0214</t>
  </si>
  <si>
    <t>MG625305-2</t>
  </si>
  <si>
    <t>35150-0219</t>
  </si>
  <si>
    <t>MG625305T</t>
  </si>
  <si>
    <t>35150-2219</t>
  </si>
  <si>
    <t>MG625305T-1</t>
  </si>
  <si>
    <t>35150-3219</t>
  </si>
  <si>
    <t>MG625305T-3</t>
  </si>
  <si>
    <t>35150-4219</t>
  </si>
  <si>
    <t>MG625305T-2</t>
  </si>
  <si>
    <t>35150-0200</t>
  </si>
  <si>
    <t>MG625306</t>
  </si>
  <si>
    <t>35150-0202</t>
  </si>
  <si>
    <t>MG625306-1</t>
  </si>
  <si>
    <t>35150-0203</t>
  </si>
  <si>
    <t>MG625306-3</t>
  </si>
  <si>
    <t>35150-0204</t>
  </si>
  <si>
    <t>MG625306-2</t>
  </si>
  <si>
    <t>35150-0209</t>
  </si>
  <si>
    <t>MG625306T</t>
  </si>
  <si>
    <t>35150-2209</t>
  </si>
  <si>
    <t>MG625306T-1</t>
  </si>
  <si>
    <t>35150-3209</t>
  </si>
  <si>
    <t>MG625306T-3</t>
  </si>
  <si>
    <t>35150-4209</t>
  </si>
  <si>
    <t>MG625306T-2</t>
  </si>
  <si>
    <t>35151-0310</t>
  </si>
  <si>
    <t>MG615307</t>
  </si>
  <si>
    <t>35151-0312</t>
  </si>
  <si>
    <t>MG615307-1</t>
  </si>
  <si>
    <t>35151-0313</t>
  </si>
  <si>
    <t>MG615307-3</t>
  </si>
  <si>
    <t>35151-0314</t>
  </si>
  <si>
    <t>MG615307-2</t>
  </si>
  <si>
    <t>35151-0319</t>
  </si>
  <si>
    <t>MG615307T</t>
  </si>
  <si>
    <t>35151-2319</t>
  </si>
  <si>
    <t>MG615307T-1</t>
  </si>
  <si>
    <t>35151-3319</t>
  </si>
  <si>
    <t>MG615307T-3</t>
  </si>
  <si>
    <t>35151-4319</t>
  </si>
  <si>
    <t>MG615307T-2</t>
  </si>
  <si>
    <t>35150-0310</t>
  </si>
  <si>
    <t>MG625308</t>
  </si>
  <si>
    <t>35150-0312</t>
  </si>
  <si>
    <t>MG625308-1</t>
  </si>
  <si>
    <t>35150-0313</t>
  </si>
  <si>
    <t>MG62530-3</t>
  </si>
  <si>
    <t>35150-0314</t>
  </si>
  <si>
    <t>MG625308-2</t>
  </si>
  <si>
    <t>35150-0319</t>
  </si>
  <si>
    <t>MG625308T</t>
  </si>
  <si>
    <t>35150-2319</t>
  </si>
  <si>
    <t>MG625308T-1</t>
  </si>
  <si>
    <t>35150-3319</t>
  </si>
  <si>
    <t>MG625308T-3</t>
  </si>
  <si>
    <t>35150-4319</t>
  </si>
  <si>
    <t>MG625308T-2</t>
  </si>
  <si>
    <t>35150-0300</t>
  </si>
  <si>
    <t>MG625309</t>
  </si>
  <si>
    <t>35150-0302</t>
  </si>
  <si>
    <t>MG625309-1</t>
  </si>
  <si>
    <t>35150-0303</t>
  </si>
  <si>
    <t>MG625309-3</t>
  </si>
  <si>
    <t>35150-0304</t>
  </si>
  <si>
    <t>MG625309-2</t>
  </si>
  <si>
    <t>35150-0309</t>
  </si>
  <si>
    <t>MG625309T</t>
  </si>
  <si>
    <t>35150-2309</t>
  </si>
  <si>
    <t>MG625309T-1</t>
  </si>
  <si>
    <t>35150-3309</t>
  </si>
  <si>
    <t>MG625309T-3</t>
  </si>
  <si>
    <t>35150-4309</t>
  </si>
  <si>
    <t>MG625309T-2</t>
  </si>
  <si>
    <t>35151-0410</t>
  </si>
  <si>
    <t>MG615310</t>
  </si>
  <si>
    <t>35151-0412</t>
  </si>
  <si>
    <t>MG615310-1</t>
  </si>
  <si>
    <t>35151-0413</t>
  </si>
  <si>
    <t>MG615310-3</t>
  </si>
  <si>
    <t>35151-0414</t>
  </si>
  <si>
    <t>MG615310-2</t>
  </si>
  <si>
    <t>35151-0419</t>
  </si>
  <si>
    <t>MG615310T</t>
  </si>
  <si>
    <t>35151-2419</t>
  </si>
  <si>
    <t>MG615310T-1</t>
  </si>
  <si>
    <t>35151-3419</t>
  </si>
  <si>
    <t>MG615310T-3</t>
  </si>
  <si>
    <t>35151-4419</t>
  </si>
  <si>
    <t>MG615310T-2</t>
  </si>
  <si>
    <t>35150-0410</t>
  </si>
  <si>
    <t>MG625311</t>
  </si>
  <si>
    <t>35150-0412</t>
  </si>
  <si>
    <t>MG625311-1</t>
  </si>
  <si>
    <t>35150-0413</t>
  </si>
  <si>
    <t>MG625311-3</t>
  </si>
  <si>
    <t>35150-0414</t>
  </si>
  <si>
    <t>MG625311-2</t>
  </si>
  <si>
    <t>35150-0419</t>
  </si>
  <si>
    <t>MG625311T</t>
  </si>
  <si>
    <t>35150-2419</t>
  </si>
  <si>
    <t>MG625311T-1</t>
  </si>
  <si>
    <t>35150-3419</t>
  </si>
  <si>
    <t>MG625311T-3</t>
  </si>
  <si>
    <t>35150-4419</t>
  </si>
  <si>
    <t>MG625311T-2</t>
  </si>
  <si>
    <t>35150-0400</t>
  </si>
  <si>
    <t>MG625312</t>
  </si>
  <si>
    <t>35150-0402</t>
  </si>
  <si>
    <t>MG625312-1</t>
  </si>
  <si>
    <t>35150-0403</t>
  </si>
  <si>
    <t>MG625312-3</t>
  </si>
  <si>
    <t>35150-0404</t>
  </si>
  <si>
    <t>MG625312-2</t>
  </si>
  <si>
    <t>35150-0409</t>
  </si>
  <si>
    <t>MG625312T</t>
  </si>
  <si>
    <t>35150-2409</t>
  </si>
  <si>
    <t>MG625312T-1</t>
  </si>
  <si>
    <t>35150-3409</t>
  </si>
  <si>
    <t>MG625312T-3</t>
  </si>
  <si>
    <t>35150-4409</t>
  </si>
  <si>
    <t>MG625312T-2</t>
  </si>
  <si>
    <t>35151-0610</t>
  </si>
  <si>
    <t>MG615313</t>
  </si>
  <si>
    <t>35151-0612</t>
  </si>
  <si>
    <t>MG615313-1</t>
  </si>
  <si>
    <t>35151-0613</t>
  </si>
  <si>
    <t>MG61531-3</t>
  </si>
  <si>
    <t>35151-0614</t>
  </si>
  <si>
    <t>MG615313-2</t>
  </si>
  <si>
    <t>35151-0619</t>
  </si>
  <si>
    <t>MG615313T</t>
  </si>
  <si>
    <t>35151-2619</t>
  </si>
  <si>
    <t>MG615313T-1</t>
  </si>
  <si>
    <t>35151-3619</t>
  </si>
  <si>
    <t>MG615313T-3</t>
  </si>
  <si>
    <t>35151-4619</t>
  </si>
  <si>
    <t>MG615313T-2</t>
  </si>
  <si>
    <t>35150-0610</t>
  </si>
  <si>
    <t>MG625314</t>
  </si>
  <si>
    <t>35150-0612</t>
  </si>
  <si>
    <t>MG625314-1</t>
  </si>
  <si>
    <t>35150-0613</t>
  </si>
  <si>
    <t>MG625314-3</t>
  </si>
  <si>
    <t>35150-0614</t>
  </si>
  <si>
    <t>MG625314-2</t>
  </si>
  <si>
    <t>35150-0619</t>
  </si>
  <si>
    <t>MG625314T</t>
  </si>
  <si>
    <t>35150-2619</t>
  </si>
  <si>
    <t>MG625314T-1</t>
  </si>
  <si>
    <t>35150-3619</t>
  </si>
  <si>
    <t>MG625314T-3</t>
  </si>
  <si>
    <t>35150-4619</t>
  </si>
  <si>
    <t>MG625314T-2</t>
  </si>
  <si>
    <t>35150-0600</t>
  </si>
  <si>
    <t>MG625315</t>
  </si>
  <si>
    <t>35150-0602</t>
  </si>
  <si>
    <t>MG625315-1</t>
  </si>
  <si>
    <t>35150-0603</t>
  </si>
  <si>
    <t>MG625315-3</t>
  </si>
  <si>
    <t>35150-0604</t>
  </si>
  <si>
    <t>MG625315-2</t>
  </si>
  <si>
    <t>35150-0609</t>
  </si>
  <si>
    <t>MG625315T</t>
  </si>
  <si>
    <t>35150-2609</t>
  </si>
  <si>
    <t>MG625315T-1</t>
  </si>
  <si>
    <t>35150-3609</t>
  </si>
  <si>
    <t>MG625315T-3</t>
  </si>
  <si>
    <t>35150-4609</t>
  </si>
  <si>
    <t>MG625315T-2</t>
  </si>
  <si>
    <t>35150-0290</t>
  </si>
  <si>
    <t>MG635317</t>
  </si>
  <si>
    <t>35150-0292</t>
  </si>
  <si>
    <t>MG635317-1</t>
  </si>
  <si>
    <t>35150-0390</t>
  </si>
  <si>
    <t>MG635318</t>
  </si>
  <si>
    <t>35150-0392</t>
  </si>
  <si>
    <t>MG635318-1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</si>
</sst>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1">
    <numFmt numFmtId="164" formatCode="0.0"/>
  </numFmts>
  <fonts count="27"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맑은 고딕"/>
      <charset val="0"/>
    </font>
    <font>
      <b/>
      <sz val="28"/>
      <name val="맑은 고딕"/>
      <charset val="0"/>
    </font>
    <font>
      <b/>
      <sz val="18"/>
      <name val="돋움"/>
      <charset val="0"/>
    </font>
    <font>
      <b/>
      <sz val="10"/>
      <name val="돋움"/>
      <charset val="0"/>
    </font>
    <font>
      <sz val="10"/>
      <name val="돋움"/>
      <charset val="0"/>
    </font>
    <font>
      <b/>
      <sz val="10"/>
      <name val="돋움체"/>
      <charset val="0"/>
    </font>
    <font>
      <b/>
      <sz val="9"/>
      <name val="돋움"/>
      <charset val="0"/>
    </font>
    <font>
      <sz val="9"/>
      <name val="돋움"/>
      <charset val="0"/>
    </font>
    <font>
      <sz val="7.6"/>
      <name val="돋움"/>
      <charset val="0"/>
    </font>
    <font>
      <sz val="7"/>
      <name val="돋움"/>
      <charset val="0"/>
    </font>
    <font>
      <b/>
      <sz val="10"/>
      <name val="굴림"/>
      <charset val="0"/>
    </font>
    <font>
      <sz val="9"/>
      <name val="굴림"/>
      <charset val="0"/>
    </font>
    <font>
      <b/>
      <sz val="13"/>
      <name val="돋움"/>
      <charset val="0"/>
    </font>
    <font>
      <b/>
      <sz val="11"/>
      <name val="돋움"/>
      <charset val="0"/>
    </font>
    <font>
      <b/>
      <sz val="15"/>
      <name val="굴림"/>
      <charset val="0"/>
    </font>
    <font>
      <sz val="9"/>
      <name val="굴림체"/>
      <charset val="0"/>
    </font>
    <font>
      <b/>
      <sz val="11"/>
      <name val="맑은 고딕"/>
      <charset val="0"/>
    </font>
    <font>
      <b/>
      <sz val="9"/>
      <name val="굴림체"/>
      <charset val="0"/>
    </font>
    <font>
      <sz val="9"/>
      <name val="맑은 고딕"/>
      <charset val="0"/>
    </font>
    <font>
      <b/>
      <sz val="9"/>
      <name val="맑은 고딕"/>
      <charset val="0"/>
    </font>
    <font>
      <sz val="9"/>
      <name val="Arial"/>
      <charset val="0"/>
    </font>
    <font>
      <sz val="11"/>
      <color rgb="FFFF0000"/>
      <name val="맑은 고딕"/>
      <charset val="0"/>
    </font>
  </fonts>
  <fills count="6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FCD5B4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69">
    <xf numFmtId="0" fontId="0" fillId="0" borderId="0"/>
    <xf numFmtId="0" fontId="1" fillId="0" borderId="0" applyAlignment="0" applyBorder="0" applyNumberFormat="0" applyFill="0" applyProtection="0"/>
    <xf numFmtId="0" fontId="1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43" fontId="1" fillId="0" borderId="0" applyAlignment="0" applyBorder="0" applyFont="0" applyFill="0" applyProtection="0"/>
    <xf numFmtId="41" fontId="1" fillId="0" borderId="0" applyAlignment="0" applyBorder="0" applyFont="0" applyFill="0" applyProtection="0"/>
    <xf numFmtId="44" fontId="1" fillId="0" borderId="0" applyAlignment="0" applyBorder="0" applyFont="0" applyFill="0" applyProtection="0"/>
    <xf numFmtId="42" fontId="1" fillId="0" borderId="0" applyAlignment="0" applyBorder="0" applyFont="0" applyFill="0" applyProtection="0"/>
    <xf numFmtId="9" fontId="1" fillId="0" borderId="0" applyAlignment="0" applyBorder="0" applyFont="0" applyFill="0" applyProtection="0"/>
    <xf numFmtId="0" fontId="0" fillId="0" borderId="0"/>
    <xf numFmtId="0" fontId="0" fillId="0" borderId="0">
      <protection locked="0"/>
    </xf>
    <xf numFmtId="0" fontId="0" fillId="0" borderId="0"/>
    <xf numFmtId="0" fontId="0" fillId="0" borderId="0">
      <protection locked="0"/>
    </xf>
    <xf numFmtId="0" fontId="0" fillId="0" borderId="0"/>
    <xf numFmtId="0" fontId="0" fillId="0" borderId="0">
      <protection locked="0"/>
    </xf>
    <xf numFmtId="0" fontId="0" fillId="0" borderId="0"/>
    <xf numFmtId="0" fontId="0" fillId="0" borderId="0">
      <protection locked="0"/>
    </xf>
    <xf numFmtId="0" fontId="0" fillId="0" borderId="0"/>
    <xf numFmtId="0" fontId="0" fillId="0" borderId="0">
      <protection locked="0"/>
    </xf>
  </cellStyleXfs>
  <cellXfs>
    <xf numFmtId="0" fontId="0" fillId="0" borderId="0" xfId="0"/>
    <xf numFmtId="0" fontId="5" fillId="0" borderId="0" xfId="0" applyAlignment="1" applyFont="1">
      <alignment vertical="center"/>
    </xf>
    <xf numFmtId="0" fontId="6" fillId="0" borderId="1" xfId="0" applyAlignment="1" applyBorder="1" applyFont="1">
      <alignment horizontal="center" vertical="top"/>
    </xf>
    <xf numFmtId="0" fontId="6" fillId="0" borderId="1" xfId="0" applyAlignment="1" applyBorder="1" applyFont="1">
      <alignment horizontal="center" vertical="top" wrapText="1"/>
    </xf>
    <xf numFmtId="0" fontId="6" fillId="0" borderId="0" xfId="0" applyAlignment="1" applyFont="1">
      <alignment horizontal="center" vertical="top" wrapText="1"/>
    </xf>
    <xf numFmtId="49" fontId="6" fillId="0" borderId="0" xfId="0" applyAlignment="1" applyFont="1" applyNumberFormat="1">
      <alignment horizontal="center" vertical="top" wrapText="1"/>
    </xf>
    <xf numFmtId="0" fontId="5" fillId="0" borderId="0" xfId="0" applyAlignment="1" applyFont="1">
      <alignment horizontal="center" vertical="center"/>
    </xf>
    <xf numFmtId="0" fontId="7" fillId="0" borderId="2" xfId="0" applyAlignment="1" applyBorder="1" applyFont="1">
      <alignment horizontal="left" vertical="center"/>
    </xf>
    <xf numFmtId="0" fontId="7" fillId="0" borderId="2" xfId="0" applyAlignment="1" applyBorder="1" applyFont="1">
      <alignment horizontal="left" vertical="center" wrapText="1"/>
    </xf>
    <xf numFmtId="0" fontId="7" fillId="0" borderId="3" xfId="0" applyAlignment="1" applyBorder="1" applyFont="1">
      <alignment horizontal="left" vertical="center" wrapText="1"/>
    </xf>
    <xf numFmtId="0" fontId="7" fillId="0" borderId="4" xfId="0" applyAlignment="1" applyBorder="1" applyFont="1">
      <alignment horizontal="left" vertical="center" wrapText="1"/>
    </xf>
    <xf numFmtId="0" fontId="8" fillId="0" borderId="1" xfId="0" applyAlignment="1" applyBorder="1" applyFont="1">
      <alignment horizontal="center" vertical="center"/>
    </xf>
    <xf numFmtId="0" fontId="8" fillId="0" borderId="1" xfId="0" applyAlignment="1" applyBorder="1" applyFont="1">
      <alignment horizontal="center" vertical="center" wrapText="1"/>
    </xf>
    <xf numFmtId="0" fontId="8" fillId="0" borderId="0" xfId="0" applyAlignment="1" applyFont="1">
      <alignment horizontal="center" vertical="center" wrapText="1"/>
    </xf>
    <xf numFmtId="49" fontId="8" fillId="0" borderId="0" xfId="0" applyAlignment="1" applyFont="1" applyNumberFormat="1">
      <alignment horizontal="center" vertical="center" wrapText="1"/>
    </xf>
    <xf numFmtId="0" fontId="7" fillId="0" borderId="5" xfId="0" applyAlignment="1" applyBorder="1" applyFont="1">
      <alignment horizontal="left" vertical="center" wrapText="1"/>
    </xf>
    <xf numFmtId="0" fontId="7" fillId="0" borderId="6" xfId="0" applyAlignment="1" applyBorder="1" applyFont="1">
      <alignment horizontal="left" vertical="center" wrapText="1"/>
    </xf>
    <xf numFmtId="0" fontId="7" fillId="0" borderId="7" xfId="0" applyAlignment="1" applyBorder="1" applyFont="1">
      <alignment horizontal="left" vertical="center" wrapText="1"/>
    </xf>
    <xf numFmtId="0" fontId="9" fillId="0" borderId="1" xfId="0" applyAlignment="1" applyBorder="1" applyFont="1">
      <alignment horizontal="center" vertical="center"/>
    </xf>
    <xf numFmtId="0" fontId="9" fillId="0" borderId="1" xfId="0" applyAlignment="1" applyBorder="1" applyFont="1">
      <alignment horizontal="center" vertical="center" wrapText="1"/>
    </xf>
    <xf numFmtId="0" fontId="10" fillId="0" borderId="1" xfId="0" applyAlignment="1" applyBorder="1" applyFont="1">
      <alignment horizontal="center" vertical="center"/>
    </xf>
    <xf numFmtId="0" fontId="10" fillId="0" borderId="1" xfId="0" applyAlignment="1" applyBorder="1" applyFont="1">
      <alignment horizontal="center" vertical="center" wrapText="1"/>
    </xf>
    <xf numFmtId="0" fontId="9" fillId="0" borderId="0" xfId="0" applyAlignment="1" applyFont="1">
      <alignment horizontal="center" vertical="center" wrapText="1"/>
    </xf>
    <xf numFmtId="49" fontId="9" fillId="0" borderId="0" xfId="0" applyAlignment="1" applyFont="1" applyNumberFormat="1">
      <alignment horizontal="center" vertical="center" wrapText="1"/>
    </xf>
    <xf numFmtId="0" fontId="8" fillId="0" borderId="8" xfId="0" applyAlignment="1" applyBorder="1" applyFont="1">
      <alignment horizontal="center" vertical="center"/>
    </xf>
    <xf numFmtId="0" fontId="8" fillId="0" borderId="8" xfId="0" applyAlignment="1" applyBorder="1" applyFont="1">
      <alignment horizontal="center" vertical="center" wrapText="1"/>
    </xf>
    <xf numFmtId="0" fontId="11" fillId="0" borderId="1" xfId="0" applyAlignment="1" applyBorder="1" applyFont="1">
      <alignment horizontal="center" vertical="center"/>
    </xf>
    <xf numFmtId="0" fontId="11" fillId="0" borderId="1" xfId="0" applyAlignment="1" applyBorder="1" applyFont="1">
      <alignment horizontal="center" vertical="center" wrapText="1"/>
    </xf>
    <xf numFmtId="0" fontId="11" fillId="0" borderId="0" xfId="0" applyAlignment="1" applyFont="1">
      <alignment horizontal="center" vertical="center" wrapText="1"/>
    </xf>
    <xf numFmtId="49" fontId="11" fillId="0" borderId="0" xfId="0" applyAlignment="1" applyFont="1" applyNumberFormat="1">
      <alignment horizontal="center" vertical="center" wrapText="1"/>
    </xf>
    <xf numFmtId="0" fontId="8" fillId="0" borderId="9" xfId="0" applyAlignment="1" applyBorder="1" applyFont="1">
      <alignment horizontal="center" vertical="center" wrapText="1"/>
    </xf>
    <xf numFmtId="0" fontId="12" fillId="0" borderId="1" xfId="0" applyAlignment="1" applyBorder="1" applyFont="1">
      <alignment horizontal="center" vertical="center"/>
    </xf>
    <xf numFmtId="14" fontId="12" fillId="0" borderId="1" xfId="0" applyAlignment="1" applyBorder="1" applyFont="1" applyNumberFormat="1">
      <alignment horizontal="center" vertical="center"/>
    </xf>
    <xf numFmtId="0" fontId="12" fillId="0" borderId="1" xfId="0" applyAlignment="1" applyBorder="1" applyFont="1">
      <alignment vertical="center"/>
    </xf>
    <xf numFmtId="0" fontId="12" fillId="0" borderId="1" xfId="0" applyAlignment="1" applyBorder="1" applyFont="1">
      <alignment horizontal="center" vertical="center" wrapText="1"/>
    </xf>
    <xf numFmtId="0" fontId="12" fillId="0" borderId="0" xfId="0" applyAlignment="1" applyFont="1">
      <alignment horizontal="center" vertical="center"/>
    </xf>
    <xf numFmtId="49" fontId="12" fillId="0" borderId="0" xfId="0" applyAlignment="1" applyFont="1" applyNumberFormat="1">
      <alignment horizontal="center" vertical="center"/>
    </xf>
    <xf numFmtId="0" fontId="13" fillId="0" borderId="1" xfId="0" applyAlignment="1" applyBorder="1" applyFont="1">
      <alignment horizontal="center" vertical="center"/>
    </xf>
    <xf numFmtId="0" fontId="14" fillId="0" borderId="1" xfId="0" applyAlignment="1" applyBorder="1" applyFont="1">
      <alignment horizontal="center" vertical="center"/>
    </xf>
    <xf numFmtId="0" fontId="8" fillId="0" borderId="10" xfId="0" applyAlignment="1" applyBorder="1" applyFont="1">
      <alignment horizontal="center" vertical="center" wrapText="1"/>
    </xf>
    <xf numFmtId="0" fontId="12" fillId="2" borderId="1" xfId="0" applyAlignment="1" applyBorder="1" applyFont="1" applyFill="1">
      <alignment horizontal="center" vertical="center"/>
    </xf>
    <xf numFmtId="0" fontId="15" fillId="0" borderId="1" xfId="0" applyAlignment="1" applyBorder="1" applyFont="1">
      <alignment horizontal="center" vertical="center"/>
    </xf>
    <xf numFmtId="0" fontId="15" fillId="0" borderId="1" xfId="0" applyAlignment="1" applyBorder="1" applyFont="1">
      <alignment horizontal="center" vertical="center" wrapText="1"/>
    </xf>
    <xf numFmtId="0" fontId="16" fillId="0" borderId="1" xfId="0" applyAlignment="1" applyBorder="1" applyFont="1">
      <alignment horizontal="left" vertical="center"/>
    </xf>
    <xf numFmtId="0" fontId="16" fillId="0" borderId="1" xfId="0" applyAlignment="1" applyBorder="1" applyFont="1">
      <alignment horizontal="left" vertical="center" wrapText="1"/>
    </xf>
    <xf numFmtId="0" fontId="16" fillId="0" borderId="0" xfId="0" applyAlignment="1" applyFont="1">
      <alignment horizontal="center" vertical="center" wrapText="1"/>
    </xf>
    <xf numFmtId="49" fontId="16" fillId="0" borderId="0" xfId="0" applyAlignment="1" applyFont="1" applyNumberFormat="1">
      <alignment horizontal="center" vertical="center" wrapText="1"/>
    </xf>
    <xf numFmtId="0" fontId="17" fillId="0" borderId="1" xfId="0" applyAlignment="1" applyBorder="1" applyFont="1">
      <alignment horizontal="center" vertical="center"/>
    </xf>
    <xf numFmtId="0" fontId="17" fillId="0" borderId="1" xfId="0" applyAlignment="1" applyBorder="1" applyFont="1">
      <alignment horizontal="center" vertical="center" wrapText="1"/>
    </xf>
    <xf numFmtId="0" fontId="17" fillId="0" borderId="0" xfId="0" applyAlignment="1" applyFont="1">
      <alignment horizontal="center" vertical="center" wrapText="1"/>
    </xf>
    <xf numFmtId="49" fontId="17" fillId="0" borderId="0" xfId="0" applyAlignment="1" applyFont="1" applyNumberFormat="1">
      <alignment horizontal="center" vertical="center" wrapText="1"/>
    </xf>
    <xf numFmtId="0" fontId="18" fillId="0" borderId="1" xfId="0" applyAlignment="1" applyBorder="1" applyFont="1">
      <alignment horizontal="center" vertical="top"/>
    </xf>
    <xf numFmtId="0" fontId="18" fillId="0" borderId="1" xfId="0" applyAlignment="1" applyBorder="1" applyFont="1">
      <alignment horizontal="center" vertical="top" wrapText="1"/>
    </xf>
    <xf numFmtId="0" fontId="11" fillId="0" borderId="1" xfId="0" applyAlignment="1" applyBorder="1" applyFont="1">
      <alignment horizontal="center" vertical="top" wrapText="1"/>
    </xf>
    <xf numFmtId="49" fontId="11" fillId="0" borderId="5" xfId="0" applyAlignment="1" applyBorder="1" applyFont="1" applyNumberFormat="1">
      <alignment horizontal="center" vertical="center"/>
    </xf>
    <xf numFmtId="49" fontId="11" fillId="0" borderId="5" xfId="0" applyAlignment="1" applyBorder="1" applyFont="1" applyNumberFormat="1">
      <alignment horizontal="center" vertical="center" wrapText="1"/>
    </xf>
    <xf numFmtId="49" fontId="11" fillId="0" borderId="6" xfId="0" applyAlignment="1" applyBorder="1" applyFont="1" applyNumberFormat="1">
      <alignment horizontal="center" vertical="center"/>
    </xf>
    <xf numFmtId="49" fontId="11" fillId="0" borderId="6" xfId="0" applyAlignment="1" applyBorder="1" applyFont="1" applyNumberFormat="1">
      <alignment horizontal="center" vertical="center" wrapText="1"/>
    </xf>
    <xf numFmtId="0" fontId="19" fillId="0" borderId="8" xfId="0" applyAlignment="1" applyBorder="1" applyFont="1">
      <alignment horizontal="center" vertical="center"/>
    </xf>
    <xf numFmtId="0" fontId="19" fillId="0" borderId="8" xfId="0" applyAlignment="1" applyBorder="1" applyFont="1">
      <alignment horizontal="center" vertical="center" wrapText="1"/>
    </xf>
    <xf numFmtId="0" fontId="16" fillId="0" borderId="1" xfId="0" applyAlignment="1" applyBorder="1" applyFont="1">
      <alignment horizontal="center" vertical="center" wrapText="1"/>
    </xf>
    <xf numFmtId="0" fontId="20" fillId="0" borderId="1" xfId="0" applyAlignment="1" applyBorder="1" applyFont="1">
      <alignment horizontal="center" vertical="center" wrapText="1"/>
    </xf>
    <xf numFmtId="164" fontId="16" fillId="0" borderId="1" xfId="0" applyAlignment="1" applyBorder="1" applyFont="1" applyNumberFormat="1">
      <alignment horizontal="center" vertical="center" wrapText="1"/>
    </xf>
    <xf numFmtId="0" fontId="16" fillId="0" borderId="8" xfId="0" applyAlignment="1" applyBorder="1" applyFont="1">
      <alignment horizontal="center" vertical="center"/>
    </xf>
    <xf numFmtId="0" fontId="16" fillId="0" borderId="8" xfId="0" applyAlignment="1" applyBorder="1" applyFont="1">
      <alignment horizontal="center" vertical="center" wrapText="1"/>
    </xf>
    <xf numFmtId="49" fontId="16" fillId="0" borderId="1" xfId="0" applyAlignment="1" applyBorder="1" applyFont="1" applyNumberFormat="1">
      <alignment horizontal="center" vertical="center" wrapText="1"/>
    </xf>
    <xf numFmtId="0" fontId="20" fillId="0" borderId="0" xfId="0" applyAlignment="1" applyFont="1">
      <alignment horizontal="left" vertical="center"/>
    </xf>
    <xf numFmtId="0" fontId="20" fillId="0" borderId="0" xfId="0" applyAlignment="1" applyFont="1">
      <alignment horizontal="left" vertical="center" wrapText="1"/>
    </xf>
    <xf numFmtId="0" fontId="19" fillId="0" borderId="9" xfId="0" applyAlignment="1" applyBorder="1" applyFont="1">
      <alignment horizontal="center" vertical="center" wrapText="1"/>
    </xf>
    <xf numFmtId="0" fontId="16" fillId="0" borderId="9" xfId="0" applyAlignment="1" applyBorder="1" applyFont="1">
      <alignment horizontal="center" vertical="center" wrapText="1"/>
    </xf>
    <xf numFmtId="0" fontId="16" fillId="0" borderId="10" xfId="0" applyAlignment="1" applyBorder="1" applyFont="1">
      <alignment horizontal="center" vertical="center" wrapText="1"/>
    </xf>
    <xf numFmtId="0" fontId="20" fillId="0" borderId="8" xfId="0" applyAlignment="1" applyBorder="1" applyFont="1">
      <alignment horizontal="center" vertical="center"/>
    </xf>
    <xf numFmtId="0" fontId="20" fillId="0" borderId="8" xfId="0" applyAlignment="1" applyBorder="1" applyFont="1">
      <alignment horizontal="center" vertical="center" wrapText="1"/>
    </xf>
    <xf numFmtId="0" fontId="20" fillId="0" borderId="10" xfId="0" applyAlignment="1" applyBorder="1" applyFont="1">
      <alignment horizontal="center" vertical="center" wrapText="1"/>
    </xf>
    <xf numFmtId="0" fontId="20" fillId="2" borderId="8" xfId="0" applyAlignment="1" applyBorder="1" applyFont="1" applyFill="1">
      <alignment horizontal="center" vertical="center"/>
    </xf>
    <xf numFmtId="0" fontId="20" fillId="2" borderId="8" xfId="0" applyAlignment="1" applyBorder="1" applyFont="1" applyFill="1">
      <alignment horizontal="center" vertical="center" wrapText="1"/>
    </xf>
    <xf numFmtId="0" fontId="20" fillId="2" borderId="10" xfId="0" applyAlignment="1" applyBorder="1" applyFont="1" applyFill="1">
      <alignment horizontal="center" vertical="center" wrapText="1"/>
    </xf>
    <xf numFmtId="0" fontId="5" fillId="2" borderId="0" xfId="0" applyAlignment="1" applyFont="1" applyFill="1">
      <alignment vertical="center"/>
    </xf>
    <xf numFmtId="0" fontId="20" fillId="2" borderId="1" xfId="0" applyAlignment="1" applyBorder="1" applyFont="1" applyFill="1">
      <alignment horizontal="center" vertical="center" wrapText="1"/>
    </xf>
    <xf numFmtId="0" fontId="5" fillId="2" borderId="0" xfId="0" applyAlignment="1" applyFont="1" applyFill="1">
      <alignment horizontal="center" vertical="center"/>
    </xf>
    <xf numFmtId="0" fontId="20" fillId="2" borderId="0" xfId="0" applyAlignment="1" applyFont="1" applyFill="1">
      <alignment horizontal="left" vertical="center"/>
    </xf>
    <xf numFmtId="0" fontId="20" fillId="2" borderId="9" xfId="0" applyAlignment="1" applyBorder="1" applyFont="1" applyFill="1">
      <alignment horizontal="center" vertical="center" wrapText="1"/>
    </xf>
    <xf numFmtId="0" fontId="19" fillId="0" borderId="10" xfId="0" applyAlignment="1" applyBorder="1" applyFont="1">
      <alignment horizontal="center" vertical="center" wrapText="1"/>
    </xf>
    <xf numFmtId="0" fontId="19" fillId="0" borderId="1" xfId="0" applyAlignment="1" applyBorder="1" applyFont="1">
      <alignment horizontal="center" vertical="center" wrapText="1"/>
    </xf>
    <xf numFmtId="0" fontId="20" fillId="0" borderId="9" xfId="0" applyAlignment="1" applyBorder="1" applyFont="1">
      <alignment horizontal="center" vertical="center" wrapText="1"/>
    </xf>
    <xf numFmtId="49" fontId="5" fillId="0" borderId="0" xfId="0" applyAlignment="1" applyFont="1" applyNumberFormat="1">
      <alignment horizontal="center" vertical="center"/>
    </xf>
    <xf numFmtId="0" fontId="21" fillId="0" borderId="1" xfId="0" applyAlignment="1" applyBorder="1" applyFont="1">
      <alignment horizontal="center" vertical="center"/>
    </xf>
    <xf numFmtId="0" fontId="21" fillId="0" borderId="1" xfId="0" applyAlignment="1" applyBorder="1" applyFont="1">
      <alignment horizontal="center" vertical="center" wrapText="1"/>
    </xf>
    <xf numFmtId="0" fontId="21" fillId="0" borderId="0" xfId="0" applyAlignment="1" applyFont="1">
      <alignment horizontal="center" vertical="center"/>
    </xf>
    <xf numFmtId="0" fontId="5" fillId="0" borderId="0" xfId="0" applyAlignment="1" applyFont="1">
      <alignment horizontal="left" vertical="center"/>
    </xf>
    <xf numFmtId="0" fontId="22" fillId="3" borderId="1" xfId="0" applyAlignment="1" applyBorder="1" applyFont="1" applyFill="1">
      <alignment horizontal="center" vertical="center"/>
    </xf>
    <xf numFmtId="49" fontId="22" fillId="3" borderId="1" xfId="0" applyAlignment="1" applyBorder="1" applyFont="1" applyNumberFormat="1" applyFill="1">
      <alignment horizontal="center" vertical="center"/>
    </xf>
    <xf numFmtId="0" fontId="22" fillId="3" borderId="0" xfId="0" applyAlignment="1" applyFont="1" applyFill="1">
      <alignment horizontal="center" vertical="center"/>
    </xf>
    <xf numFmtId="0" fontId="22" fillId="0" borderId="1" xfId="0" applyAlignment="1" applyBorder="1" applyFont="1">
      <alignment horizontal="center" vertical="center"/>
    </xf>
    <xf numFmtId="0" fontId="23" fillId="0" borderId="1" xfId="0" applyAlignment="1" applyBorder="1" applyFont="1">
      <alignment horizontal="center" vertical="center"/>
    </xf>
    <xf numFmtId="0" fontId="5" fillId="0" borderId="1" xfId="0" applyAlignment="1" applyBorder="1" applyFont="1">
      <alignment vertical="center"/>
    </xf>
    <xf numFmtId="0" fontId="23" fillId="2" borderId="1" xfId="0" applyAlignment="1" applyBorder="1" applyFont="1" applyFill="1">
      <alignment horizontal="center" vertical="center"/>
    </xf>
    <xf numFmtId="0" fontId="24" fillId="0" borderId="1" xfId="0" applyAlignment="1" applyBorder="1" applyFont="1">
      <alignment horizontal="center" vertical="center"/>
    </xf>
    <xf numFmtId="49" fontId="24" fillId="0" borderId="1" xfId="0" applyAlignment="1" applyBorder="1" applyFont="1" applyNumberFormat="1">
      <alignment horizontal="center" vertical="center"/>
    </xf>
    <xf numFmtId="0" fontId="24" fillId="0" borderId="0" xfId="0" applyAlignment="1" applyFont="1">
      <alignment horizontal="center" vertical="center"/>
    </xf>
    <xf numFmtId="49" fontId="16" fillId="0" borderId="0" xfId="0" applyAlignment="1" applyFont="1" applyNumberFormat="1">
      <alignment horizontal="left" vertical="center"/>
    </xf>
    <xf numFmtId="49" fontId="24" fillId="0" borderId="8" xfId="0" applyAlignment="1" applyBorder="1" applyFont="1" applyNumberFormat="1">
      <alignment horizontal="center" vertical="center"/>
    </xf>
    <xf numFmtId="49" fontId="24" fillId="0" borderId="8" xfId="0" applyAlignment="1" applyBorder="1" applyFont="1" applyNumberFormat="1">
      <alignment horizontal="center" vertical="center" wrapText="1"/>
    </xf>
    <xf numFmtId="49" fontId="24" fillId="0" borderId="10" xfId="0" applyAlignment="1" applyBorder="1" applyFont="1" applyNumberFormat="1">
      <alignment horizontal="center" vertical="center"/>
    </xf>
    <xf numFmtId="49" fontId="24" fillId="0" borderId="10" xfId="0" applyAlignment="1" applyBorder="1" applyFont="1" applyNumberFormat="1">
      <alignment horizontal="center" vertical="center" wrapText="1"/>
    </xf>
    <xf numFmtId="49" fontId="24" fillId="0" borderId="1" xfId="0" applyAlignment="1" applyBorder="1" applyFont="1" applyNumberFormat="1">
      <alignment horizontal="center" vertical="center" wrapText="1"/>
    </xf>
    <xf numFmtId="0" fontId="24" fillId="0" borderId="1" xfId="0" applyAlignment="1" applyBorder="1" applyFont="1">
      <alignment vertical="center"/>
    </xf>
    <xf numFmtId="0" fontId="23" fillId="2" borderId="1" xfId="0" applyAlignment="1" applyBorder="1" applyFont="1" applyFill="1">
      <alignment vertical="center"/>
    </xf>
    <xf numFmtId="0" fontId="5" fillId="2" borderId="1" xfId="0" applyAlignment="1" applyBorder="1" applyFont="1" applyFill="1">
      <alignment vertical="center"/>
    </xf>
    <xf numFmtId="49" fontId="24" fillId="0" borderId="1" xfId="0" applyAlignment="1" applyBorder="1" applyFont="1" applyNumberFormat="1">
      <alignment vertical="center"/>
    </xf>
    <xf numFmtId="0" fontId="23" fillId="0" borderId="1" xfId="0" applyAlignment="1" applyBorder="1" applyFont="1">
      <alignment vertical="center"/>
    </xf>
    <xf numFmtId="0" fontId="23" fillId="0" borderId="0" xfId="0" applyAlignment="1" applyFont="1">
      <alignment vertical="center"/>
    </xf>
    <xf numFmtId="0" fontId="12" fillId="2" borderId="11" xfId="0" applyAlignment="1" applyBorder="1" applyFont="1" applyFill="1">
      <alignment horizontal="center" vertical="center"/>
    </xf>
    <xf numFmtId="0" fontId="12" fillId="2" borderId="12" xfId="0" applyAlignment="1" applyBorder="1" applyFont="1" applyFill="1">
      <alignment horizontal="center" vertical="center" wrapText="1"/>
    </xf>
    <xf numFmtId="0" fontId="12" fillId="4" borderId="13" xfId="0" applyAlignment="1" applyBorder="1" applyFont="1" applyFill="1">
      <alignment horizontal="center" vertical="center"/>
    </xf>
    <xf numFmtId="0" fontId="23" fillId="0" borderId="14" xfId="0" applyAlignment="1" applyBorder="1" applyFont="1">
      <alignment horizontal="center" vertical="center"/>
    </xf>
    <xf numFmtId="0" fontId="25" fillId="0" borderId="15" xfId="0" applyAlignment="1" applyBorder="1" applyFont="1">
      <alignment horizontal="center"/>
    </xf>
    <xf numFmtId="2" fontId="25" fillId="4" borderId="16" xfId="0" applyAlignment="1" applyBorder="1" applyFont="1" applyNumberFormat="1" applyFill="1">
      <alignment horizontal="center"/>
    </xf>
    <xf numFmtId="0" fontId="25" fillId="0" borderId="17" xfId="0" applyAlignment="1" applyBorder="1" applyFont="1">
      <alignment horizontal="center" vertical="center"/>
    </xf>
    <xf numFmtId="0" fontId="25" fillId="0" borderId="18" xfId="0" applyAlignment="1" applyBorder="1" applyFont="1">
      <alignment horizontal="center" vertical="center"/>
    </xf>
    <xf numFmtId="2" fontId="25" fillId="4" borderId="19" xfId="0" applyAlignment="1" applyBorder="1" applyFont="1" applyNumberFormat="1" applyFill="1">
      <alignment horizontal="center" vertical="center"/>
    </xf>
    <xf numFmtId="0" fontId="25" fillId="0" borderId="17" xfId="0" applyAlignment="1" applyBorder="1" applyFont="1">
      <alignment horizontal="center"/>
    </xf>
    <xf numFmtId="0" fontId="25" fillId="0" borderId="18" xfId="0" applyAlignment="1" applyBorder="1" applyFont="1">
      <alignment horizontal="center"/>
    </xf>
    <xf numFmtId="0" fontId="23" fillId="0" borderId="17" xfId="0" applyAlignment="1" applyBorder="1" applyFont="1">
      <alignment horizontal="center"/>
    </xf>
    <xf numFmtId="2" fontId="23" fillId="4" borderId="19" xfId="0" applyAlignment="1" applyBorder="1" applyFont="1" applyNumberFormat="1" applyFill="1">
      <alignment horizontal="center" vertical="center"/>
    </xf>
    <xf numFmtId="0" fontId="23" fillId="0" borderId="17" xfId="0" applyAlignment="1" applyBorder="1" applyFont="1">
      <alignment horizontal="center" vertical="center"/>
    </xf>
    <xf numFmtId="2" fontId="25" fillId="4" borderId="19" xfId="0" applyAlignment="1" applyBorder="1" applyFont="1" applyNumberFormat="1" applyFill="1">
      <alignment horizontal="center"/>
    </xf>
    <xf numFmtId="0" fontId="23" fillId="0" borderId="18" xfId="0" applyAlignment="1" applyBorder="1" applyFont="1">
      <alignment horizontal="center" vertical="center"/>
    </xf>
    <xf numFmtId="2" fontId="25" fillId="0" borderId="1" xfId="0" applyAlignment="1" applyBorder="1" applyFont="1" applyNumberFormat="1">
      <alignment horizontal="center" vertical="center"/>
    </xf>
    <xf numFmtId="0" fontId="25" fillId="2" borderId="1" xfId="0" applyAlignment="1" applyBorder="1" applyFont="1" applyFill="1">
      <alignment horizontal="center" vertical="center"/>
    </xf>
    <xf numFmtId="2" fontId="25" fillId="2" borderId="1" xfId="0" applyAlignment="1" applyBorder="1" applyFont="1" applyNumberFormat="1" applyFill="1">
      <alignment horizontal="center" vertical="center"/>
    </xf>
    <xf numFmtId="0" fontId="16" fillId="2" borderId="1" xfId="0" applyAlignment="1" applyBorder="1" applyFont="1" applyFill="1">
      <alignment horizontal="center" vertical="center" wrapText="1"/>
    </xf>
    <xf numFmtId="0" fontId="23" fillId="2" borderId="0" xfId="0" applyAlignment="1" applyFont="1" applyFill="1">
      <alignment horizontal="center" vertical="center"/>
    </xf>
    <xf numFmtId="0" fontId="23" fillId="0" borderId="0" xfId="0" applyAlignment="1" applyFont="1">
      <alignment horizontal="center" vertical="center"/>
    </xf>
    <xf numFmtId="0" fontId="12" fillId="2" borderId="1" xfId="0" applyAlignment="1" applyBorder="1" applyFont="1" applyFill="1">
      <alignment horizontal="center" vertical="center" wrapText="1"/>
    </xf>
    <xf numFmtId="0" fontId="23" fillId="0" borderId="1" xfId="0" applyAlignment="1" applyBorder="1" applyFont="1">
      <alignment horizontal="center" vertical="center" wrapText="1"/>
    </xf>
    <xf numFmtId="0" fontId="5" fillId="0" borderId="1" xfId="0" applyAlignment="1" applyBorder="1" applyFont="1">
      <alignment horizontal="center" vertical="center"/>
    </xf>
    <xf numFmtId="0" fontId="26" fillId="0" borderId="1" xfId="0" applyAlignment="1" applyBorder="1" applyFont="1">
      <alignment horizontal="center" vertical="center"/>
    </xf>
    <xf numFmtId="0" fontId="5" fillId="5" borderId="1" xfId="0" applyAlignment="1" applyBorder="1" applyFont="1" applyFill="1">
      <alignment horizontal="center" vertical="center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절압지도서LockedColumnStyle" xfId="20"/>
    <cellStyle name="절압지도서UnLockedColumnStyle" xfId="21"/>
    <cellStyle name="PTLockedColumnStyle" xfId="22"/>
    <cellStyle name="PTUnLockedColumnStyle" xfId="23"/>
    <cellStyle name="DATA(STRIP LENGTH)LockedColumnStyle" xfId="24"/>
    <cellStyle name="DATA(STRIP LENGTH)UnLockedColumnStyle" xfId="25"/>
    <cellStyle name="인장력LockedColumnStyle" xfId="26"/>
    <cellStyle name="인장력UnLockedColumnStyle" xfId="27"/>
    <cellStyle name="이원화LockedColumnStyle" xfId="28"/>
    <cellStyle name="이원화UnLockedColumnStyle" xfId="29"/>
  </cellStyles>
  <dxfs count="22">
    <dxf>
      <font/>
      <fill>
        <patternFill>
          <fgColor rgb="FFFF3300"/>
          <bgColor rgb="FFFCD5B5"/>
        </patternFill>
      </fill>
    </dxf>
    <dxf>
      <font/>
      <fill>
        <patternFill>
          <fgColor rgb="FFFFFFFF"/>
          <bgColor rgb="FFFF0000"/>
        </patternFill>
      </fill>
    </dxf>
    <dxf>
      <font/>
      <fill>
        <patternFill>
          <fgColor rgb="FFFFFFFF"/>
          <bgColor rgb="FF803D06"/>
        </patternFill>
      </fill>
    </dxf>
    <dxf>
      <font/>
      <fill>
        <patternFill>
          <fgColor rgb="FFFFFFFF"/>
          <bgColor rgb="FF000000"/>
        </patternFill>
      </fill>
    </dxf>
    <dxf>
      <font/>
      <fill>
        <patternFill>
          <fgColor rgb="FF000000"/>
          <bgColor rgb="FFFFFF00"/>
        </patternFill>
      </fill>
    </dxf>
    <dxf>
      <font/>
      <fill>
        <patternFill>
          <fgColor rgb="FF000000"/>
          <bgColor rgb="FFFF00FF"/>
        </patternFill>
      </fill>
    </dxf>
    <dxf>
      <font/>
      <fill>
        <patternFill>
          <fgColor rgb="FF000000"/>
          <bgColor rgb="FFB218B2"/>
        </patternFill>
      </fill>
    </dxf>
    <dxf>
      <font/>
      <fill>
        <patternFill>
          <fgColor rgb="FF000000"/>
          <bgColor rgb="FFA6A6A6"/>
        </patternFill>
      </fill>
    </dxf>
    <dxf>
      <font/>
      <fill>
        <patternFill>
          <fgColor rgb="FF000000"/>
          <bgColor rgb="FF00B050"/>
        </patternFill>
      </fill>
    </dxf>
    <dxf>
      <font/>
      <fill>
        <patternFill>
          <fgColor rgb="FFFFFFFF"/>
          <bgColor rgb="FF0000FF"/>
        </patternFill>
      </fill>
    </dxf>
    <dxf>
      <font/>
      <fill>
        <patternFill>
          <fgColor rgb="FFFFFFFF"/>
          <bgColor rgb="FF0000FF"/>
        </patternFill>
      </fill>
    </dxf>
    <dxf>
      <font/>
      <fill>
        <patternFill>
          <fgColor rgb="FFFFFFFF"/>
          <bgColor rgb="FF0000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/>
      <fill>
        <patternFill>
          <fgColor rgb="FFFFFFFF"/>
          <bgColor rgb="FF0000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>
        <b/>
      </font>
      <fill>
        <patternFill>
          <fgColor rgb="FFFF0000"/>
          <bgColor rgb="FFFFFFFF"/>
        </patternFill>
      </fill>
    </dxf>
    <dxf>
      <font/>
      <fill>
        <patternFill>
          <fgColor rgb="FFFFFFFF"/>
          <bgColor rgb="FF0000FF"/>
        </patternFill>
      </fill>
    </dxf>
  </dxfs>
  <tableStyle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externalLink" Target="/xl/externalLinks/externalLink1.xml" /><Relationship Id="rId7" Type="http://schemas.openxmlformats.org/officeDocument/2006/relationships/externalLink" Target="/xl/externalLinks/externalLink2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Bom%20Create_SPL%20&#50577;&#49885;_250304.xlsx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&#51208;&#50517;_DC93-01086A,C_250708.xlsx" TargetMode="External" /></Relationships>
</file>

<file path=xl/externalLinks/externalLink1.xml><?xml version="1.0" encoding="utf-8"?>
<externalLink xmlns="http://schemas.openxmlformats.org/spreadsheetml/2006/main">
  <externalBook xmlns:p2="http://schemas.openxmlformats.org/officeDocument/2006/relationships" p2:id="rId1">
    <sheetNames>
      <sheetName val="자코드"/>
    </sheetNames>
    <sheetDataSet>
      <sheetData refreshError="1" sheetId="0"/>
    </sheetDataSet>
  </externalBook>
</externalLink>
</file>

<file path=xl/externalLinks/externalLink2.xml><?xml version="1.0" encoding="utf-8"?>
<externalLink xmlns="http://schemas.openxmlformats.org/spreadsheetml/2006/main">
  <externalBook xmlns:p2="http://schemas.openxmlformats.org/officeDocument/2006/relationships" p2:id="rId1">
    <sheetNames>
      <sheetName val="이원화"/>
    </sheetNames>
    <sheetDataSet>
      <sheetData refreshError="1" sheetId="0"/>
    </sheetDataSet>
  </externalBook>
</externalLink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W100"/>
  <sheetViews>
    <sheetView topLeftCell="A11" view="normal" tabSelected="1" workbookViewId="0">
      <selection pane="topLeft" activeCell="M12" sqref="M12:N12"/>
    </sheetView>
  </sheetViews>
  <sheetFormatPr customHeight="true" defaultRowHeight="17.4"/>
  <cols>
    <col min="1" max="1" width="2.140625" customWidth="1"/>
    <col min="2" max="2" width="19.41796875" customWidth="1"/>
    <col min="3" max="3" width="3.84765625" customWidth="1"/>
    <col min="4" max="4" width="11" customWidth="1"/>
    <col min="5" max="5" width="6.140625" customWidth="1"/>
    <col min="6" max="6" width="5.41796875" customWidth="1"/>
    <col min="7" max="7" width="4.5703125" customWidth="1"/>
    <col min="8" max="8" width="8.5703125" customWidth="1"/>
    <col min="9" max="9" width="9" customWidth="1"/>
    <col min="10" max="11" width="8.7109375" customWidth="1"/>
    <col min="12" max="12" width="12.41796875" customWidth="1"/>
    <col min="13" max="14" width="16.41796875" customWidth="1"/>
    <col min="15" max="15" width="5.7109375" customWidth="1"/>
    <col min="16" max="16" width="20.7109375" customWidth="1"/>
    <col min="17" max="17" width="5.7109375" customWidth="1"/>
    <col min="18" max="18" width="20.7109375" customWidth="1"/>
    <col min="19" max="19" width="7.5703125" customWidth="1"/>
    <col min="20" max="20" width="7.41796875" customWidth="1"/>
    <col min="21" max="21" width="10" customWidth="1"/>
    <col min="22" max="22" width="14.41796875" customWidth="1"/>
    <col min="23" max="23" width="8.41796875" customWidth="1"/>
    <col min="24" max="16384" width="10.7109375" customWidth="1"/>
  </cols>
  <sheetData>
    <row r="1" spans="1:23" ht="24" customHeight="1">
      <c r="A1" s="1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5"/>
      <c r="Q1" s="5"/>
      <c r="R1" s="5"/>
      <c r="S1" s="6"/>
      <c r="T1" s="6"/>
      <c r="U1" s="1"/>
      <c r="V1" s="1"/>
      <c r="W1" s="1"/>
    </row>
    <row r="2" spans="1:23" ht="16.5" customHeight="1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4"/>
      <c r="P2" s="5"/>
      <c r="Q2" s="5"/>
      <c r="R2" s="5"/>
      <c r="S2" s="6"/>
      <c r="T2" s="6"/>
      <c r="U2" s="1"/>
      <c r="V2" s="1"/>
      <c r="W2" s="1"/>
    </row>
    <row r="3" spans="1:23" ht="27.75" customHeight="1">
      <c r="A3" s="1"/>
      <c r="B3" s="8" t="s">
        <v>1</v>
      </c>
      <c r="C3" s="9"/>
      <c r="D3" s="9"/>
      <c r="E3" s="9"/>
      <c r="F3" s="9"/>
      <c r="G3" s="9"/>
      <c r="H3" s="9"/>
      <c r="I3" s="9"/>
      <c r="J3" s="9"/>
      <c r="K3" s="9"/>
      <c r="L3" s="10"/>
      <c r="M3" s="12" t="s">
        <v>2</v>
      </c>
      <c r="N3" s="12"/>
      <c r="O3" s="13"/>
      <c r="P3" s="14"/>
      <c r="Q3" s="14"/>
      <c r="R3" s="14"/>
      <c r="S3" s="6"/>
      <c r="T3" s="6"/>
      <c r="U3" s="1"/>
      <c r="V3" s="1"/>
      <c r="W3" s="1"/>
    </row>
    <row r="4" spans="1:23" ht="27.75" customHeight="1">
      <c r="A4" s="1"/>
      <c r="B4" s="15"/>
      <c r="C4" s="16"/>
      <c r="D4" s="16"/>
      <c r="E4" s="16"/>
      <c r="F4" s="16"/>
      <c r="G4" s="16"/>
      <c r="H4" s="16"/>
      <c r="I4" s="16"/>
      <c r="J4" s="16"/>
      <c r="K4" s="16"/>
      <c r="L4" s="17"/>
      <c r="M4" s="12" t="s">
        <v>3</v>
      </c>
      <c r="N4" s="12" t="s">
        <v>4</v>
      </c>
      <c r="O4" s="13"/>
      <c r="P4" s="14"/>
      <c r="Q4" s="14"/>
      <c r="R4" s="14"/>
      <c r="S4" s="6"/>
      <c r="T4" s="6"/>
      <c r="U4" s="1"/>
      <c r="V4" s="1"/>
      <c r="W4" s="1"/>
    </row>
    <row r="5" spans="1:23" ht="24" customHeight="1">
      <c r="A5" s="1"/>
      <c r="B5" s="12" t="s">
        <v>5</v>
      </c>
      <c r="C5" s="19" t="s">
        <v>6</v>
      </c>
      <c r="D5" s="19"/>
      <c r="E5" s="21" t="s">
        <v>7</v>
      </c>
      <c r="F5" s="21"/>
      <c r="G5" s="21"/>
      <c r="H5" s="19" t="s">
        <v>8</v>
      </c>
      <c r="I5" s="19"/>
      <c r="J5" s="19"/>
      <c r="K5" s="19"/>
      <c r="L5" s="19"/>
      <c r="M5" s="12" t="s">
        <v>9</v>
      </c>
      <c r="N5" s="19" t="s">
        <v>10</v>
      </c>
      <c r="O5" s="22"/>
      <c r="P5" s="23"/>
      <c r="Q5" s="23"/>
      <c r="R5" s="23"/>
      <c r="S5" s="6"/>
      <c r="T5" s="6"/>
      <c r="U5" s="1"/>
      <c r="V5" s="1"/>
      <c r="W5" s="1"/>
    </row>
    <row r="6" spans="1:23" ht="21.6" customHeight="1">
      <c r="A6" s="6"/>
      <c r="B6" s="25" t="s">
        <v>11</v>
      </c>
      <c r="C6" s="27" t="s">
        <v>12</v>
      </c>
      <c r="D6" s="27" t="s">
        <v>13</v>
      </c>
      <c r="E6" s="27" t="s">
        <v>14</v>
      </c>
      <c r="F6" s="27"/>
      <c r="G6" s="27"/>
      <c r="H6" s="27"/>
      <c r="I6" s="27"/>
      <c r="J6" s="27" t="s">
        <v>15</v>
      </c>
      <c r="K6" s="27" t="s">
        <v>16</v>
      </c>
      <c r="L6" s="27" t="s">
        <v>17</v>
      </c>
      <c r="M6" s="27" t="s">
        <v>18</v>
      </c>
      <c r="N6" s="27"/>
      <c r="O6" s="28"/>
      <c r="P6" s="29"/>
      <c r="Q6" s="29"/>
      <c r="R6" s="29"/>
      <c r="S6" s="6"/>
      <c r="T6" s="6"/>
      <c r="U6" s="6"/>
      <c r="V6" s="6"/>
      <c r="W6" s="6"/>
    </row>
    <row r="7" spans="1:23" ht="16.5" customHeight="1">
      <c r="A7" s="1"/>
      <c r="B7" s="30"/>
      <c r="C7" s="26">
        <v>1</v>
      </c>
      <c r="D7" s="32"/>
      <c r="E7" s="31" t="s">
        <v>19</v>
      </c>
      <c r="F7" s="31"/>
      <c r="G7" s="31"/>
      <c r="H7" s="31"/>
      <c r="I7" s="31"/>
      <c r="J7" s="31" t="s">
        <v>20</v>
      </c>
      <c r="K7" s="33"/>
      <c r="L7" s="31" t="s">
        <v>21</v>
      </c>
      <c r="M7" s="34"/>
      <c r="N7" s="31"/>
      <c r="O7" s="35"/>
      <c r="P7" s="36"/>
      <c r="Q7" s="36"/>
      <c r="R7" s="36"/>
      <c r="S7" s="6"/>
      <c r="T7" s="6"/>
      <c r="U7" s="1"/>
      <c r="V7" s="1"/>
      <c r="W7" s="1"/>
    </row>
    <row r="8" spans="1:23" ht="16.5" customHeight="1">
      <c r="A8" s="1"/>
      <c r="B8" s="30"/>
      <c r="C8" s="26">
        <v>2</v>
      </c>
      <c r="D8" s="32">
        <v>45931</v>
      </c>
      <c r="E8" s="31" t="s">
        <v>22</v>
      </c>
      <c r="F8" s="31"/>
      <c r="G8" s="31"/>
      <c r="H8" s="31"/>
      <c r="I8" s="31"/>
      <c r="J8" s="31" t="s">
        <v>20</v>
      </c>
      <c r="K8" s="33"/>
      <c r="L8" s="31" t="s">
        <v>21</v>
      </c>
      <c r="M8" s="34"/>
      <c r="N8" s="31"/>
      <c r="O8" s="35"/>
      <c r="P8" s="36"/>
      <c r="Q8" s="36"/>
      <c r="R8" s="36"/>
      <c r="S8" s="6"/>
      <c r="T8" s="6"/>
      <c r="U8" s="1"/>
      <c r="V8" s="1"/>
      <c r="W8" s="1"/>
    </row>
    <row r="9" spans="1:23" ht="16.5" customHeight="1">
      <c r="A9" s="1"/>
      <c r="B9" s="30"/>
      <c r="C9" s="26">
        <v>3</v>
      </c>
      <c r="D9" s="32">
        <v>45932</v>
      </c>
      <c r="E9" s="37" t="s">
        <v>23</v>
      </c>
      <c r="F9" s="37"/>
      <c r="G9" s="37"/>
      <c r="H9" s="37"/>
      <c r="I9" s="37"/>
      <c r="J9" s="31" t="s">
        <v>20</v>
      </c>
      <c r="K9" s="33"/>
      <c r="L9" s="31" t="s">
        <v>21</v>
      </c>
      <c r="M9" s="34"/>
      <c r="N9" s="31"/>
      <c r="O9" s="35"/>
      <c r="P9" s="36"/>
      <c r="Q9" s="36"/>
      <c r="R9" s="36"/>
      <c r="S9" s="6"/>
      <c r="T9" s="6"/>
      <c r="U9" s="1"/>
      <c r="V9" s="1"/>
      <c r="W9" s="1"/>
    </row>
    <row r="10" spans="1:23" ht="16.5" customHeight="1">
      <c r="A10" s="1"/>
      <c r="B10" s="30"/>
      <c r="C10" s="26">
        <v>4</v>
      </c>
      <c r="D10" s="32">
        <v>45957</v>
      </c>
      <c r="E10" s="31" t="s">
        <v>24</v>
      </c>
      <c r="F10" s="31"/>
      <c r="G10" s="31"/>
      <c r="H10" s="31"/>
      <c r="I10" s="31"/>
      <c r="J10" s="31" t="s">
        <v>20</v>
      </c>
      <c r="K10" s="33"/>
      <c r="L10" s="31" t="s">
        <v>21</v>
      </c>
      <c r="M10" s="34"/>
      <c r="N10" s="31"/>
      <c r="O10" s="35"/>
      <c r="P10" s="36"/>
      <c r="Q10" s="36"/>
      <c r="R10" s="36"/>
      <c r="S10" s="6"/>
      <c r="T10" s="6"/>
      <c r="U10" s="1"/>
      <c r="V10" s="1"/>
      <c r="W10" s="1"/>
    </row>
    <row r="11" spans="1:23" ht="16.5" customHeight="1">
      <c r="A11" s="1"/>
      <c r="B11" s="30"/>
      <c r="C11" s="26">
        <v>5</v>
      </c>
      <c r="D11" s="32">
        <v>45973</v>
      </c>
      <c r="E11" s="31" t="s">
        <v>25</v>
      </c>
      <c r="F11" s="31"/>
      <c r="G11" s="31"/>
      <c r="H11" s="31"/>
      <c r="I11" s="31"/>
      <c r="J11" s="31" t="s">
        <v>20</v>
      </c>
      <c r="K11" s="33"/>
      <c r="L11" s="31" t="s">
        <v>21</v>
      </c>
      <c r="M11" s="34"/>
      <c r="N11" s="31"/>
      <c r="O11" s="35"/>
      <c r="P11" s="36"/>
      <c r="Q11" s="36"/>
      <c r="R11" s="36"/>
      <c r="S11" s="6"/>
      <c r="T11" s="6"/>
      <c r="U11" s="1"/>
      <c r="V11" s="1"/>
      <c r="W11" s="1"/>
    </row>
    <row r="12" spans="1:23" ht="16.5" customHeight="1">
      <c r="A12" s="1"/>
      <c r="B12" s="30"/>
      <c r="C12" s="26">
        <v>6</v>
      </c>
      <c r="D12" s="32">
        <v>45988</v>
      </c>
      <c r="E12" s="31" t="s">
        <v>26</v>
      </c>
      <c r="F12" s="31"/>
      <c r="G12" s="31"/>
      <c r="H12" s="31"/>
      <c r="I12" s="31"/>
      <c r="J12" s="31" t="s">
        <v>20</v>
      </c>
      <c r="K12" s="33"/>
      <c r="L12" s="31" t="s">
        <v>21</v>
      </c>
      <c r="M12" s="34"/>
      <c r="N12" s="31"/>
      <c r="O12" s="35"/>
      <c r="P12" s="36"/>
      <c r="Q12" s="36"/>
      <c r="R12" s="36"/>
      <c r="S12" s="6"/>
      <c r="T12" s="6"/>
      <c r="U12" s="1"/>
      <c r="V12" s="1"/>
      <c r="W12" s="1"/>
    </row>
    <row r="13" spans="1:23" ht="16.5" customHeight="1">
      <c r="A13" s="1"/>
      <c r="B13" s="30"/>
      <c r="C13" s="26">
        <v>7</v>
      </c>
      <c r="D13" s="32">
        <v>46043</v>
      </c>
      <c r="E13" s="38" t="s">
        <v>27</v>
      </c>
      <c r="F13" s="38"/>
      <c r="G13" s="38"/>
      <c r="H13" s="38"/>
      <c r="I13" s="38"/>
      <c r="J13" s="31" t="s">
        <v>20</v>
      </c>
      <c r="K13" s="33"/>
      <c r="L13" s="31" t="s">
        <v>21</v>
      </c>
      <c r="M13" s="34"/>
      <c r="N13" s="31"/>
      <c r="O13" s="35"/>
      <c r="P13" s="36"/>
      <c r="Q13" s="36"/>
      <c r="R13" s="36"/>
      <c r="S13" s="6"/>
      <c r="T13" s="6"/>
      <c r="U13" s="1"/>
      <c r="V13" s="1"/>
      <c r="W13" s="1"/>
    </row>
    <row r="14" spans="1:23" ht="16.5" customHeight="1">
      <c r="A14" s="1"/>
      <c r="B14" s="39"/>
      <c r="C14" s="26">
        <v>8</v>
      </c>
      <c r="D14" s="32">
        <v>46090</v>
      </c>
      <c r="E14" s="40" t="s">
        <v>28</v>
      </c>
      <c r="F14" s="40"/>
      <c r="G14" s="40"/>
      <c r="H14" s="40"/>
      <c r="I14" s="40"/>
      <c r="J14" s="31" t="s">
        <v>20</v>
      </c>
      <c r="K14" s="33"/>
      <c r="L14" s="31" t="s">
        <v>21</v>
      </c>
      <c r="M14" s="34"/>
      <c r="N14" s="31"/>
      <c r="O14" s="35"/>
      <c r="P14" s="36"/>
      <c r="Q14" s="36"/>
      <c r="R14" s="36"/>
      <c r="S14" s="6"/>
      <c r="T14" s="6"/>
      <c r="U14" s="1"/>
      <c r="V14" s="1"/>
      <c r="W14" s="1"/>
    </row>
    <row r="15" spans="1:23" ht="16.5" customHeight="1">
      <c r="A15" s="1"/>
      <c r="B15" s="42" t="s">
        <v>29</v>
      </c>
      <c r="C15" s="44" t="s">
        <v>30</v>
      </c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6"/>
      <c r="Q15" s="46"/>
      <c r="R15" s="46"/>
      <c r="S15" s="6"/>
      <c r="T15" s="6"/>
      <c r="U15" s="1"/>
      <c r="V15" s="1"/>
      <c r="W15" s="1"/>
    </row>
    <row r="16" spans="1:23" ht="16.5" customHeight="1">
      <c r="A16" s="1"/>
      <c r="B16" s="42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6"/>
      <c r="Q16" s="46"/>
      <c r="R16" s="46"/>
      <c r="S16" s="6"/>
      <c r="T16" s="6"/>
      <c r="U16" s="1"/>
      <c r="V16" s="1"/>
      <c r="W16" s="1"/>
    </row>
    <row r="17" spans="1:23" ht="17.25" customHeight="1">
      <c r="A17" s="1"/>
      <c r="B17" s="42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6"/>
      <c r="Q17" s="46"/>
      <c r="R17" s="46"/>
      <c r="S17" s="6"/>
      <c r="T17" s="6"/>
      <c r="U17" s="1"/>
      <c r="V17" s="1"/>
      <c r="W17" s="1"/>
    </row>
    <row r="18" spans="1:23" ht="17.25" customHeight="1">
      <c r="A18" s="1"/>
      <c r="B18" s="42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6"/>
      <c r="Q18" s="46"/>
      <c r="R18" s="46"/>
      <c r="S18" s="6"/>
      <c r="T18" s="6"/>
      <c r="U18" s="1"/>
      <c r="V18" s="1"/>
      <c r="W18" s="1"/>
    </row>
    <row r="19" spans="1:23" ht="17.25" customHeight="1">
      <c r="A19" s="1"/>
      <c r="B19" s="42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6"/>
      <c r="Q19" s="46"/>
      <c r="R19" s="46"/>
      <c r="S19" s="6"/>
      <c r="T19" s="6"/>
      <c r="U19" s="1"/>
      <c r="V19" s="1"/>
      <c r="W19" s="1"/>
    </row>
    <row r="20" spans="1:23" ht="15" customHeight="1">
      <c r="A20" s="1"/>
      <c r="B20" s="42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6"/>
      <c r="Q20" s="46"/>
      <c r="R20" s="46"/>
      <c r="S20" s="6"/>
      <c r="T20" s="6"/>
      <c r="U20" s="1"/>
      <c r="V20" s="1"/>
      <c r="W20" s="1"/>
    </row>
    <row r="21" spans="1:23" ht="15">
      <c r="A21" s="1"/>
      <c r="B21" s="42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6"/>
      <c r="Q21" s="46"/>
      <c r="R21" s="46"/>
      <c r="S21" s="6"/>
      <c r="T21" s="6"/>
      <c r="U21" s="1"/>
      <c r="V21" s="1"/>
      <c r="W21" s="1"/>
    </row>
    <row r="22" spans="1:23" ht="15" customHeight="1">
      <c r="A22" s="1"/>
      <c r="B22" s="42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6"/>
      <c r="Q22" s="46"/>
      <c r="R22" s="46"/>
      <c r="S22" s="6"/>
      <c r="T22" s="6"/>
      <c r="U22" s="1"/>
      <c r="V22" s="1"/>
      <c r="W22" s="1"/>
    </row>
    <row r="23" spans="1:23" ht="15">
      <c r="A23" s="1"/>
      <c r="B23" s="42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6"/>
      <c r="Q23" s="46"/>
      <c r="R23" s="46"/>
      <c r="S23" s="6"/>
      <c r="T23" s="6"/>
      <c r="U23" s="1"/>
      <c r="V23" s="1"/>
      <c r="W23" s="1"/>
    </row>
    <row r="24" spans="1:23" ht="22.5" customHeight="1">
      <c r="A24" s="1"/>
      <c r="B24" s="27" t="s">
        <v>31</v>
      </c>
      <c r="C24" s="34" t="s">
        <v>32</v>
      </c>
      <c r="D24" s="34"/>
      <c r="E24" s="27" t="s">
        <v>33</v>
      </c>
      <c r="F24" s="27"/>
      <c r="G24" s="27"/>
      <c r="H24" s="27" t="s">
        <v>34</v>
      </c>
      <c r="I24" s="27"/>
      <c r="J24" s="27"/>
      <c r="K24" s="27"/>
      <c r="L24" s="27"/>
      <c r="M24" s="48" t="s">
        <v>35</v>
      </c>
      <c r="N24" s="48"/>
      <c r="O24" s="49"/>
      <c r="P24" s="50"/>
      <c r="Q24" s="50"/>
      <c r="R24" s="50"/>
      <c r="S24" s="6"/>
      <c r="T24" s="6"/>
      <c r="U24" s="1"/>
      <c r="V24" s="1"/>
      <c r="W24" s="1"/>
    </row>
    <row r="25" spans="1:23" ht="27" customHeight="1">
      <c r="A25" s="1"/>
      <c r="B25" s="27" t="s">
        <v>36</v>
      </c>
      <c r="C25" s="52" t="s">
        <v>37</v>
      </c>
      <c r="D25" s="53"/>
      <c r="E25" s="53"/>
      <c r="F25" s="53"/>
      <c r="G25" s="53"/>
      <c r="H25" s="27" t="s">
        <v>38</v>
      </c>
      <c r="I25" s="27"/>
      <c r="J25" s="27"/>
      <c r="K25" s="27"/>
      <c r="L25" s="27" t="s">
        <v>39</v>
      </c>
      <c r="M25" s="48"/>
      <c r="N25" s="48"/>
      <c r="O25" s="49"/>
      <c r="P25" s="50"/>
      <c r="Q25" s="50"/>
      <c r="R25" s="50"/>
      <c r="S25" s="6"/>
      <c r="T25" s="6"/>
      <c r="U25" s="6"/>
      <c r="V25" s="1"/>
      <c r="W25" s="1"/>
    </row>
    <row r="26" spans="1:23" ht="13.5" customHeight="1">
      <c r="A26" s="1"/>
      <c r="B26" s="27"/>
      <c r="C26" s="53"/>
      <c r="D26" s="53"/>
      <c r="E26" s="53"/>
      <c r="F26" s="53"/>
      <c r="G26" s="53"/>
      <c r="H26" s="27" t="s">
        <v>40</v>
      </c>
      <c r="I26" s="27"/>
      <c r="J26" s="27" t="s">
        <v>41</v>
      </c>
      <c r="K26" s="27"/>
      <c r="L26" s="27"/>
      <c r="M26" s="27" t="s">
        <v>40</v>
      </c>
      <c r="N26" s="27" t="s">
        <v>41</v>
      </c>
      <c r="O26" s="28"/>
      <c r="P26" s="29"/>
      <c r="Q26" s="29"/>
      <c r="R26" s="29"/>
      <c r="S26" s="6" t="s">
        <v>42</v>
      </c>
      <c r="T26" s="6"/>
      <c r="U26" s="6" t="s">
        <v>43</v>
      </c>
      <c r="V26" s="6"/>
      <c r="W26" s="1"/>
    </row>
    <row r="27" spans="1:23" ht="15">
      <c r="A27" s="1"/>
      <c r="B27" s="27"/>
      <c r="C27" s="27" t="s">
        <v>12</v>
      </c>
      <c r="D27" s="27" t="s">
        <v>44</v>
      </c>
      <c r="E27" s="27" t="s">
        <v>45</v>
      </c>
      <c r="F27" s="27" t="s">
        <v>46</v>
      </c>
      <c r="G27" s="27" t="s">
        <v>47</v>
      </c>
      <c r="H27" s="27" t="s">
        <v>46</v>
      </c>
      <c r="I27" s="27" t="s">
        <v>48</v>
      </c>
      <c r="J27" s="27" t="s">
        <v>46</v>
      </c>
      <c r="K27" s="27" t="s">
        <v>48</v>
      </c>
      <c r="L27" s="27"/>
      <c r="M27" s="27"/>
      <c r="N27" s="27"/>
      <c r="O27" s="55" t="s">
        <v>49</v>
      </c>
      <c r="P27" s="57"/>
      <c r="Q27" s="57" t="s">
        <v>50</v>
      </c>
      <c r="R27" s="57"/>
      <c r="S27" s="6" t="s">
        <v>40</v>
      </c>
      <c r="T27" s="6" t="s">
        <v>41</v>
      </c>
      <c r="U27" s="6" t="s">
        <v>40</v>
      </c>
      <c r="V27" s="6" t="s">
        <v>41</v>
      </c>
      <c r="W27" s="1"/>
    </row>
    <row r="28" spans="1:23" ht="19.5">
      <c r="A28" s="6"/>
      <c r="B28" s="59" t="s">
        <v>51</v>
      </c>
      <c r="C28" s="60">
        <v>1</v>
      </c>
      <c r="D28" s="60" t="s">
        <v>52</v>
      </c>
      <c r="E28" s="61" t="s">
        <v>53</v>
      </c>
      <c r="F28" s="61">
        <f ca="1"> 10 + (90+20+40+50+40+90+60)+10</f>
        <v>410</v>
      </c>
      <c r="G28" s="60">
        <v>1</v>
      </c>
      <c r="H28" s="62" t="e">
        <f ca="1">IF(RIGHT(M28,5)="JOINT",IF(MID(D28,3,6)="1007#2","15","17"),IF(RIGHT(M28,6)="SPLICE",8,IF(AND(S28="",NOT(F28="")),#REF!,S28)))</f>
        <v>#REF!</v>
      </c>
      <c r="I28" s="60" t="str">
        <f ca="1">IF(M28="", "", IF(OR(M28="반탈피", ISNUMBER(SEARCH("JOINT", M28))), "반", "완"))</f>
        <v>완</v>
      </c>
      <c r="J28" s="62" t="e">
        <f ca="1">IF(RIGHT(N28,5)="JOINT",IF(MID(D28,3,6)="1007#2","15","17"),IF(RIGHT(N28,6)="SPLICE",8,IF(AND(T28="",NOT(F28="")),#REF!,T28)))</f>
        <v>#REF!</v>
      </c>
      <c r="K28" s="60" t="str">
        <f ca="1">IF(N28="", "", IF(OR(N28="반탈피", ISNUMBER(SEARCH("JOINT", N28))), "반", "완"))</f>
        <v>완</v>
      </c>
      <c r="L28" s="60"/>
      <c r="M28" s="60" t="s">
        <v>54</v>
      </c>
      <c r="N28" s="60" t="s">
        <v>55</v>
      </c>
      <c r="O28" s="64">
        <v>2</v>
      </c>
      <c r="P28" s="65" t="s">
        <v>56</v>
      </c>
      <c r="Q28" s="64">
        <v>7</v>
      </c>
      <c r="R28" s="65" t="s">
        <v>57</v>
      </c>
      <c r="S28" s="6" t="str">
        <f ca="1">IFERROR(VLOOKUP(M28,'DATA(STRIP LENGTH)'!$A:$C,3,0),"")</f>
        <v/>
      </c>
      <c r="T28" s="6" t="str">
        <f ca="1">IFERROR(VLOOKUP(N28,'DATA(STRIP LENGTH)'!$A:$C,3,0),"")</f>
        <v/>
      </c>
      <c r="U28" s="1" t="str">
        <f ca="1">IFERROR(VLOOKUP(M28,이원화!$A:$B,2,0),"")</f>
        <v/>
      </c>
      <c r="V28" s="1" t="str">
        <f ca="1">IFERROR(VLOOKUP(N28,이원화!$A:$B,2,0),"")</f>
        <v/>
      </c>
      <c r="W28" s="67" t="str">
        <f ca="1">IF(C28&gt;0,IF(B28=0,W27,B28),"")</f>
        <v>1767C-1
</v>
      </c>
    </row>
    <row r="29" spans="1:23" ht="15">
      <c r="A29" s="6"/>
      <c r="B29" s="68"/>
      <c r="C29" s="60">
        <v>2</v>
      </c>
      <c r="D29" s="60" t="s">
        <v>52</v>
      </c>
      <c r="E29" s="61" t="s">
        <v>53</v>
      </c>
      <c r="F29" s="61">
        <f ca="1"> 10 + (90+20+40+50+40+90+60)+10</f>
        <v>410</v>
      </c>
      <c r="G29" s="60">
        <v>1</v>
      </c>
      <c r="H29" s="62" t="e">
        <f ca="1">IF(RIGHT(M29,5)="JOINT",IF(MID(D29,3,6)="1007#2","15","17"),IF(RIGHT(M29,6)="SPLICE",8,IF(AND(S29="",NOT(F29="")),#REF!,S29)))</f>
        <v>#REF!</v>
      </c>
      <c r="I29" s="60" t="str">
        <f ca="1">IF(M29="", "", IF(OR(M29="반탈피", ISNUMBER(SEARCH("JOINT", M29))), "반", "완"))</f>
        <v>완</v>
      </c>
      <c r="J29" s="62" t="e">
        <f ca="1">IF(RIGHT(N29,5)="JOINT",IF(MID(D29,3,6)="1007#2","15","17"),IF(RIGHT(N29,6)="SPLICE",8,IF(AND(T29="",NOT(F29="")),#REF!,T29)))</f>
        <v>#REF!</v>
      </c>
      <c r="K29" s="60" t="str">
        <f ca="1">IF(N29="", "", IF(OR(N29="반탈피", ISNUMBER(SEARCH("JOINT", N29))), "반", "완"))</f>
        <v>완</v>
      </c>
      <c r="L29" s="60"/>
      <c r="M29" s="60" t="s">
        <v>54</v>
      </c>
      <c r="N29" s="60" t="s">
        <v>55</v>
      </c>
      <c r="O29" s="69"/>
      <c r="P29" s="65" t="s">
        <v>58</v>
      </c>
      <c r="Q29" s="69"/>
      <c r="R29" s="65" t="s">
        <v>59</v>
      </c>
      <c r="S29" s="6" t="str">
        <f ca="1">IFERROR(VLOOKUP(M29,'DATA(STRIP LENGTH)'!$A:$C,3,0),"")</f>
        <v/>
      </c>
      <c r="T29" s="6" t="str">
        <f ca="1">IFERROR(VLOOKUP(N29,'DATA(STRIP LENGTH)'!$A:$C,3,0),"")</f>
        <v/>
      </c>
      <c r="U29" s="1" t="str">
        <f ca="1">IFERROR(VLOOKUP(M29,이원화!$A:$B,2,0),"")</f>
        <v/>
      </c>
      <c r="V29" s="1" t="str">
        <f ca="1">IFERROR(VLOOKUP(N29,이원화!$A:$B,2,0),"")</f>
        <v/>
      </c>
      <c r="W29" s="66" t="str">
        <f ca="1">IF(C29&gt;0,IF(B29=0,W28,B29),"")</f>
        <v>1767C-1
</v>
      </c>
    </row>
    <row r="30" spans="1:23" ht="15">
      <c r="A30" s="1"/>
      <c r="B30" s="68"/>
      <c r="C30" s="60">
        <v>63</v>
      </c>
      <c r="D30" s="60" t="s">
        <v>52</v>
      </c>
      <c r="E30" s="61" t="s">
        <v>60</v>
      </c>
      <c r="F30" s="61">
        <f ca="1"> 10 + (90+20+40+50+40+90+60)+10</f>
        <v>410</v>
      </c>
      <c r="G30" s="60">
        <v>1</v>
      </c>
      <c r="H30" s="62" t="e">
        <f ca="1">IF(RIGHT(M30,5)="JOINT",IF(MID(D30,3,6)="1007#2","15","17"),IF(RIGHT(M30,6)="SPLICE",8,IF(AND(S30="",NOT(F30="")),#REF!,S30)))</f>
        <v>#REF!</v>
      </c>
      <c r="I30" s="60" t="str">
        <f ca="1">IF(M30="", "", IF(OR(M30="반탈피", ISNUMBER(SEARCH("JOINT", M30))), "반", "완"))</f>
        <v>완</v>
      </c>
      <c r="J30" s="62" t="e">
        <f ca="1">IF(RIGHT(N30,5)="JOINT",IF(MID(D30,3,6)="1007#2","15","17"),IF(RIGHT(N30,6)="SPLICE",8,IF(AND(T30="",NOT(F30="")),#REF!,T30)))</f>
        <v>#REF!</v>
      </c>
      <c r="K30" s="60" t="str">
        <f ca="1">IF(N30="", "", IF(OR(N30="반탈피", ISNUMBER(SEARCH("JOINT", N30))), "반", "완"))</f>
        <v>완</v>
      </c>
      <c r="L30" s="60"/>
      <c r="M30" s="60" t="s">
        <v>54</v>
      </c>
      <c r="N30" s="60" t="s">
        <v>55</v>
      </c>
      <c r="O30" s="69"/>
      <c r="P30" s="65" t="s">
        <v>61</v>
      </c>
      <c r="Q30" s="69"/>
      <c r="R30" s="65" t="s">
        <v>62</v>
      </c>
      <c r="S30" s="6" t="str">
        <f ca="1">IFERROR(VLOOKUP(M30,'DATA(STRIP LENGTH)'!$A:$C,3,0),"")</f>
        <v/>
      </c>
      <c r="T30" s="6" t="str">
        <f ca="1">IFERROR(VLOOKUP(N30,'DATA(STRIP LENGTH)'!$A:$C,3,0),"")</f>
        <v/>
      </c>
      <c r="U30" s="1" t="str">
        <f ca="1">IFERROR(VLOOKUP(M30,이원화!$A:$B,2,0),"")</f>
        <v/>
      </c>
      <c r="V30" s="1" t="str">
        <f ca="1">IFERROR(VLOOKUP(N30,이원화!$A:$B,2,0),"")</f>
        <v/>
      </c>
      <c r="W30" s="66" t="e">
        <f ca="1">IF(C30&gt;0,IF(B30=0,W43,B30),"")</f>
        <v>#REF!</v>
      </c>
    </row>
    <row r="31" spans="1:23" ht="15">
      <c r="A31" s="1"/>
      <c r="B31" s="68"/>
      <c r="C31" s="60">
        <v>64</v>
      </c>
      <c r="D31" s="60" t="s">
        <v>52</v>
      </c>
      <c r="E31" s="61" t="s">
        <v>60</v>
      </c>
      <c r="F31" s="61">
        <f ca="1"> 10 + (90+20+40+50+40+90+60)+10</f>
        <v>410</v>
      </c>
      <c r="G31" s="60">
        <v>1</v>
      </c>
      <c r="H31" s="62" t="e">
        <f ca="1">IF(RIGHT(M31,5)="JOINT",IF(MID(D31,3,6)="1007#2","15","17"),IF(RIGHT(M31,6)="SPLICE",8,IF(AND(S31="",NOT(F31="")),#REF!,S31)))</f>
        <v>#REF!</v>
      </c>
      <c r="I31" s="60" t="str">
        <f ca="1">IF(M31="", "", IF(OR(M31="반탈피", ISNUMBER(SEARCH("JOINT", M31))), "반", "완"))</f>
        <v>완</v>
      </c>
      <c r="J31" s="62" t="e">
        <f ca="1">IF(RIGHT(N31,5)="JOINT",IF(MID(D31,3,6)="1007#2","15","17"),IF(RIGHT(N31,6)="SPLICE",8,IF(AND(T31="",NOT(F31="")),#REF!,T31)))</f>
        <v>#REF!</v>
      </c>
      <c r="K31" s="60" t="str">
        <f ca="1">IF(N31="", "", IF(OR(N31="반탈피", ISNUMBER(SEARCH("JOINT", N31))), "반", "완"))</f>
        <v>완</v>
      </c>
      <c r="L31" s="60"/>
      <c r="M31" s="60" t="s">
        <v>54</v>
      </c>
      <c r="N31" s="60" t="s">
        <v>55</v>
      </c>
      <c r="O31" s="69"/>
      <c r="P31" s="65" t="s">
        <v>63</v>
      </c>
      <c r="Q31" s="70"/>
      <c r="R31" s="65" t="s">
        <v>64</v>
      </c>
      <c r="S31" s="6" t="str">
        <f ca="1">IFERROR(VLOOKUP(M31,'DATA(STRIP LENGTH)'!$A:$C,3,0),"")</f>
        <v/>
      </c>
      <c r="T31" s="6" t="str">
        <f ca="1">IFERROR(VLOOKUP(N31,'DATA(STRIP LENGTH)'!$A:$C,3,0),"")</f>
        <v/>
      </c>
      <c r="U31" s="1" t="str">
        <f ca="1">IFERROR(VLOOKUP(M31,이원화!$A:$B,2,0),"")</f>
        <v/>
      </c>
      <c r="V31" s="1" t="str">
        <f ca="1">IFERROR(VLOOKUP(N31,이원화!$A:$B,2,0),"")</f>
        <v/>
      </c>
      <c r="W31" s="66" t="e">
        <f ca="1">IF(C31&gt;0,IF(B31=0,W30,B31),"")</f>
        <v>#REF!</v>
      </c>
    </row>
    <row r="32" spans="1:23" ht="15">
      <c r="A32" s="6"/>
      <c r="B32" s="68"/>
      <c r="C32" s="60">
        <v>3</v>
      </c>
      <c r="D32" s="64" t="s">
        <v>65</v>
      </c>
      <c r="E32" s="61" t="s">
        <v>60</v>
      </c>
      <c r="F32" s="72">
        <f ca="1"> 10 + (90+40+100)+10</f>
        <v>250</v>
      </c>
      <c r="G32" s="60">
        <v>1</v>
      </c>
      <c r="H32" s="62" t="e">
        <f ca="1">IF(RIGHT(M32,5)="JOINT",IF(MID(D32,3,6)="1007#2","15","17"),IF(RIGHT(M32,6)="SPLICE",8,IF(AND(S32="",NOT(F32="")),#REF!,S32)))</f>
        <v>#REF!</v>
      </c>
      <c r="I32" s="60" t="str">
        <f ca="1">IF(M32="", "", IF(OR(M32="반탈피", ISNUMBER(SEARCH("JOINT", M32))), "반", "완"))</f>
        <v>완</v>
      </c>
      <c r="J32" s="62" t="e">
        <f ca="1">IF(RIGHT(N32,5)="JOINT",IF(MID(D32,3,6)="1007#2","15","17"),IF(RIGHT(N32,6)="SPLICE",8,IF(AND(T32="",NOT(F32="")),#REF!,T32)))</f>
        <v>#REF!</v>
      </c>
      <c r="K32" s="60" t="str">
        <f ca="1">IF(N32="", "", IF(OR(N32="반탈피", ISNUMBER(SEARCH("JOINT", N32))), "반", "완"))</f>
        <v>완</v>
      </c>
      <c r="L32" s="60"/>
      <c r="M32" s="60" t="s">
        <v>54</v>
      </c>
      <c r="N32" s="60" t="s">
        <v>66</v>
      </c>
      <c r="O32" s="69"/>
      <c r="P32" s="65" t="s">
        <v>67</v>
      </c>
      <c r="Q32" s="64">
        <v>5</v>
      </c>
      <c r="R32" s="65" t="s">
        <v>68</v>
      </c>
      <c r="S32" s="6" t="str">
        <f ca="1">IFERROR(VLOOKUP(M32,'DATA(STRIP LENGTH)'!$A:$C,3,0),"")</f>
        <v/>
      </c>
      <c r="T32" s="6" t="str">
        <f ca="1">IFERROR(VLOOKUP(N32,'DATA(STRIP LENGTH)'!$A:$C,3,0),"")</f>
        <v/>
      </c>
      <c r="U32" s="1" t="str">
        <f ca="1">IFERROR(VLOOKUP(M32,이원화!$A:$B,2,0),"")</f>
        <v/>
      </c>
      <c r="V32" s="1" t="str">
        <f ca="1">IFERROR(VLOOKUP(N32,이원화!$A:$B,2,0),"")</f>
        <v/>
      </c>
      <c r="W32" s="66" t="str">
        <f ca="1">IF(C32&gt;0,IF(B32=0,W29,B32),"")</f>
        <v>1767C-1
</v>
      </c>
    </row>
    <row r="33" spans="1:23" ht="15">
      <c r="A33" s="6"/>
      <c r="B33" s="68"/>
      <c r="C33" s="60">
        <v>4</v>
      </c>
      <c r="D33" s="70"/>
      <c r="E33" s="61" t="s">
        <v>69</v>
      </c>
      <c r="F33" s="73"/>
      <c r="G33" s="60">
        <v>1</v>
      </c>
      <c r="H33" s="62" t="str">
        <f ca="1">IF(RIGHT(M33,5)="JOINT",IF(MID(D33,3,6)="1007#2","15","17"),IF(RIGHT(M33,6)="SPLICE",8,IF(AND(S33="",NOT(F33="")),#REF!,S33)))</f>
        <v/>
      </c>
      <c r="I33" s="60" t="str">
        <f ca="1">IF(M33="", "", IF(OR(M33="반탈피", ISNUMBER(SEARCH("JOINT", M33))), "반", "완"))</f>
        <v>완</v>
      </c>
      <c r="J33" s="62" t="str">
        <f ca="1">IF(RIGHT(N33,5)="JOINT",IF(MID(D33,3,6)="1007#2","15","17"),IF(RIGHT(N33,6)="SPLICE",8,IF(AND(T33="",NOT(F33="")),#REF!,T33)))</f>
        <v/>
      </c>
      <c r="K33" s="60" t="str">
        <f ca="1">IF(N33="", "", IF(OR(N33="반탈피", ISNUMBER(SEARCH("JOINT", N33))), "반", "완"))</f>
        <v>완</v>
      </c>
      <c r="L33" s="60"/>
      <c r="M33" s="60" t="s">
        <v>54</v>
      </c>
      <c r="N33" s="60" t="s">
        <v>66</v>
      </c>
      <c r="O33" s="69"/>
      <c r="P33" s="65" t="s">
        <v>70</v>
      </c>
      <c r="Q33" s="70"/>
      <c r="R33" s="65" t="s">
        <v>71</v>
      </c>
      <c r="S33" s="6" t="str">
        <f ca="1">IFERROR(VLOOKUP(M33,'DATA(STRIP LENGTH)'!$A:$C,3,0),"")</f>
        <v/>
      </c>
      <c r="T33" s="6" t="str">
        <f ca="1">IFERROR(VLOOKUP(N33,'DATA(STRIP LENGTH)'!$A:$C,3,0),"")</f>
        <v/>
      </c>
      <c r="U33" s="1" t="str">
        <f ca="1">IFERROR(VLOOKUP(M33,이원화!$A:$B,2,0),"")</f>
        <v/>
      </c>
      <c r="V33" s="1" t="str">
        <f ca="1">IFERROR(VLOOKUP(N33,이원화!$A:$B,2,0),"")</f>
        <v/>
      </c>
      <c r="W33" s="66" t="str">
        <f ca="1">IF(C33&gt;0,IF(B33=0,W32,B33),"")</f>
        <v>1767C-1
</v>
      </c>
    </row>
    <row r="34" spans="1:23" ht="15">
      <c r="A34" s="6"/>
      <c r="B34" s="68"/>
      <c r="C34" s="60">
        <v>5</v>
      </c>
      <c r="D34" s="60" t="s">
        <v>72</v>
      </c>
      <c r="E34" s="61" t="s">
        <v>73</v>
      </c>
      <c r="F34" s="61">
        <f ca="1"> 10 + (90+20+40+50+40+90+75)+10</f>
        <v>425</v>
      </c>
      <c r="G34" s="60">
        <v>1</v>
      </c>
      <c r="H34" s="62" t="e">
        <f ca="1">IF(RIGHT(M34,5)="JOINT",IF(MID(D34,3,6)="1007#2","15","17"),IF(RIGHT(M34,6)="SPLICE",8,IF(AND(S34="",NOT(F34="")),#REF!,S34)))</f>
        <v>#REF!</v>
      </c>
      <c r="I34" s="60" t="str">
        <f ca="1">IF(M34="", "", IF(OR(M34="반탈피", ISNUMBER(SEARCH("JOINT", M34))), "반", "완"))</f>
        <v>완</v>
      </c>
      <c r="J34" s="62" t="e">
        <f ca="1">IF(RIGHT(N34,5)="JOINT",IF(MID(D34,3,6)="1007#2","15","17"),IF(RIGHT(N34,6)="SPLICE",8,IF(AND(T34="",NOT(F34="")),#REF!,T34)))</f>
        <v>#REF!</v>
      </c>
      <c r="K34" s="60" t="str">
        <f ca="1">IF(N34="", "", IF(OR(N34="반탈피", ISNUMBER(SEARCH("JOINT", N34))), "반", "완"))</f>
        <v>완</v>
      </c>
      <c r="L34" s="60"/>
      <c r="M34" s="60" t="s">
        <v>54</v>
      </c>
      <c r="N34" s="60" t="s">
        <v>55</v>
      </c>
      <c r="O34" s="69"/>
      <c r="P34" s="65" t="s">
        <v>74</v>
      </c>
      <c r="Q34" s="64">
        <v>8</v>
      </c>
      <c r="R34" s="65" t="s">
        <v>75</v>
      </c>
      <c r="S34" s="6" t="str">
        <f ca="1">IFERROR(VLOOKUP(M34,'DATA(STRIP LENGTH)'!$A:$C,3,0),"")</f>
        <v/>
      </c>
      <c r="T34" s="6" t="str">
        <f ca="1">IFERROR(VLOOKUP(N34,'DATA(STRIP LENGTH)'!$A:$C,3,0),"")</f>
        <v/>
      </c>
      <c r="U34" s="1" t="str">
        <f ca="1">IFERROR(VLOOKUP(M34,이원화!$A:$B,2,0),"")</f>
        <v/>
      </c>
      <c r="V34" s="1" t="str">
        <f ca="1">IFERROR(VLOOKUP(N34,이원화!$A:$B,2,0),"")</f>
        <v/>
      </c>
      <c r="W34" s="66" t="str">
        <f ca="1">IF(C34&gt;0,IF(B34=0,W33,B34),"")</f>
        <v>1767C-1
</v>
      </c>
    </row>
    <row r="35" spans="1:23" ht="15">
      <c r="A35" s="6"/>
      <c r="B35" s="68"/>
      <c r="C35" s="60">
        <v>6</v>
      </c>
      <c r="D35" s="60" t="s">
        <v>72</v>
      </c>
      <c r="E35" s="61" t="s">
        <v>60</v>
      </c>
      <c r="F35" s="61">
        <f ca="1"> 10 + (90+20+40+50+40+90+75)+10</f>
        <v>425</v>
      </c>
      <c r="G35" s="60">
        <v>1</v>
      </c>
      <c r="H35" s="62" t="e">
        <f ca="1">IF(RIGHT(M35,5)="JOINT",IF(MID(D35,3,6)="1007#2","15","17"),IF(RIGHT(M35,6)="SPLICE",8,IF(AND(S35="",NOT(F35="")),#REF!,S35)))</f>
        <v>#REF!</v>
      </c>
      <c r="I35" s="60" t="str">
        <f ca="1">IF(M35="", "", IF(OR(M35="반탈피", ISNUMBER(SEARCH("JOINT", M35))), "반", "완"))</f>
        <v>완</v>
      </c>
      <c r="J35" s="62" t="e">
        <f ca="1">IF(RIGHT(N35,5)="JOINT",IF(MID(D35,3,6)="1007#2","15","17"),IF(RIGHT(N35,6)="SPLICE",8,IF(AND(T35="",NOT(F35="")),#REF!,T35)))</f>
        <v>#REF!</v>
      </c>
      <c r="K35" s="60" t="str">
        <f ca="1">IF(N35="", "", IF(OR(N35="반탈피", ISNUMBER(SEARCH("JOINT", N35))), "반", "완"))</f>
        <v>완</v>
      </c>
      <c r="L35" s="60"/>
      <c r="M35" s="60" t="s">
        <v>54</v>
      </c>
      <c r="N35" s="60" t="s">
        <v>55</v>
      </c>
      <c r="O35" s="69"/>
      <c r="P35" s="65" t="s">
        <v>76</v>
      </c>
      <c r="Q35" s="69"/>
      <c r="R35" s="65" t="s">
        <v>77</v>
      </c>
      <c r="S35" s="6" t="str">
        <f ca="1">IFERROR(VLOOKUP(M35,'DATA(STRIP LENGTH)'!$A:$C,3,0),"")</f>
        <v/>
      </c>
      <c r="T35" s="6" t="str">
        <f ca="1">IFERROR(VLOOKUP(N35,'DATA(STRIP LENGTH)'!$A:$C,3,0),"")</f>
        <v/>
      </c>
      <c r="U35" s="1" t="str">
        <f ca="1">IFERROR(VLOOKUP(M35,이원화!$A:$B,2,0),"")</f>
        <v/>
      </c>
      <c r="V35" s="1" t="str">
        <f ca="1">IFERROR(VLOOKUP(N35,이원화!$A:$B,2,0),"")</f>
        <v/>
      </c>
      <c r="W35" s="66" t="str">
        <f ca="1">IF(C35&gt;0,IF(B35=0,W34,B35),"")</f>
        <v>1767C-1
</v>
      </c>
    </row>
    <row r="36" spans="1:23" ht="15">
      <c r="A36" s="6"/>
      <c r="B36" s="68"/>
      <c r="C36" s="60">
        <v>7</v>
      </c>
      <c r="D36" s="60" t="s">
        <v>72</v>
      </c>
      <c r="E36" s="61" t="s">
        <v>53</v>
      </c>
      <c r="F36" s="61">
        <f ca="1"> 10 + (90+20+40+50+40+90+75)+10</f>
        <v>425</v>
      </c>
      <c r="G36" s="60">
        <v>1</v>
      </c>
      <c r="H36" s="62" t="e">
        <f ca="1">IF(RIGHT(M36,5)="JOINT",IF(MID(D36,3,6)="1007#2","15","17"),IF(RIGHT(M36,6)="SPLICE",8,IF(AND(S36="",NOT(F36="")),#REF!,S36)))</f>
        <v>#REF!</v>
      </c>
      <c r="I36" s="60" t="str">
        <f ca="1">IF(M36="", "", IF(OR(M36="반탈피", ISNUMBER(SEARCH("JOINT", M36))), "반", "완"))</f>
        <v>완</v>
      </c>
      <c r="J36" s="62" t="e">
        <f ca="1">IF(RIGHT(N36,5)="JOINT",IF(MID(D36,3,6)="1007#2","15","17"),IF(RIGHT(N36,6)="SPLICE",8,IF(AND(T36="",NOT(F36="")),#REF!,T36)))</f>
        <v>#REF!</v>
      </c>
      <c r="K36" s="60" t="str">
        <f ca="1">IF(N36="", "", IF(OR(N36="반탈피", ISNUMBER(SEARCH("JOINT", N36))), "반", "완"))</f>
        <v>완</v>
      </c>
      <c r="L36" s="60"/>
      <c r="M36" s="60" t="s">
        <v>54</v>
      </c>
      <c r="N36" s="60" t="s">
        <v>55</v>
      </c>
      <c r="O36" s="69"/>
      <c r="P36" s="65" t="s">
        <v>78</v>
      </c>
      <c r="Q36" s="69"/>
      <c r="R36" s="65" t="s">
        <v>79</v>
      </c>
      <c r="S36" s="6" t="str">
        <f ca="1">IFERROR(VLOOKUP(M36,'DATA(STRIP LENGTH)'!$A:$C,3,0),"")</f>
        <v/>
      </c>
      <c r="T36" s="6" t="str">
        <f ca="1">IFERROR(VLOOKUP(N36,'DATA(STRIP LENGTH)'!$A:$C,3,0),"")</f>
        <v/>
      </c>
      <c r="U36" s="1" t="str">
        <f ca="1">IFERROR(VLOOKUP(M36,이원화!$A:$B,2,0),"")</f>
        <v/>
      </c>
      <c r="V36" s="1" t="str">
        <f ca="1">IFERROR(VLOOKUP(N36,이원화!$A:$B,2,0),"")</f>
        <v/>
      </c>
      <c r="W36" s="66" t="str">
        <f ca="1">IF(C36&gt;0,IF(B36=0,W35,B36),"")</f>
        <v>1767C-1
</v>
      </c>
    </row>
    <row r="37" spans="1:23" ht="15">
      <c r="A37" s="6"/>
      <c r="B37" s="68"/>
      <c r="C37" s="60">
        <v>8</v>
      </c>
      <c r="D37" s="60" t="s">
        <v>72</v>
      </c>
      <c r="E37" s="61" t="s">
        <v>69</v>
      </c>
      <c r="F37" s="61">
        <f ca="1"> 10 + (90+20+40+50+40+90+75)+10</f>
        <v>425</v>
      </c>
      <c r="G37" s="60">
        <v>1</v>
      </c>
      <c r="H37" s="62" t="e">
        <f ca="1">IF(RIGHT(M37,5)="JOINT",IF(MID(D37,3,6)="1007#2","15","17"),IF(RIGHT(M37,6)="SPLICE",8,IF(AND(S37="",NOT(F37="")),#REF!,S37)))</f>
        <v>#REF!</v>
      </c>
      <c r="I37" s="60" t="str">
        <f ca="1">IF(M37="", "", IF(OR(M37="반탈피", ISNUMBER(SEARCH("JOINT", M37))), "반", "완"))</f>
        <v>완</v>
      </c>
      <c r="J37" s="62" t="e">
        <f ca="1">IF(RIGHT(N37,5)="JOINT",IF(MID(D37,3,6)="1007#2","15","17"),IF(RIGHT(N37,6)="SPLICE",8,IF(AND(T37="",NOT(F37="")),#REF!,T37)))</f>
        <v>#REF!</v>
      </c>
      <c r="K37" s="60" t="str">
        <f ca="1">IF(N37="", "", IF(OR(N37="반탈피", ISNUMBER(SEARCH("JOINT", N37))), "반", "완"))</f>
        <v>완</v>
      </c>
      <c r="L37" s="60"/>
      <c r="M37" s="60" t="s">
        <v>54</v>
      </c>
      <c r="N37" s="60" t="s">
        <v>55</v>
      </c>
      <c r="O37" s="69"/>
      <c r="P37" s="65" t="s">
        <v>80</v>
      </c>
      <c r="Q37" s="70"/>
      <c r="R37" s="65" t="s">
        <v>81</v>
      </c>
      <c r="S37" s="6" t="str">
        <f ca="1">IFERROR(VLOOKUP(M37,'DATA(STRIP LENGTH)'!$A:$C,3,0),"")</f>
        <v/>
      </c>
      <c r="T37" s="6" t="str">
        <f ca="1">IFERROR(VLOOKUP(N37,'DATA(STRIP LENGTH)'!$A:$C,3,0),"")</f>
        <v/>
      </c>
      <c r="U37" s="1" t="str">
        <f ca="1">IFERROR(VLOOKUP(M37,이원화!$A:$B,2,0),"")</f>
        <v/>
      </c>
      <c r="V37" s="1" t="str">
        <f ca="1">IFERROR(VLOOKUP(N37,이원화!$A:$B,2,0),"")</f>
        <v/>
      </c>
      <c r="W37" s="66" t="str">
        <f ca="1">IF(C37&gt;0,IF(B37=0,W36,B37),"")</f>
        <v>1767C-1
</v>
      </c>
    </row>
    <row r="38" spans="1:23" ht="15">
      <c r="A38" s="1"/>
      <c r="B38" s="68"/>
      <c r="C38" s="60">
        <v>61</v>
      </c>
      <c r="D38" s="64" t="s">
        <v>82</v>
      </c>
      <c r="E38" s="61" t="s">
        <v>83</v>
      </c>
      <c r="F38" s="75">
        <f ca="1"> 10 + (90+40+290+60)+10</f>
        <v>500</v>
      </c>
      <c r="G38" s="60">
        <v>1</v>
      </c>
      <c r="H38" s="62" t="e">
        <f ca="1">IF(RIGHT(M38,5)="JOINT",IF(MID(D38,3,6)="1007#2","15","17"),IF(RIGHT(M38,6)="SPLICE",8,IF(AND(S38="",NOT(F38="")),#REF!,S38)))</f>
        <v>#REF!</v>
      </c>
      <c r="I38" s="60" t="str">
        <f ca="1">IF(M38="", "", IF(OR(M38="반탈피", ISNUMBER(SEARCH("JOINT", M38))), "반", "완"))</f>
        <v>완</v>
      </c>
      <c r="J38" s="62" t="e">
        <f ca="1">IF(RIGHT(N38,5)="JOINT",IF(MID(D38,3,6)="1007#2","15","17"),IF(RIGHT(N38,6)="SPLICE",8,IF(AND(T38="",NOT(F38="")),#REF!,T38)))</f>
        <v>#REF!</v>
      </c>
      <c r="K38" s="60" t="str">
        <f ca="1">IF(N38="", "", IF(OR(N38="반탈피", ISNUMBER(SEARCH("JOINT", N38))), "반", "완"))</f>
        <v>완</v>
      </c>
      <c r="L38" s="60"/>
      <c r="M38" s="60" t="s">
        <v>54</v>
      </c>
      <c r="N38" s="60" t="s">
        <v>84</v>
      </c>
      <c r="O38" s="69"/>
      <c r="P38" s="65" t="s">
        <v>85</v>
      </c>
      <c r="Q38" s="64">
        <v>4</v>
      </c>
      <c r="R38" s="65" t="s">
        <v>86</v>
      </c>
      <c r="S38" s="6" t="str">
        <f ca="1">IFERROR(VLOOKUP(M38,'DATA(STRIP LENGTH)'!$A:$C,3,0),"")</f>
        <v/>
      </c>
      <c r="T38" s="6" t="str">
        <f ca="1">IFERROR(VLOOKUP(N38,'DATA(STRIP LENGTH)'!$A:$C,3,0),"")</f>
        <v/>
      </c>
      <c r="U38" s="1" t="str">
        <f ca="1">IFERROR(VLOOKUP(M38,이원화!$A:$B,2,0),"")</f>
        <v/>
      </c>
      <c r="V38" s="1" t="str">
        <f ca="1">IFERROR(VLOOKUP(N38,이원화!$A:$B,2,0),"")</f>
        <v/>
      </c>
      <c r="W38" s="66" t="e">
        <f ca="1">IF(C38&gt;0,IF(B38=0,#REF!,B38),"")</f>
        <v>#REF!</v>
      </c>
    </row>
    <row r="39" spans="1:23" ht="15">
      <c r="A39" s="1"/>
      <c r="B39" s="68"/>
      <c r="C39" s="60">
        <v>62</v>
      </c>
      <c r="D39" s="70"/>
      <c r="E39" s="61" t="s">
        <v>69</v>
      </c>
      <c r="F39" s="76"/>
      <c r="G39" s="60">
        <v>1</v>
      </c>
      <c r="H39" s="62" t="str">
        <f ca="1">IF(RIGHT(M39,5)="JOINT",IF(MID(D39,3,6)="1007#2","15","17"),IF(RIGHT(M39,6)="SPLICE",8,IF(AND(S39="",NOT(F39="")),#REF!,S39)))</f>
        <v/>
      </c>
      <c r="I39" s="60" t="str">
        <f ca="1">IF(M39="", "", IF(OR(M39="반탈피", ISNUMBER(SEARCH("JOINT", M39))), "반", "완"))</f>
        <v>완</v>
      </c>
      <c r="J39" s="62" t="str">
        <f ca="1">IF(RIGHT(N39,5)="JOINT",IF(MID(D39,3,6)="1007#2","15","17"),IF(RIGHT(N39,6)="SPLICE",8,IF(AND(T39="",NOT(F39="")),#REF!,T39)))</f>
        <v/>
      </c>
      <c r="K39" s="60" t="str">
        <f ca="1">IF(N39="", "", IF(OR(N39="반탈피", ISNUMBER(SEARCH("JOINT", N39))), "반", "완"))</f>
        <v>완</v>
      </c>
      <c r="L39" s="60"/>
      <c r="M39" s="60" t="s">
        <v>54</v>
      </c>
      <c r="N39" s="60" t="s">
        <v>84</v>
      </c>
      <c r="O39" s="69"/>
      <c r="P39" s="65" t="s">
        <v>87</v>
      </c>
      <c r="Q39" s="69"/>
      <c r="R39" s="65" t="s">
        <v>88</v>
      </c>
      <c r="S39" s="6" t="str">
        <f ca="1">IFERROR(VLOOKUP(M39,'DATA(STRIP LENGTH)'!$A:$C,3,0),"")</f>
        <v/>
      </c>
      <c r="T39" s="6" t="str">
        <f ca="1">IFERROR(VLOOKUP(N39,'DATA(STRIP LENGTH)'!$A:$C,3,0),"")</f>
        <v/>
      </c>
      <c r="U39" s="1" t="str">
        <f ca="1">IFERROR(VLOOKUP(M39,이원화!$A:$B,2,0),"")</f>
        <v/>
      </c>
      <c r="V39" s="1" t="str">
        <f ca="1">IFERROR(VLOOKUP(N39,이원화!$A:$B,2,0),"")</f>
        <v/>
      </c>
      <c r="W39" s="66" t="e">
        <f ca="1">IF(C39&gt;0,IF(B39=0,W38,B39),"")</f>
        <v>#REF!</v>
      </c>
    </row>
    <row r="40" spans="1:23" ht="15">
      <c r="A40" s="77"/>
      <c r="B40" s="68"/>
      <c r="C40" s="60">
        <v>68</v>
      </c>
      <c r="D40" s="60" t="s">
        <v>72</v>
      </c>
      <c r="E40" s="61" t="s">
        <v>89</v>
      </c>
      <c r="F40" s="78">
        <f ca="1"> 10 + (90+40+290+60)+10</f>
        <v>500</v>
      </c>
      <c r="G40" s="60">
        <v>1</v>
      </c>
      <c r="H40" s="62" t="e">
        <f ca="1">IF(RIGHT(M40,5)="JOINT",IF(MID(D40,3,6)="1007#2","15","17"),IF(RIGHT(M40,6)="SPLICE",8,IF(AND(S40="",NOT(F40="")),#REF!,S40)))</f>
        <v>#REF!</v>
      </c>
      <c r="I40" s="60" t="str">
        <f ca="1">IF(M40="", "", IF(OR(M40="반탈피", ISNUMBER(SEARCH("JOINT", M40))), "반", "완"))</f>
        <v>완</v>
      </c>
      <c r="J40" s="62" t="e">
        <f ca="1">IF(RIGHT(N40,5)="JOINT",IF(MID(D40,3,6)="1007#2","15","17"),IF(RIGHT(N40,6)="SPLICE",8,IF(AND(T40="",NOT(F40="")),#REF!,T40)))</f>
        <v>#REF!</v>
      </c>
      <c r="K40" s="60" t="str">
        <f ca="1">IF(N40="", "", IF(OR(N40="반탈피", ISNUMBER(SEARCH("JOINT", N40))), "반", "완"))</f>
        <v>완</v>
      </c>
      <c r="L40" s="60"/>
      <c r="M40" s="60" t="s">
        <v>54</v>
      </c>
      <c r="N40" s="60" t="s">
        <v>84</v>
      </c>
      <c r="O40" s="69"/>
      <c r="P40" s="65" t="s">
        <v>90</v>
      </c>
      <c r="Q40" s="70"/>
      <c r="R40" s="65" t="s">
        <v>91</v>
      </c>
      <c r="S40" s="79" t="str">
        <f ca="1">IFERROR(VLOOKUP(M40,'DATA(STRIP LENGTH)'!$A:$C,3,0),"")</f>
        <v/>
      </c>
      <c r="T40" s="79" t="str">
        <f ca="1">IFERROR(VLOOKUP(N40,'DATA(STRIP LENGTH)'!$A:$C,3,0),"")</f>
        <v/>
      </c>
      <c r="U40" s="77" t="str">
        <f ca="1">IFERROR(VLOOKUP(M40,이원화!$A:$B,2,0),"")</f>
        <v/>
      </c>
      <c r="V40" s="77" t="str">
        <f ca="1">IFERROR(VLOOKUP(N40,이원화!$A:$B,2,0),"")</f>
        <v/>
      </c>
      <c r="W40" s="80" t="e">
        <f ca="1">IF(C40&gt;0,IF(B40=0,W39,B40),"")</f>
        <v>#REF!</v>
      </c>
    </row>
    <row r="41" spans="1:23" ht="15">
      <c r="A41" s="1"/>
      <c r="B41" s="68"/>
      <c r="C41" s="60">
        <v>56</v>
      </c>
      <c r="D41" s="64" t="s">
        <v>92</v>
      </c>
      <c r="E41" s="61" t="s">
        <v>60</v>
      </c>
      <c r="F41" s="75">
        <f ca="1"> 10 + (90+40+290+40)+10</f>
        <v>480</v>
      </c>
      <c r="G41" s="60">
        <v>1</v>
      </c>
      <c r="H41" s="62" t="e">
        <f ca="1">IF(RIGHT(M41,5)="JOINT",IF(MID(D41,3,6)="1007#2","15","17"),IF(RIGHT(M41,6)="SPLICE",8,IF(AND(S41="",NOT(F41="")),#REF!,S41)))</f>
        <v>#REF!</v>
      </c>
      <c r="I41" s="60" t="str">
        <f ca="1">IF(M41="", "", IF(OR(M41="반탈피", ISNUMBER(SEARCH("JOINT", M41))), "반", "완"))</f>
        <v>완</v>
      </c>
      <c r="J41" s="62" t="e">
        <f ca="1">IF(RIGHT(N41,5)="JOINT",IF(MID(D41,3,6)="1007#2","15","17"),IF(RIGHT(N41,6)="SPLICE",8,IF(AND(T41="",NOT(F41="")),#REF!,T41)))</f>
        <v>#REF!</v>
      </c>
      <c r="K41" s="60" t="str">
        <f ca="1">IF(N41="", "", IF(OR(N41="반탈피", ISNUMBER(SEARCH("JOINT", N41))), "반", "완"))</f>
        <v>완</v>
      </c>
      <c r="L41" s="60"/>
      <c r="M41" s="60" t="s">
        <v>54</v>
      </c>
      <c r="N41" s="60" t="s">
        <v>66</v>
      </c>
      <c r="O41" s="69"/>
      <c r="P41" s="65" t="s">
        <v>93</v>
      </c>
      <c r="Q41" s="64">
        <v>6</v>
      </c>
      <c r="R41" s="65" t="s">
        <v>94</v>
      </c>
      <c r="S41" s="6" t="str">
        <f ca="1">IFERROR(VLOOKUP(M41,'DATA(STRIP LENGTH)'!$A:$C,3,0),"")</f>
        <v/>
      </c>
      <c r="T41" s="6" t="str">
        <f ca="1">IFERROR(VLOOKUP(N41,'DATA(STRIP LENGTH)'!$A:$C,3,0),"")</f>
        <v/>
      </c>
      <c r="U41" s="1" t="str">
        <f ca="1">IFERROR(VLOOKUP(M41,이원화!$A:$B,2,0),"")</f>
        <v/>
      </c>
      <c r="V41" s="1" t="str">
        <f ca="1">IFERROR(VLOOKUP(N41,이원화!$A:$B,2,0),"")</f>
        <v/>
      </c>
      <c r="W41" s="66" t="e">
        <f ca="1">IF(C41&gt;0,IF(B41=0,W39,B41),"")</f>
        <v>#REF!</v>
      </c>
    </row>
    <row r="42" spans="1:23" ht="15">
      <c r="A42" s="1"/>
      <c r="B42" s="68"/>
      <c r="C42" s="60">
        <v>57</v>
      </c>
      <c r="D42" s="69"/>
      <c r="E42" s="61" t="s">
        <v>69</v>
      </c>
      <c r="F42" s="81"/>
      <c r="G42" s="60">
        <v>1</v>
      </c>
      <c r="H42" s="62" t="str">
        <f ca="1">IF(RIGHT(M42,5)="JOINT",IF(MID(D42,3,6)="1007#2","15","17"),IF(RIGHT(M42,6)="SPLICE",8,IF(AND(S42="",NOT(F42="")),#REF!,S42)))</f>
        <v/>
      </c>
      <c r="I42" s="60" t="str">
        <f ca="1">IF(M42="", "", IF(OR(M42="반탈피", ISNUMBER(SEARCH("JOINT", M42))), "반", "완"))</f>
        <v>완</v>
      </c>
      <c r="J42" s="62" t="str">
        <f ca="1">IF(RIGHT(N42,5)="JOINT",IF(MID(D42,3,6)="1007#2","15","17"),IF(RIGHT(N42,6)="SPLICE",8,IF(AND(T42="",NOT(F42="")),#REF!,T42)))</f>
        <v/>
      </c>
      <c r="K42" s="60" t="str">
        <f ca="1">IF(N42="", "", IF(OR(N42="반탈피", ISNUMBER(SEARCH("JOINT", N42))), "반", "완"))</f>
        <v>완</v>
      </c>
      <c r="L42" s="60"/>
      <c r="M42" s="60" t="s">
        <v>54</v>
      </c>
      <c r="N42" s="60" t="s">
        <v>66</v>
      </c>
      <c r="O42" s="69"/>
      <c r="P42" s="65" t="s">
        <v>95</v>
      </c>
      <c r="Q42" s="69"/>
      <c r="R42" s="65" t="s">
        <v>96</v>
      </c>
      <c r="S42" s="6" t="str">
        <f ca="1">IFERROR(VLOOKUP(M42,'DATA(STRIP LENGTH)'!$A:$C,3,0),"")</f>
        <v/>
      </c>
      <c r="T42" s="6" t="str">
        <f ca="1">IFERROR(VLOOKUP(N42,'DATA(STRIP LENGTH)'!$A:$C,3,0),"")</f>
        <v/>
      </c>
      <c r="U42" s="1" t="str">
        <f ca="1">IFERROR(VLOOKUP(M42,이원화!$A:$B,2,0),"")</f>
        <v/>
      </c>
      <c r="V42" s="1" t="str">
        <f ca="1">IFERROR(VLOOKUP(N42,이원화!$A:$B,2,0),"")</f>
        <v/>
      </c>
      <c r="W42" s="66" t="e">
        <f ca="1">IF(C42&gt;0,IF(B42=0,W41,B42),"")</f>
        <v>#REF!</v>
      </c>
    </row>
    <row r="43" spans="1:23" ht="15">
      <c r="A43" s="1"/>
      <c r="B43" s="82"/>
      <c r="C43" s="60">
        <v>58</v>
      </c>
      <c r="D43" s="70"/>
      <c r="E43" s="61" t="s">
        <v>69</v>
      </c>
      <c r="F43" s="76"/>
      <c r="G43" s="60">
        <v>1</v>
      </c>
      <c r="H43" s="62" t="str">
        <f ca="1">IF(RIGHT(M43,5)="JOINT",IF(MID(D43,3,6)="1007#2","15","17"),IF(RIGHT(M43,6)="SPLICE",8,IF(AND(S43="",NOT(F43="")),#REF!,S43)))</f>
        <v/>
      </c>
      <c r="I43" s="60" t="str">
        <f ca="1">IF(M43="", "", IF(OR(M43="반탈피", ISNUMBER(SEARCH("JOINT", M43))), "반", "완"))</f>
        <v>완</v>
      </c>
      <c r="J43" s="62" t="str">
        <f ca="1">IF(RIGHT(N43,5)="JOINT",IF(MID(D43,3,6)="1007#2","15","17"),IF(RIGHT(N43,6)="SPLICE",8,IF(AND(T43="",NOT(F43="")),#REF!,T43)))</f>
        <v/>
      </c>
      <c r="K43" s="60" t="str">
        <f ca="1">IF(N43="", "", IF(OR(N43="반탈피", ISNUMBER(SEARCH("JOINT", N43))), "반", "완"))</f>
        <v>완</v>
      </c>
      <c r="L43" s="60"/>
      <c r="M43" s="60" t="s">
        <v>54</v>
      </c>
      <c r="N43" s="60" t="s">
        <v>66</v>
      </c>
      <c r="O43" s="70"/>
      <c r="P43" s="65" t="s">
        <v>97</v>
      </c>
      <c r="Q43" s="70"/>
      <c r="R43" s="65" t="s">
        <v>98</v>
      </c>
      <c r="S43" s="6" t="str">
        <f ca="1">IFERROR(VLOOKUP(M43,'DATA(STRIP LENGTH)'!$A:$C,3,0),"")</f>
        <v/>
      </c>
      <c r="T43" s="6" t="str">
        <f ca="1">IFERROR(VLOOKUP(N43,'DATA(STRIP LENGTH)'!$A:$C,3,0),"")</f>
        <v/>
      </c>
      <c r="U43" s="1" t="str">
        <f ca="1">IFERROR(VLOOKUP(M43,이원화!$A:$B,2,0),"")</f>
        <v/>
      </c>
      <c r="V43" s="1" t="str">
        <f ca="1">IFERROR(VLOOKUP(N43,이원화!$A:$B,2,0),"")</f>
        <v/>
      </c>
      <c r="W43" s="66" t="e">
        <f ca="1">IF(C43&gt;0,IF(B43=0,W42,B43),"")</f>
        <v>#REF!</v>
      </c>
    </row>
    <row r="44" spans="1:23" ht="15">
      <c r="A44" s="6"/>
      <c r="B44" s="83"/>
      <c r="C44" s="65"/>
      <c r="D44" s="60"/>
      <c r="E44" s="61"/>
      <c r="F44" s="61"/>
      <c r="G44" s="60">
        <v>1</v>
      </c>
      <c r="H44" s="62" t="str">
        <f ca="1">IF(RIGHT(M44,5)="JOINT",IF(MID(D44,3,6)="1007#2","15","17"),IF(RIGHT(M44,6)="SPLICE",8,IF(AND(S44="",NOT(F44="")),#REF!,S44)))</f>
        <v/>
      </c>
      <c r="I44" s="60" t="str">
        <f ca="1">IF(M44="", "", IF(OR(M44="반탈피", ISNUMBER(SEARCH("JOINT", M44))), "반", "완"))</f>
        <v/>
      </c>
      <c r="J44" s="62" t="str">
        <f ca="1">IF(RIGHT(N44,5)="JOINT",IF(MID(D44,3,6)="1007#2","15","17"),IF(RIGHT(N44,6)="SPLICE",8,IF(AND(T44="",NOT(F44="")),#REF!,T44)))</f>
        <v/>
      </c>
      <c r="K44" s="60" t="str">
        <f ca="1">IF(N44="", "", IF(OR(N44="반탈피", ISNUMBER(SEARCH("JOINT", N44))), "반", "완"))</f>
        <v/>
      </c>
      <c r="L44" s="60"/>
      <c r="M44" s="60"/>
      <c r="N44" s="60"/>
      <c r="O44" s="60"/>
      <c r="P44" s="65"/>
      <c r="Q44" s="60"/>
      <c r="R44" s="65"/>
      <c r="S44" s="6" t="str">
        <f ca="1">IFERROR(VLOOKUP(M44,'DATA(STRIP LENGTH)'!$A:$C,3,0),"")</f>
        <v/>
      </c>
      <c r="T44" s="6" t="str">
        <f ca="1">IFERROR(VLOOKUP(N44,'DATA(STRIP LENGTH)'!$A:$C,3,0),"")</f>
        <v/>
      </c>
      <c r="U44" s="1" t="str">
        <f ca="1">IFERROR(VLOOKUP(M44,이원화!$A:$B,2,0),"")</f>
        <v/>
      </c>
      <c r="V44" s="1" t="str">
        <f ca="1">IFERROR(VLOOKUP(N44,이원화!$A:$B,2,0),"")</f>
        <v/>
      </c>
      <c r="W44" s="66" t="str">
        <f ca="1">IF(C44&gt;0,IF(B44=0,W31,B44),"")</f>
        <v/>
      </c>
    </row>
    <row r="45" spans="1:23" ht="19.5">
      <c r="A45" s="1"/>
      <c r="B45" s="59" t="s">
        <v>99</v>
      </c>
      <c r="C45" s="60">
        <v>20</v>
      </c>
      <c r="D45" s="64" t="s">
        <v>100</v>
      </c>
      <c r="E45" s="61" t="s">
        <v>83</v>
      </c>
      <c r="F45" s="72">
        <f ca="1"> 10 + (80+40+50+40+40+100)+10</f>
        <v>370</v>
      </c>
      <c r="G45" s="60">
        <v>1</v>
      </c>
      <c r="H45" s="62" t="e">
        <f ca="1">IF(RIGHT(M45,5)="JOINT",IF(MID(D45,3,6)="1007#2","15","17"),IF(RIGHT(M45,6)="SPLICE",8,IF(AND(S45="",NOT(F45="")),#REF!,S45)))</f>
        <v>#REF!</v>
      </c>
      <c r="I45" s="60" t="str">
        <f ca="1">IF(M45="", "", IF(OR(M45="반탈피", ISNUMBER(SEARCH("JOINT", M45))), "반", "완"))</f>
        <v>완</v>
      </c>
      <c r="J45" s="62" t="e">
        <f ca="1">IF(RIGHT(N45,5)="JOINT",IF(MID(D45,3,6)="1007#2","15","17"),IF(RIGHT(N45,6)="SPLICE",8,IF(AND(T45="",NOT(F45="")),#REF!,T45)))</f>
        <v>#REF!</v>
      </c>
      <c r="K45" s="60" t="str">
        <f ca="1">IF(N45="", "", IF(OR(N45="반탈피", ISNUMBER(SEARCH("JOINT", N45))), "반", "완"))</f>
        <v>완</v>
      </c>
      <c r="L45" s="60"/>
      <c r="M45" s="60" t="s">
        <v>54</v>
      </c>
      <c r="N45" s="60" t="s">
        <v>66</v>
      </c>
      <c r="O45" s="64">
        <v>1</v>
      </c>
      <c r="P45" s="65" t="s">
        <v>101</v>
      </c>
      <c r="Q45" s="64">
        <v>5</v>
      </c>
      <c r="R45" s="65" t="s">
        <v>102</v>
      </c>
      <c r="S45" s="6" t="str">
        <f ca="1">IFERROR(VLOOKUP(M45,'DATA(STRIP LENGTH)'!$A:$C,3,0),"")</f>
        <v/>
      </c>
      <c r="T45" s="6" t="str">
        <f ca="1">IFERROR(VLOOKUP(N45,'DATA(STRIP LENGTH)'!$A:$C,3,0),"")</f>
        <v/>
      </c>
      <c r="U45" s="1" t="str">
        <f ca="1">IFERROR(VLOOKUP(M45,이원화!$A:$B,2,0),"")</f>
        <v/>
      </c>
      <c r="V45" s="1" t="str">
        <f ca="1">IFERROR(VLOOKUP(N45,이원화!$A:$B,2,0),"")</f>
        <v/>
      </c>
      <c r="W45" s="67" t="str">
        <f ca="1">IF(C45&gt;0,IF(B45=0,W44,B45),"")</f>
        <v>1767C-2
</v>
      </c>
    </row>
    <row r="46" spans="1:23" ht="15">
      <c r="A46" s="1"/>
      <c r="B46" s="68"/>
      <c r="C46" s="60">
        <v>21</v>
      </c>
      <c r="D46" s="69"/>
      <c r="E46" s="61" t="s">
        <v>69</v>
      </c>
      <c r="F46" s="84"/>
      <c r="G46" s="60">
        <v>1</v>
      </c>
      <c r="H46" s="62" t="str">
        <f ca="1">IF(RIGHT(M46,5)="JOINT",IF(MID(D46,3,6)="1007#2","15","17"),IF(RIGHT(M46,6)="SPLICE",8,IF(AND(S46="",NOT(F46="")),#REF!,S46)))</f>
        <v/>
      </c>
      <c r="I46" s="60" t="str">
        <f ca="1">IF(M46="", "", IF(OR(M46="반탈피", ISNUMBER(SEARCH("JOINT", M46))), "반", "완"))</f>
        <v>완</v>
      </c>
      <c r="J46" s="62" t="str">
        <f ca="1">IF(RIGHT(N46,5)="JOINT",IF(MID(D46,3,6)="1007#2","15","17"),IF(RIGHT(N46,6)="SPLICE",8,IF(AND(T46="",NOT(F46="")),#REF!,T46)))</f>
        <v/>
      </c>
      <c r="K46" s="60" t="str">
        <f ca="1">IF(N46="", "", IF(OR(N46="반탈피", ISNUMBER(SEARCH("JOINT", N46))), "반", "완"))</f>
        <v>완</v>
      </c>
      <c r="L46" s="60"/>
      <c r="M46" s="60" t="s">
        <v>54</v>
      </c>
      <c r="N46" s="60" t="s">
        <v>66</v>
      </c>
      <c r="O46" s="69"/>
      <c r="P46" s="65" t="s">
        <v>103</v>
      </c>
      <c r="Q46" s="69"/>
      <c r="R46" s="65" t="s">
        <v>104</v>
      </c>
      <c r="S46" s="6" t="str">
        <f ca="1">IFERROR(VLOOKUP(M46,'DATA(STRIP LENGTH)'!$A:$C,3,0),"")</f>
        <v/>
      </c>
      <c r="T46" s="6" t="str">
        <f ca="1">IFERROR(VLOOKUP(N46,'DATA(STRIP LENGTH)'!$A:$C,3,0),"")</f>
        <v/>
      </c>
      <c r="U46" s="1" t="str">
        <f ca="1">IFERROR(VLOOKUP(M46,이원화!$A:$B,2,0),"")</f>
        <v/>
      </c>
      <c r="V46" s="1" t="str">
        <f ca="1">IFERROR(VLOOKUP(N46,이원화!$A:$B,2,0),"")</f>
        <v/>
      </c>
      <c r="W46" s="66" t="str">
        <f ca="1">IF(C46&gt;0,IF(B46=0,W45,B46),"")</f>
        <v>1767C-2
</v>
      </c>
    </row>
    <row r="47" spans="1:23" ht="15">
      <c r="A47" s="1"/>
      <c r="B47" s="68"/>
      <c r="C47" s="60">
        <v>22</v>
      </c>
      <c r="D47" s="69"/>
      <c r="E47" s="61" t="s">
        <v>69</v>
      </c>
      <c r="F47" s="84"/>
      <c r="G47" s="60">
        <v>1</v>
      </c>
      <c r="H47" s="62" t="str">
        <f ca="1">IF(RIGHT(M47,5)="JOINT",IF(MID(D47,3,6)="1007#2","15","17"),IF(RIGHT(M47,6)="SPLICE",8,IF(AND(S47="",NOT(F47="")),#REF!,S47)))</f>
        <v/>
      </c>
      <c r="I47" s="60" t="str">
        <f ca="1">IF(M47="", "", IF(OR(M47="반탈피", ISNUMBER(SEARCH("JOINT", M47))), "반", "완"))</f>
        <v>완</v>
      </c>
      <c r="J47" s="62" t="str">
        <f ca="1">IF(RIGHT(N47,5)="JOINT",IF(MID(D47,3,6)="1007#2","15","17"),IF(RIGHT(N47,6)="SPLICE",8,IF(AND(T47="",NOT(F47="")),#REF!,T47)))</f>
        <v/>
      </c>
      <c r="K47" s="60" t="str">
        <f ca="1">IF(N47="", "", IF(OR(N47="반탈피", ISNUMBER(SEARCH("JOINT", N47))), "반", "완"))</f>
        <v>완</v>
      </c>
      <c r="L47" s="60"/>
      <c r="M47" s="60" t="s">
        <v>54</v>
      </c>
      <c r="N47" s="60" t="s">
        <v>66</v>
      </c>
      <c r="O47" s="69"/>
      <c r="P47" s="65" t="s">
        <v>105</v>
      </c>
      <c r="Q47" s="69"/>
      <c r="R47" s="65" t="s">
        <v>106</v>
      </c>
      <c r="S47" s="6" t="str">
        <f ca="1">IFERROR(VLOOKUP(M47,'DATA(STRIP LENGTH)'!$A:$C,3,0),"")</f>
        <v/>
      </c>
      <c r="T47" s="6" t="str">
        <f ca="1">IFERROR(VLOOKUP(N47,'DATA(STRIP LENGTH)'!$A:$C,3,0),"")</f>
        <v/>
      </c>
      <c r="U47" s="1" t="str">
        <f ca="1">IFERROR(VLOOKUP(M47,이원화!$A:$B,2,0),"")</f>
        <v/>
      </c>
      <c r="V47" s="1" t="str">
        <f ca="1">IFERROR(VLOOKUP(N47,이원화!$A:$B,2,0),"")</f>
        <v/>
      </c>
      <c r="W47" s="66" t="str">
        <f ca="1">IF(C47&gt;0,IF(B47=0,W46,B47),"")</f>
        <v>1767C-2
</v>
      </c>
    </row>
    <row r="48" spans="1:23" ht="15">
      <c r="A48" s="1"/>
      <c r="B48" s="68"/>
      <c r="C48" s="60">
        <v>23</v>
      </c>
      <c r="D48" s="69"/>
      <c r="E48" s="61" t="s">
        <v>69</v>
      </c>
      <c r="F48" s="84"/>
      <c r="G48" s="60">
        <v>1</v>
      </c>
      <c r="H48" s="62" t="str">
        <f ca="1">IF(RIGHT(M48,5)="JOINT",IF(MID(D48,3,6)="1007#2","15","17"),IF(RIGHT(M48,6)="SPLICE",8,IF(AND(S48="",NOT(F48="")),#REF!,S48)))</f>
        <v/>
      </c>
      <c r="I48" s="60" t="str">
        <f ca="1">IF(M48="", "", IF(OR(M48="반탈피", ISNUMBER(SEARCH("JOINT", M48))), "반", "완"))</f>
        <v>완</v>
      </c>
      <c r="J48" s="62" t="str">
        <f ca="1">IF(RIGHT(N48,5)="JOINT",IF(MID(D48,3,6)="1007#2","15","17"),IF(RIGHT(N48,6)="SPLICE",8,IF(AND(T48="",NOT(F48="")),#REF!,T48)))</f>
        <v/>
      </c>
      <c r="K48" s="60" t="str">
        <f ca="1">IF(N48="", "", IF(OR(N48="반탈피", ISNUMBER(SEARCH("JOINT", N48))), "반", "완"))</f>
        <v>완</v>
      </c>
      <c r="L48" s="60"/>
      <c r="M48" s="60" t="s">
        <v>54</v>
      </c>
      <c r="N48" s="60" t="s">
        <v>66</v>
      </c>
      <c r="O48" s="69"/>
      <c r="P48" s="65" t="s">
        <v>107</v>
      </c>
      <c r="Q48" s="69"/>
      <c r="R48" s="65" t="s">
        <v>108</v>
      </c>
      <c r="S48" s="6" t="str">
        <f ca="1">IFERROR(VLOOKUP(M48,'DATA(STRIP LENGTH)'!$A:$C,3,0),"")</f>
        <v/>
      </c>
      <c r="T48" s="6" t="str">
        <f ca="1">IFERROR(VLOOKUP(N48,'DATA(STRIP LENGTH)'!$A:$C,3,0),"")</f>
        <v/>
      </c>
      <c r="U48" s="1" t="str">
        <f ca="1">IFERROR(VLOOKUP(M48,이원화!$A:$B,2,0),"")</f>
        <v/>
      </c>
      <c r="V48" s="1" t="str">
        <f ca="1">IFERROR(VLOOKUP(N48,이원화!$A:$B,2,0),"")</f>
        <v/>
      </c>
      <c r="W48" s="66" t="str">
        <f ca="1">IF(C48&gt;0,IF(B48=0,W47,B48),"")</f>
        <v>1767C-2
</v>
      </c>
    </row>
    <row r="49" spans="1:23" ht="15">
      <c r="A49" s="1"/>
      <c r="B49" s="68"/>
      <c r="C49" s="60">
        <v>24</v>
      </c>
      <c r="D49" s="70"/>
      <c r="E49" s="61" t="s">
        <v>69</v>
      </c>
      <c r="F49" s="73"/>
      <c r="G49" s="60">
        <v>1</v>
      </c>
      <c r="H49" s="62" t="str">
        <f ca="1">IF(RIGHT(M49,5)="JOINT",IF(MID(D49,3,6)="1007#2","15","17"),IF(RIGHT(M49,6)="SPLICE",8,IF(AND(S49="",NOT(F49="")),#REF!,S49)))</f>
        <v/>
      </c>
      <c r="I49" s="60" t="str">
        <f ca="1">IF(M49="", "", IF(OR(M49="반탈피", ISNUMBER(SEARCH("JOINT", M49))), "반", "완"))</f>
        <v>완</v>
      </c>
      <c r="J49" s="62" t="str">
        <f ca="1">IF(RIGHT(N49,5)="JOINT",IF(MID(D49,3,6)="1007#2","15","17"),IF(RIGHT(N49,6)="SPLICE",8,IF(AND(T49="",NOT(F49="")),#REF!,T49)))</f>
        <v/>
      </c>
      <c r="K49" s="60" t="str">
        <f ca="1">IF(N49="", "", IF(OR(N49="반탈피", ISNUMBER(SEARCH("JOINT", N49))), "반", "완"))</f>
        <v>완</v>
      </c>
      <c r="L49" s="60"/>
      <c r="M49" s="60" t="s">
        <v>54</v>
      </c>
      <c r="N49" s="60" t="s">
        <v>66</v>
      </c>
      <c r="O49" s="69"/>
      <c r="P49" s="65" t="s">
        <v>109</v>
      </c>
      <c r="Q49" s="69"/>
      <c r="R49" s="65" t="s">
        <v>110</v>
      </c>
      <c r="S49" s="6" t="str">
        <f ca="1">IFERROR(VLOOKUP(M49,'DATA(STRIP LENGTH)'!$A:$C,3,0),"")</f>
        <v/>
      </c>
      <c r="T49" s="6" t="str">
        <f ca="1">IFERROR(VLOOKUP(N49,'DATA(STRIP LENGTH)'!$A:$C,3,0),"")</f>
        <v/>
      </c>
      <c r="U49" s="1" t="str">
        <f ca="1">IFERROR(VLOOKUP(M49,이원화!$A:$B,2,0),"")</f>
        <v/>
      </c>
      <c r="V49" s="1" t="str">
        <f ca="1">IFERROR(VLOOKUP(N49,이원화!$A:$B,2,0),"")</f>
        <v/>
      </c>
      <c r="W49" s="66" t="str">
        <f ca="1">IF(C49&gt;0,IF(B49=0,W48,B49),"")</f>
        <v>1767C-2
</v>
      </c>
    </row>
    <row r="50" spans="1:23" ht="15">
      <c r="A50" s="1"/>
      <c r="B50" s="68"/>
      <c r="C50" s="60">
        <v>25</v>
      </c>
      <c r="D50" s="64" t="s">
        <v>111</v>
      </c>
      <c r="E50" s="61" t="s">
        <v>60</v>
      </c>
      <c r="F50" s="72">
        <f ca="1"> 10 + (80+40+50+40+40+100)+10</f>
        <v>370</v>
      </c>
      <c r="G50" s="60">
        <v>1</v>
      </c>
      <c r="H50" s="62" t="e">
        <f ca="1">IF(RIGHT(M50,5)="JOINT",IF(MID(D50,3,6)="1007#2","15","17"),IF(RIGHT(M50,6)="SPLICE",8,IF(AND(S50="",NOT(F50="")),#REF!,S50)))</f>
        <v>#REF!</v>
      </c>
      <c r="I50" s="60" t="str">
        <f ca="1">IF(M50="", "", IF(OR(M50="반탈피", ISNUMBER(SEARCH("JOINT", M50))), "반", "완"))</f>
        <v>완</v>
      </c>
      <c r="J50" s="62" t="e">
        <f ca="1">IF(RIGHT(N50,5)="JOINT",IF(MID(D50,3,6)="1007#2","15","17"),IF(RIGHT(N50,6)="SPLICE",8,IF(AND(T50="",NOT(F50="")),#REF!,T50)))</f>
        <v>#REF!</v>
      </c>
      <c r="K50" s="60" t="str">
        <f ca="1">IF(N50="", "", IF(OR(N50="반탈피", ISNUMBER(SEARCH("JOINT", N50))), "반", "완"))</f>
        <v>완</v>
      </c>
      <c r="L50" s="60"/>
      <c r="M50" s="60" t="s">
        <v>54</v>
      </c>
      <c r="N50" s="60" t="s">
        <v>66</v>
      </c>
      <c r="O50" s="69"/>
      <c r="P50" s="65" t="s">
        <v>112</v>
      </c>
      <c r="Q50" s="69"/>
      <c r="R50" s="65" t="s">
        <v>113</v>
      </c>
      <c r="S50" s="6" t="str">
        <f ca="1">IFERROR(VLOOKUP(M50,'DATA(STRIP LENGTH)'!$A:$C,3,0),"")</f>
        <v/>
      </c>
      <c r="T50" s="6" t="str">
        <f ca="1">IFERROR(VLOOKUP(N50,'DATA(STRIP LENGTH)'!$A:$C,3,0),"")</f>
        <v/>
      </c>
      <c r="U50" s="1" t="str">
        <f ca="1">IFERROR(VLOOKUP(M50,이원화!$A:$B,2,0),"")</f>
        <v/>
      </c>
      <c r="V50" s="1" t="str">
        <f ca="1">IFERROR(VLOOKUP(N50,이원화!$A:$B,2,0),"")</f>
        <v/>
      </c>
      <c r="W50" s="66" t="str">
        <f ca="1">IF(C50&gt;0,IF(B50=0,W49,B50),"")</f>
        <v>1767C-2
</v>
      </c>
    </row>
    <row r="51" spans="1:23" ht="15">
      <c r="A51" s="1"/>
      <c r="B51" s="68"/>
      <c r="C51" s="60">
        <v>26</v>
      </c>
      <c r="D51" s="69"/>
      <c r="E51" s="61" t="s">
        <v>69</v>
      </c>
      <c r="F51" s="84"/>
      <c r="G51" s="60">
        <v>1</v>
      </c>
      <c r="H51" s="62" t="str">
        <f ca="1">IF(RIGHT(M51,5)="JOINT",IF(MID(D51,3,6)="1007#2","15","17"),IF(RIGHT(M51,6)="SPLICE",8,IF(AND(S51="",NOT(F51="")),#REF!,S51)))</f>
        <v/>
      </c>
      <c r="I51" s="60" t="str">
        <f ca="1">IF(M51="", "", IF(OR(M51="반탈피", ISNUMBER(SEARCH("JOINT", M51))), "반", "완"))</f>
        <v>완</v>
      </c>
      <c r="J51" s="62" t="str">
        <f ca="1">IF(RIGHT(N51,5)="JOINT",IF(MID(D51,3,6)="1007#2","15","17"),IF(RIGHT(N51,6)="SPLICE",8,IF(AND(T51="",NOT(F51="")),#REF!,T51)))</f>
        <v/>
      </c>
      <c r="K51" s="60" t="str">
        <f ca="1">IF(N51="", "", IF(OR(N51="반탈피", ISNUMBER(SEARCH("JOINT", N51))), "반", "완"))</f>
        <v>완</v>
      </c>
      <c r="L51" s="60"/>
      <c r="M51" s="60" t="s">
        <v>54</v>
      </c>
      <c r="N51" s="60" t="s">
        <v>66</v>
      </c>
      <c r="O51" s="69"/>
      <c r="P51" s="65" t="s">
        <v>114</v>
      </c>
      <c r="Q51" s="69"/>
      <c r="R51" s="65" t="s">
        <v>115</v>
      </c>
      <c r="S51" s="6" t="str">
        <f ca="1">IFERROR(VLOOKUP(M51,'DATA(STRIP LENGTH)'!$A:$C,3,0),"")</f>
        <v/>
      </c>
      <c r="T51" s="6" t="str">
        <f ca="1">IFERROR(VLOOKUP(N51,'DATA(STRIP LENGTH)'!$A:$C,3,0),"")</f>
        <v/>
      </c>
      <c r="U51" s="1" t="str">
        <f ca="1">IFERROR(VLOOKUP(M51,이원화!$A:$B,2,0),"")</f>
        <v/>
      </c>
      <c r="V51" s="1" t="str">
        <f ca="1">IFERROR(VLOOKUP(N51,이원화!$A:$B,2,0),"")</f>
        <v/>
      </c>
      <c r="W51" s="66" t="str">
        <f ca="1">IF(C51&gt;0,IF(B51=0,W50,B51),"")</f>
        <v>1767C-2
</v>
      </c>
    </row>
    <row r="52" spans="1:23" ht="15">
      <c r="A52" s="1"/>
      <c r="B52" s="68"/>
      <c r="C52" s="60">
        <v>27</v>
      </c>
      <c r="D52" s="69"/>
      <c r="E52" s="61" t="s">
        <v>69</v>
      </c>
      <c r="F52" s="84"/>
      <c r="G52" s="60">
        <v>1</v>
      </c>
      <c r="H52" s="62" t="str">
        <f ca="1">IF(RIGHT(M52,5)="JOINT",IF(MID(D52,3,6)="1007#2","15","17"),IF(RIGHT(M52,6)="SPLICE",8,IF(AND(S52="",NOT(F52="")),#REF!,S52)))</f>
        <v/>
      </c>
      <c r="I52" s="60" t="str">
        <f ca="1">IF(M52="", "", IF(OR(M52="반탈피", ISNUMBER(SEARCH("JOINT", M52))), "반", "완"))</f>
        <v>완</v>
      </c>
      <c r="J52" s="62" t="str">
        <f ca="1">IF(RIGHT(N52,5)="JOINT",IF(MID(D52,3,6)="1007#2","15","17"),IF(RIGHT(N52,6)="SPLICE",8,IF(AND(T52="",NOT(F52="")),#REF!,T52)))</f>
        <v/>
      </c>
      <c r="K52" s="60" t="str">
        <f ca="1">IF(N52="", "", IF(OR(N52="반탈피", ISNUMBER(SEARCH("JOINT", N52))), "반", "완"))</f>
        <v>완</v>
      </c>
      <c r="L52" s="60"/>
      <c r="M52" s="60" t="s">
        <v>54</v>
      </c>
      <c r="N52" s="60" t="s">
        <v>66</v>
      </c>
      <c r="O52" s="69"/>
      <c r="P52" s="65" t="s">
        <v>116</v>
      </c>
      <c r="Q52" s="69"/>
      <c r="R52" s="65" t="s">
        <v>117</v>
      </c>
      <c r="S52" s="6" t="str">
        <f ca="1">IFERROR(VLOOKUP(M52,'DATA(STRIP LENGTH)'!$A:$C,3,0),"")</f>
        <v/>
      </c>
      <c r="T52" s="6" t="str">
        <f ca="1">IFERROR(VLOOKUP(N52,'DATA(STRIP LENGTH)'!$A:$C,3,0),"")</f>
        <v/>
      </c>
      <c r="U52" s="1" t="str">
        <f ca="1">IFERROR(VLOOKUP(M52,이원화!$A:$B,2,0),"")</f>
        <v/>
      </c>
      <c r="V52" s="1" t="str">
        <f ca="1">IFERROR(VLOOKUP(N52,이원화!$A:$B,2,0),"")</f>
        <v/>
      </c>
      <c r="W52" s="66" t="str">
        <f ca="1">IF(C52&gt;0,IF(B52=0,W51,B52),"")</f>
        <v>1767C-2
</v>
      </c>
    </row>
    <row r="53" spans="1:23" ht="15">
      <c r="A53" s="1"/>
      <c r="B53" s="68"/>
      <c r="C53" s="60">
        <v>28</v>
      </c>
      <c r="D53" s="69"/>
      <c r="E53" s="61" t="s">
        <v>69</v>
      </c>
      <c r="F53" s="84"/>
      <c r="G53" s="60">
        <v>1</v>
      </c>
      <c r="H53" s="62" t="str">
        <f ca="1">IF(RIGHT(M53,5)="JOINT",IF(MID(D53,3,6)="1007#2","15","17"),IF(RIGHT(M53,6)="SPLICE",8,IF(AND(S53="",NOT(F53="")),#REF!,S53)))</f>
        <v/>
      </c>
      <c r="I53" s="60" t="str">
        <f ca="1">IF(M53="", "", IF(OR(M53="반탈피", ISNUMBER(SEARCH("JOINT", M53))), "반", "완"))</f>
        <v>완</v>
      </c>
      <c r="J53" s="62" t="str">
        <f ca="1">IF(RIGHT(N53,5)="JOINT",IF(MID(D53,3,6)="1007#2","15","17"),IF(RIGHT(N53,6)="SPLICE",8,IF(AND(T53="",NOT(F53="")),#REF!,T53)))</f>
        <v/>
      </c>
      <c r="K53" s="60" t="str">
        <f ca="1">IF(N53="", "", IF(OR(N53="반탈피", ISNUMBER(SEARCH("JOINT", N53))), "반", "완"))</f>
        <v>완</v>
      </c>
      <c r="L53" s="60"/>
      <c r="M53" s="60" t="s">
        <v>54</v>
      </c>
      <c r="N53" s="60" t="s">
        <v>66</v>
      </c>
      <c r="O53" s="69"/>
      <c r="P53" s="65" t="s">
        <v>118</v>
      </c>
      <c r="Q53" s="69"/>
      <c r="R53" s="65" t="s">
        <v>119</v>
      </c>
      <c r="S53" s="6" t="str">
        <f ca="1">IFERROR(VLOOKUP(M53,'DATA(STRIP LENGTH)'!$A:$C,3,0),"")</f>
        <v/>
      </c>
      <c r="T53" s="6" t="str">
        <f ca="1">IFERROR(VLOOKUP(N53,'DATA(STRIP LENGTH)'!$A:$C,3,0),"")</f>
        <v/>
      </c>
      <c r="U53" s="1" t="str">
        <f ca="1">IFERROR(VLOOKUP(M53,이원화!$A:$B,2,0),"")</f>
        <v/>
      </c>
      <c r="V53" s="1" t="str">
        <f ca="1">IFERROR(VLOOKUP(N53,이원화!$A:$B,2,0),"")</f>
        <v/>
      </c>
      <c r="W53" s="66" t="str">
        <f ca="1">IF(C53&gt;0,IF(B53=0,W52,B53),"")</f>
        <v>1767C-2
</v>
      </c>
    </row>
    <row r="54" spans="1:23" ht="15">
      <c r="A54" s="1"/>
      <c r="B54" s="68"/>
      <c r="C54" s="60">
        <v>29</v>
      </c>
      <c r="D54" s="70"/>
      <c r="E54" s="61" t="s">
        <v>69</v>
      </c>
      <c r="F54" s="73"/>
      <c r="G54" s="60">
        <v>1</v>
      </c>
      <c r="H54" s="62" t="str">
        <f ca="1">IF(RIGHT(M54,5)="JOINT",IF(MID(D54,3,6)="1007#2","15","17"),IF(RIGHT(M54,6)="SPLICE",8,IF(AND(S54="",NOT(F54="")),#REF!,S54)))</f>
        <v/>
      </c>
      <c r="I54" s="60" t="str">
        <f ca="1">IF(M54="", "", IF(OR(M54="반탈피", ISNUMBER(SEARCH("JOINT", M54))), "반", "완"))</f>
        <v>완</v>
      </c>
      <c r="J54" s="62" t="str">
        <f ca="1">IF(RIGHT(N54,5)="JOINT",IF(MID(D54,3,6)="1007#2","15","17"),IF(RIGHT(N54,6)="SPLICE",8,IF(AND(T54="",NOT(F54="")),#REF!,T54)))</f>
        <v/>
      </c>
      <c r="K54" s="60" t="str">
        <f ca="1">IF(N54="", "", IF(OR(N54="반탈피", ISNUMBER(SEARCH("JOINT", N54))), "반", "완"))</f>
        <v>완</v>
      </c>
      <c r="L54" s="60"/>
      <c r="M54" s="60" t="s">
        <v>54</v>
      </c>
      <c r="N54" s="60" t="s">
        <v>66</v>
      </c>
      <c r="O54" s="69"/>
      <c r="P54" s="65" t="s">
        <v>120</v>
      </c>
      <c r="Q54" s="70"/>
      <c r="R54" s="65" t="s">
        <v>121</v>
      </c>
      <c r="S54" s="6" t="str">
        <f ca="1">IFERROR(VLOOKUP(M54,'DATA(STRIP LENGTH)'!$A:$C,3,0),"")</f>
        <v/>
      </c>
      <c r="T54" s="6" t="str">
        <f ca="1">IFERROR(VLOOKUP(N54,'DATA(STRIP LENGTH)'!$A:$C,3,0),"")</f>
        <v/>
      </c>
      <c r="U54" s="1" t="str">
        <f ca="1">IFERROR(VLOOKUP(M54,이원화!$A:$B,2,0),"")</f>
        <v/>
      </c>
      <c r="V54" s="1" t="str">
        <f ca="1">IFERROR(VLOOKUP(N54,이원화!$A:$B,2,0),"")</f>
        <v/>
      </c>
      <c r="W54" s="66" t="str">
        <f ca="1">IF(C54&gt;0,IF(B54=0,W53,B54),"")</f>
        <v>1767C-2
</v>
      </c>
    </row>
    <row r="55" spans="1:23" ht="15">
      <c r="A55" s="1"/>
      <c r="B55" s="68"/>
      <c r="C55" s="60">
        <v>30</v>
      </c>
      <c r="D55" s="60" t="s">
        <v>122</v>
      </c>
      <c r="E55" s="61" t="s">
        <v>123</v>
      </c>
      <c r="F55" s="78">
        <f ca="1"> 10 + (80+40+50+40+40+290+40)+10</f>
        <v>600</v>
      </c>
      <c r="G55" s="60">
        <v>1</v>
      </c>
      <c r="H55" s="62" t="e">
        <f ca="1">IF(RIGHT(M55,5)="JOINT",IF(MID(D55,3,6)="1007#2","15","17"),IF(RIGHT(M55,6)="SPLICE",8,IF(AND(S55="",NOT(F55="")),#REF!,S55)))</f>
        <v>#REF!</v>
      </c>
      <c r="I55" s="60" t="str">
        <f ca="1">IF(M55="", "", IF(OR(M55="반탈피", ISNUMBER(SEARCH("JOINT", M55))), "반", "완"))</f>
        <v>완</v>
      </c>
      <c r="J55" s="62" t="e">
        <f ca="1">IF(RIGHT(N55,5)="JOINT",IF(MID(D55,3,6)="1007#2","15","17"),IF(RIGHT(N55,6)="SPLICE",8,IF(AND(T55="",NOT(F55="")),#REF!,T55)))</f>
        <v>#REF!</v>
      </c>
      <c r="K55" s="60" t="str">
        <f ca="1">IF(N55="", "", IF(OR(N55="반탈피", ISNUMBER(SEARCH("JOINT", N55))), "반", "완"))</f>
        <v>완</v>
      </c>
      <c r="L55" s="60"/>
      <c r="M55" s="60" t="s">
        <v>124</v>
      </c>
      <c r="N55" s="60" t="s">
        <v>66</v>
      </c>
      <c r="O55" s="69"/>
      <c r="P55" s="65" t="s">
        <v>125</v>
      </c>
      <c r="Q55" s="64">
        <v>6</v>
      </c>
      <c r="R55" s="65" t="s">
        <v>126</v>
      </c>
      <c r="S55" s="6" t="str">
        <f ca="1">IFERROR(VLOOKUP(M55,'DATA(STRIP LENGTH)'!$A:$C,3,0),"")</f>
        <v/>
      </c>
      <c r="T55" s="6" t="str">
        <f ca="1">IFERROR(VLOOKUP(N55,'DATA(STRIP LENGTH)'!$A:$C,3,0),"")</f>
        <v/>
      </c>
      <c r="U55" s="1" t="str">
        <f ca="1">IFERROR(VLOOKUP(M55,이원화!$A:$B,2,0),"")</f>
        <v/>
      </c>
      <c r="V55" s="1" t="str">
        <f ca="1">IFERROR(VLOOKUP(N55,이원화!$A:$B,2,0),"")</f>
        <v/>
      </c>
      <c r="W55" s="66" t="str">
        <f ca="1">IF(C55&gt;0,IF(B55=0,W54,B55),"")</f>
        <v>1767C-2
</v>
      </c>
    </row>
    <row r="56" spans="1:23" ht="15">
      <c r="A56" s="1"/>
      <c r="B56" s="68"/>
      <c r="C56" s="60">
        <v>31</v>
      </c>
      <c r="D56" s="60" t="s">
        <v>122</v>
      </c>
      <c r="E56" s="61" t="s">
        <v>60</v>
      </c>
      <c r="F56" s="78">
        <f ca="1"> 10 + (80+40+50+40+40+290+40)+10</f>
        <v>600</v>
      </c>
      <c r="G56" s="60">
        <v>1</v>
      </c>
      <c r="H56" s="62" t="e">
        <f ca="1">IF(RIGHT(M56,5)="JOINT",IF(MID(D56,3,6)="1007#2","15","17"),IF(RIGHT(M56,6)="SPLICE",8,IF(AND(S56="",NOT(F56="")),#REF!,S56)))</f>
        <v>#REF!</v>
      </c>
      <c r="I56" s="60" t="str">
        <f ca="1">IF(M56="", "", IF(OR(M56="반탈피", ISNUMBER(SEARCH("JOINT", M56))), "반", "완"))</f>
        <v>완</v>
      </c>
      <c r="J56" s="62" t="e">
        <f ca="1">IF(RIGHT(N56,5)="JOINT",IF(MID(D56,3,6)="1007#2","15","17"),IF(RIGHT(N56,6)="SPLICE",8,IF(AND(T56="",NOT(F56="")),#REF!,T56)))</f>
        <v>#REF!</v>
      </c>
      <c r="K56" s="60" t="str">
        <f ca="1">IF(N56="", "", IF(OR(N56="반탈피", ISNUMBER(SEARCH("JOINT", N56))), "반", "완"))</f>
        <v>완</v>
      </c>
      <c r="L56" s="60"/>
      <c r="M56" s="60" t="s">
        <v>124</v>
      </c>
      <c r="N56" s="60" t="s">
        <v>66</v>
      </c>
      <c r="O56" s="69"/>
      <c r="P56" s="65" t="s">
        <v>127</v>
      </c>
      <c r="Q56" s="70"/>
      <c r="R56" s="65" t="s">
        <v>128</v>
      </c>
      <c r="S56" s="6" t="str">
        <f ca="1">IFERROR(VLOOKUP(M56,'DATA(STRIP LENGTH)'!$A:$C,3,0),"")</f>
        <v/>
      </c>
      <c r="T56" s="6" t="str">
        <f ca="1">IFERROR(VLOOKUP(N56,'DATA(STRIP LENGTH)'!$A:$C,3,0),"")</f>
        <v/>
      </c>
      <c r="U56" s="1" t="str">
        <f ca="1">IFERROR(VLOOKUP(M56,이원화!$A:$B,2,0),"")</f>
        <v/>
      </c>
      <c r="V56" s="1" t="str">
        <f ca="1">IFERROR(VLOOKUP(N56,이원화!$A:$B,2,0),"")</f>
        <v/>
      </c>
      <c r="W56" s="66" t="str">
        <f ca="1">IF(C56&gt;0,IF(B56=0,W55,B56),"")</f>
        <v>1767C-2
</v>
      </c>
    </row>
    <row r="57" spans="1:23" ht="15">
      <c r="A57" s="1"/>
      <c r="B57" s="68"/>
      <c r="C57" s="60">
        <v>32</v>
      </c>
      <c r="D57" s="64" t="s">
        <v>111</v>
      </c>
      <c r="E57" s="61" t="s">
        <v>60</v>
      </c>
      <c r="F57" s="75">
        <f ca="1"> 10 + (80+40+50+40+40+290+60)+10</f>
        <v>620</v>
      </c>
      <c r="G57" s="60">
        <v>1</v>
      </c>
      <c r="H57" s="62" t="e">
        <f ca="1">IF(RIGHT(M57,5)="JOINT",IF(MID(D57,3,6)="1007#2","15","17"),IF(RIGHT(M57,6)="SPLICE",8,IF(AND(S57="",NOT(F57="")),#REF!,S57)))</f>
        <v>#REF!</v>
      </c>
      <c r="I57" s="60" t="str">
        <f ca="1">IF(M57="", "", IF(OR(M57="반탈피", ISNUMBER(SEARCH("JOINT", M57))), "반", "완"))</f>
        <v>완</v>
      </c>
      <c r="J57" s="62" t="e">
        <f ca="1">IF(RIGHT(N57,5)="JOINT",IF(MID(D57,3,6)="1007#2","15","17"),IF(RIGHT(N57,6)="SPLICE",8,IF(AND(T57="",NOT(F57="")),#REF!,T57)))</f>
        <v>#REF!</v>
      </c>
      <c r="K57" s="60" t="str">
        <f ca="1">IF(N57="", "", IF(OR(N57="반탈피", ISNUMBER(SEARCH("JOINT", N57))), "반", "완"))</f>
        <v>완</v>
      </c>
      <c r="L57" s="60"/>
      <c r="M57" s="60" t="s">
        <v>54</v>
      </c>
      <c r="N57" s="60" t="s">
        <v>84</v>
      </c>
      <c r="O57" s="69"/>
      <c r="P57" s="65" t="s">
        <v>129</v>
      </c>
      <c r="Q57" s="64">
        <v>4</v>
      </c>
      <c r="R57" s="65" t="s">
        <v>130</v>
      </c>
      <c r="S57" s="6" t="str">
        <f ca="1">IFERROR(VLOOKUP(M57,'DATA(STRIP LENGTH)'!$A:$C,3,0),"")</f>
        <v/>
      </c>
      <c r="T57" s="6" t="str">
        <f ca="1">IFERROR(VLOOKUP(N57,'DATA(STRIP LENGTH)'!$A:$C,3,0),"")</f>
        <v/>
      </c>
      <c r="U57" s="1" t="str">
        <f ca="1">IFERROR(VLOOKUP(M57,이원화!$A:$B,2,0),"")</f>
        <v/>
      </c>
      <c r="V57" s="1" t="str">
        <f ca="1">IFERROR(VLOOKUP(N57,이원화!$A:$B,2,0),"")</f>
        <v/>
      </c>
      <c r="W57" s="66" t="str">
        <f ca="1">IF(C57&gt;0,IF(B57=0,W56,B57),"")</f>
        <v>1767C-2
</v>
      </c>
    </row>
    <row r="58" spans="1:23" ht="15">
      <c r="A58" s="1"/>
      <c r="B58" s="68"/>
      <c r="C58" s="60">
        <v>33</v>
      </c>
      <c r="D58" s="69"/>
      <c r="E58" s="61" t="s">
        <v>69</v>
      </c>
      <c r="F58" s="81"/>
      <c r="G58" s="60">
        <v>1</v>
      </c>
      <c r="H58" s="62" t="str">
        <f ca="1">IF(RIGHT(M58,5)="JOINT",IF(MID(D58,3,6)="1007#2","15","17"),IF(RIGHT(M58,6)="SPLICE",8,IF(AND(S58="",NOT(F58="")),#REF!,S58)))</f>
        <v/>
      </c>
      <c r="I58" s="60" t="str">
        <f ca="1">IF(M58="", "", IF(OR(M58="반탈피", ISNUMBER(SEARCH("JOINT", M58))), "반", "완"))</f>
        <v>완</v>
      </c>
      <c r="J58" s="62" t="str">
        <f ca="1">IF(RIGHT(N58,5)="JOINT",IF(MID(D58,3,6)="1007#2","15","17"),IF(RIGHT(N58,6)="SPLICE",8,IF(AND(T58="",NOT(F58="")),#REF!,T58)))</f>
        <v/>
      </c>
      <c r="K58" s="60" t="str">
        <f ca="1">IF(N58="", "", IF(OR(N58="반탈피", ISNUMBER(SEARCH("JOINT", N58))), "반", "완"))</f>
        <v>완</v>
      </c>
      <c r="L58" s="60"/>
      <c r="M58" s="60" t="s">
        <v>54</v>
      </c>
      <c r="N58" s="60" t="s">
        <v>84</v>
      </c>
      <c r="O58" s="69"/>
      <c r="P58" s="65" t="s">
        <v>131</v>
      </c>
      <c r="Q58" s="69"/>
      <c r="R58" s="65" t="s">
        <v>132</v>
      </c>
      <c r="S58" s="6" t="str">
        <f ca="1">IFERROR(VLOOKUP(M58,'DATA(STRIP LENGTH)'!$A:$C,3,0),"")</f>
        <v/>
      </c>
      <c r="T58" s="6" t="str">
        <f ca="1">IFERROR(VLOOKUP(N58,'DATA(STRIP LENGTH)'!$A:$C,3,0),"")</f>
        <v/>
      </c>
      <c r="U58" s="1" t="str">
        <f ca="1">IFERROR(VLOOKUP(M58,이원화!$A:$B,2,0),"")</f>
        <v/>
      </c>
      <c r="V58" s="1" t="str">
        <f ca="1">IFERROR(VLOOKUP(N58,이원화!$A:$B,2,0),"")</f>
        <v/>
      </c>
      <c r="W58" s="66" t="str">
        <f ca="1">IF(C58&gt;0,IF(B58=0,W57,B58),"")</f>
        <v>1767C-2
</v>
      </c>
    </row>
    <row r="59" spans="1:23" ht="15">
      <c r="A59" s="1"/>
      <c r="B59" s="68"/>
      <c r="C59" s="60">
        <v>34</v>
      </c>
      <c r="D59" s="69"/>
      <c r="E59" s="61" t="s">
        <v>69</v>
      </c>
      <c r="F59" s="81"/>
      <c r="G59" s="60">
        <v>1</v>
      </c>
      <c r="H59" s="62" t="str">
        <f ca="1">IF(RIGHT(M59,5)="JOINT",IF(MID(D59,3,6)="1007#2","15","17"),IF(RIGHT(M59,6)="SPLICE",8,IF(AND(S59="",NOT(F59="")),#REF!,S59)))</f>
        <v/>
      </c>
      <c r="I59" s="60" t="str">
        <f ca="1">IF(M59="", "", IF(OR(M59="반탈피", ISNUMBER(SEARCH("JOINT", M59))), "반", "완"))</f>
        <v>완</v>
      </c>
      <c r="J59" s="62" t="str">
        <f ca="1">IF(RIGHT(N59,5)="JOINT",IF(MID(D59,3,6)="1007#2","15","17"),IF(RIGHT(N59,6)="SPLICE",8,IF(AND(T59="",NOT(F59="")),#REF!,T59)))</f>
        <v/>
      </c>
      <c r="K59" s="60" t="str">
        <f ca="1">IF(N59="", "", IF(OR(N59="반탈피", ISNUMBER(SEARCH("JOINT", N59))), "반", "완"))</f>
        <v>완</v>
      </c>
      <c r="L59" s="60"/>
      <c r="M59" s="60" t="s">
        <v>54</v>
      </c>
      <c r="N59" s="60" t="s">
        <v>84</v>
      </c>
      <c r="O59" s="69"/>
      <c r="P59" s="65" t="s">
        <v>133</v>
      </c>
      <c r="Q59" s="69"/>
      <c r="R59" s="65" t="s">
        <v>134</v>
      </c>
      <c r="S59" s="6" t="str">
        <f ca="1">IFERROR(VLOOKUP(M59,'DATA(STRIP LENGTH)'!$A:$C,3,0),"")</f>
        <v/>
      </c>
      <c r="T59" s="6" t="str">
        <f ca="1">IFERROR(VLOOKUP(N59,'DATA(STRIP LENGTH)'!$A:$C,3,0),"")</f>
        <v/>
      </c>
      <c r="U59" s="1" t="str">
        <f ca="1">IFERROR(VLOOKUP(M59,이원화!$A:$B,2,0),"")</f>
        <v/>
      </c>
      <c r="V59" s="1" t="str">
        <f ca="1">IFERROR(VLOOKUP(N59,이원화!$A:$B,2,0),"")</f>
        <v/>
      </c>
      <c r="W59" s="66" t="str">
        <f ca="1">IF(C59&gt;0,IF(B59=0,W58,B59),"")</f>
        <v>1767C-2
</v>
      </c>
    </row>
    <row r="60" spans="1:23" ht="15">
      <c r="A60" s="1"/>
      <c r="B60" s="68"/>
      <c r="C60" s="60">
        <v>35</v>
      </c>
      <c r="D60" s="69"/>
      <c r="E60" s="61" t="s">
        <v>69</v>
      </c>
      <c r="F60" s="81"/>
      <c r="G60" s="60">
        <v>1</v>
      </c>
      <c r="H60" s="62" t="str">
        <f ca="1">IF(RIGHT(M60,5)="JOINT",IF(MID(D60,3,6)="1007#2","15","17"),IF(RIGHT(M60,6)="SPLICE",8,IF(AND(S60="",NOT(F60="")),#REF!,S60)))</f>
        <v/>
      </c>
      <c r="I60" s="60" t="str">
        <f ca="1">IF(M60="", "", IF(OR(M60="반탈피", ISNUMBER(SEARCH("JOINT", M60))), "반", "완"))</f>
        <v>완</v>
      </c>
      <c r="J60" s="62" t="str">
        <f ca="1">IF(RIGHT(N60,5)="JOINT",IF(MID(D60,3,6)="1007#2","15","17"),IF(RIGHT(N60,6)="SPLICE",8,IF(AND(T60="",NOT(F60="")),#REF!,T60)))</f>
        <v/>
      </c>
      <c r="K60" s="60" t="str">
        <f ca="1">IF(N60="", "", IF(OR(N60="반탈피", ISNUMBER(SEARCH("JOINT", N60))), "반", "완"))</f>
        <v>완</v>
      </c>
      <c r="L60" s="60"/>
      <c r="M60" s="60" t="s">
        <v>54</v>
      </c>
      <c r="N60" s="60" t="s">
        <v>84</v>
      </c>
      <c r="O60" s="69"/>
      <c r="P60" s="65" t="s">
        <v>135</v>
      </c>
      <c r="Q60" s="69"/>
      <c r="R60" s="65" t="s">
        <v>136</v>
      </c>
      <c r="S60" s="6" t="str">
        <f ca="1">IFERROR(VLOOKUP(M60,'DATA(STRIP LENGTH)'!$A:$C,3,0),"")</f>
        <v/>
      </c>
      <c r="T60" s="6" t="str">
        <f ca="1">IFERROR(VLOOKUP(N60,'DATA(STRIP LENGTH)'!$A:$C,3,0),"")</f>
        <v/>
      </c>
      <c r="U60" s="1" t="str">
        <f ca="1">IFERROR(VLOOKUP(M60,이원화!$A:$B,2,0),"")</f>
        <v/>
      </c>
      <c r="V60" s="1" t="str">
        <f ca="1">IFERROR(VLOOKUP(N60,이원화!$A:$B,2,0),"")</f>
        <v/>
      </c>
      <c r="W60" s="66" t="str">
        <f ca="1">IF(C60&gt;0,IF(B60=0,W59,B60),"")</f>
        <v>1767C-2
</v>
      </c>
    </row>
    <row r="61" spans="1:23" ht="15">
      <c r="A61" s="1"/>
      <c r="B61" s="68"/>
      <c r="C61" s="60">
        <v>36</v>
      </c>
      <c r="D61" s="70"/>
      <c r="E61" s="61" t="s">
        <v>69</v>
      </c>
      <c r="F61" s="76"/>
      <c r="G61" s="60">
        <v>1</v>
      </c>
      <c r="H61" s="62" t="str">
        <f ca="1">IF(RIGHT(M61,5)="JOINT",IF(MID(D61,3,6)="1007#2","15","17"),IF(RIGHT(M61,6)="SPLICE",8,IF(AND(S61="",NOT(F61="")),#REF!,S61)))</f>
        <v/>
      </c>
      <c r="I61" s="60" t="str">
        <f ca="1">IF(M61="", "", IF(OR(M61="반탈피", ISNUMBER(SEARCH("JOINT", M61))), "반", "완"))</f>
        <v>완</v>
      </c>
      <c r="J61" s="62" t="str">
        <f ca="1">IF(RIGHT(N61,5)="JOINT",IF(MID(D61,3,6)="1007#2","15","17"),IF(RIGHT(N61,6)="SPLICE",8,IF(AND(T61="",NOT(F61="")),#REF!,T61)))</f>
        <v/>
      </c>
      <c r="K61" s="60" t="str">
        <f ca="1">IF(N61="", "", IF(OR(N61="반탈피", ISNUMBER(SEARCH("JOINT", N61))), "반", "완"))</f>
        <v>완</v>
      </c>
      <c r="L61" s="60"/>
      <c r="M61" s="60" t="s">
        <v>54</v>
      </c>
      <c r="N61" s="60" t="s">
        <v>84</v>
      </c>
      <c r="O61" s="69"/>
      <c r="P61" s="65" t="s">
        <v>137</v>
      </c>
      <c r="Q61" s="69"/>
      <c r="R61" s="65" t="s">
        <v>138</v>
      </c>
      <c r="S61" s="6" t="str">
        <f ca="1">IFERROR(VLOOKUP(M61,'DATA(STRIP LENGTH)'!$A:$C,3,0),"")</f>
        <v/>
      </c>
      <c r="T61" s="6" t="str">
        <f ca="1">IFERROR(VLOOKUP(N61,'DATA(STRIP LENGTH)'!$A:$C,3,0),"")</f>
        <v/>
      </c>
      <c r="U61" s="1" t="str">
        <f ca="1">IFERROR(VLOOKUP(M61,이원화!$A:$B,2,0),"")</f>
        <v/>
      </c>
      <c r="V61" s="1" t="str">
        <f ca="1">IFERROR(VLOOKUP(N61,이원화!$A:$B,2,0),"")</f>
        <v/>
      </c>
      <c r="W61" s="66" t="str">
        <f ca="1">IF(C61&gt;0,IF(B61=0,W60,B61),"")</f>
        <v>1767C-2
</v>
      </c>
    </row>
    <row r="62" spans="1:23" ht="15">
      <c r="A62" s="1"/>
      <c r="B62" s="68"/>
      <c r="C62" s="60">
        <v>37</v>
      </c>
      <c r="D62" s="64" t="s">
        <v>139</v>
      </c>
      <c r="E62" s="61" t="s">
        <v>83</v>
      </c>
      <c r="F62" s="75">
        <f ca="1"> 10 + (80+40+50+40+40+290+60)+10</f>
        <v>620</v>
      </c>
      <c r="G62" s="60">
        <v>1</v>
      </c>
      <c r="H62" s="62" t="e">
        <f ca="1">IF(RIGHT(M62,5)="JOINT",IF(MID(D62,3,6)="1007#2","15","17"),IF(RIGHT(M62,6)="SPLICE",8,IF(AND(S62="",NOT(F62="")),#REF!,S62)))</f>
        <v>#REF!</v>
      </c>
      <c r="I62" s="60" t="str">
        <f ca="1">IF(M62="", "", IF(OR(M62="반탈피", ISNUMBER(SEARCH("JOINT", M62))), "반", "완"))</f>
        <v>완</v>
      </c>
      <c r="J62" s="62" t="e">
        <f ca="1">IF(RIGHT(N62,5)="JOINT",IF(MID(D62,3,6)="1007#2","15","17"),IF(RIGHT(N62,6)="SPLICE",8,IF(AND(T62="",NOT(F62="")),#REF!,T62)))</f>
        <v>#REF!</v>
      </c>
      <c r="K62" s="60" t="str">
        <f ca="1">IF(N62="", "", IF(OR(N62="반탈피", ISNUMBER(SEARCH("JOINT", N62))), "반", "완"))</f>
        <v>완</v>
      </c>
      <c r="L62" s="60"/>
      <c r="M62" s="60" t="s">
        <v>54</v>
      </c>
      <c r="N62" s="60" t="s">
        <v>84</v>
      </c>
      <c r="O62" s="69"/>
      <c r="P62" s="65" t="s">
        <v>140</v>
      </c>
      <c r="Q62" s="69"/>
      <c r="R62" s="65" t="s">
        <v>141</v>
      </c>
      <c r="S62" s="6" t="str">
        <f ca="1">IFERROR(VLOOKUP(M62,'DATA(STRIP LENGTH)'!$A:$C,3,0),"")</f>
        <v/>
      </c>
      <c r="T62" s="6" t="str">
        <f ca="1">IFERROR(VLOOKUP(N62,'DATA(STRIP LENGTH)'!$A:$C,3,0),"")</f>
        <v/>
      </c>
      <c r="U62" s="1" t="str">
        <f ca="1">IFERROR(VLOOKUP(M62,이원화!$A:$B,2,0),"")</f>
        <v/>
      </c>
      <c r="V62" s="1" t="str">
        <f ca="1">IFERROR(VLOOKUP(N62,이원화!$A:$B,2,0),"")</f>
        <v/>
      </c>
      <c r="W62" s="66" t="str">
        <f ca="1">IF(C62&gt;0,IF(B62=0,W61,B62),"")</f>
        <v>1767C-2
</v>
      </c>
    </row>
    <row r="63" spans="1:23" ht="15">
      <c r="A63" s="1"/>
      <c r="B63" s="68"/>
      <c r="C63" s="60">
        <v>38</v>
      </c>
      <c r="D63" s="69"/>
      <c r="E63" s="61" t="s">
        <v>69</v>
      </c>
      <c r="F63" s="81"/>
      <c r="G63" s="60">
        <v>1</v>
      </c>
      <c r="H63" s="62" t="str">
        <f ca="1">IF(RIGHT(M63,5)="JOINT",IF(MID(D63,3,6)="1007#2","15","17"),IF(RIGHT(M63,6)="SPLICE",8,IF(AND(S63="",NOT(F63="")),#REF!,S63)))</f>
        <v/>
      </c>
      <c r="I63" s="60" t="str">
        <f ca="1">IF(M63="", "", IF(OR(M63="반탈피", ISNUMBER(SEARCH("JOINT", M63))), "반", "완"))</f>
        <v>완</v>
      </c>
      <c r="J63" s="62" t="str">
        <f ca="1">IF(RIGHT(N63,5)="JOINT",IF(MID(D63,3,6)="1007#2","15","17"),IF(RIGHT(N63,6)="SPLICE",8,IF(AND(T63="",NOT(F63="")),#REF!,T63)))</f>
        <v/>
      </c>
      <c r="K63" s="60" t="str">
        <f ca="1">IF(N63="", "", IF(OR(N63="반탈피", ISNUMBER(SEARCH("JOINT", N63))), "반", "완"))</f>
        <v>완</v>
      </c>
      <c r="L63" s="60"/>
      <c r="M63" s="60" t="s">
        <v>54</v>
      </c>
      <c r="N63" s="60" t="s">
        <v>84</v>
      </c>
      <c r="O63" s="69"/>
      <c r="P63" s="65" t="s">
        <v>142</v>
      </c>
      <c r="Q63" s="69"/>
      <c r="R63" s="65" t="s">
        <v>143</v>
      </c>
      <c r="S63" s="6" t="str">
        <f ca="1">IFERROR(VLOOKUP(M63,'DATA(STRIP LENGTH)'!$A:$C,3,0),"")</f>
        <v/>
      </c>
      <c r="T63" s="6" t="str">
        <f ca="1">IFERROR(VLOOKUP(N63,'DATA(STRIP LENGTH)'!$A:$C,3,0),"")</f>
        <v/>
      </c>
      <c r="U63" s="1" t="str">
        <f ca="1">IFERROR(VLOOKUP(M63,이원화!$A:$B,2,0),"")</f>
        <v/>
      </c>
      <c r="V63" s="1" t="str">
        <f ca="1">IFERROR(VLOOKUP(N63,이원화!$A:$B,2,0),"")</f>
        <v/>
      </c>
      <c r="W63" s="66" t="str">
        <f ca="1">IF(C63&gt;0,IF(B63=0,W62,B63),"")</f>
        <v>1767C-2
</v>
      </c>
    </row>
    <row r="64" spans="1:23" ht="15">
      <c r="A64" s="1"/>
      <c r="B64" s="68"/>
      <c r="C64" s="60">
        <v>39</v>
      </c>
      <c r="D64" s="69"/>
      <c r="E64" s="61" t="s">
        <v>69</v>
      </c>
      <c r="F64" s="81"/>
      <c r="G64" s="60">
        <v>1</v>
      </c>
      <c r="H64" s="62" t="str">
        <f ca="1">IF(RIGHT(M64,5)="JOINT",IF(MID(D64,3,6)="1007#2","15","17"),IF(RIGHT(M64,6)="SPLICE",8,IF(AND(S64="",NOT(F64="")),#REF!,S64)))</f>
        <v/>
      </c>
      <c r="I64" s="60" t="str">
        <f ca="1">IF(M64="", "", IF(OR(M64="반탈피", ISNUMBER(SEARCH("JOINT", M64))), "반", "완"))</f>
        <v>완</v>
      </c>
      <c r="J64" s="62" t="str">
        <f ca="1">IF(RIGHT(N64,5)="JOINT",IF(MID(D64,3,6)="1007#2","15","17"),IF(RIGHT(N64,6)="SPLICE",8,IF(AND(T64="",NOT(F64="")),#REF!,T64)))</f>
        <v/>
      </c>
      <c r="K64" s="60" t="str">
        <f ca="1">IF(N64="", "", IF(OR(N64="반탈피", ISNUMBER(SEARCH("JOINT", N64))), "반", "완"))</f>
        <v>완</v>
      </c>
      <c r="L64" s="60"/>
      <c r="M64" s="60" t="s">
        <v>54</v>
      </c>
      <c r="N64" s="60" t="s">
        <v>84</v>
      </c>
      <c r="O64" s="69"/>
      <c r="P64" s="65" t="s">
        <v>144</v>
      </c>
      <c r="Q64" s="69"/>
      <c r="R64" s="65" t="s">
        <v>145</v>
      </c>
      <c r="S64" s="6" t="str">
        <f ca="1">IFERROR(VLOOKUP(M64,'DATA(STRIP LENGTH)'!$A:$C,3,0),"")</f>
        <v/>
      </c>
      <c r="T64" s="6" t="str">
        <f ca="1">IFERROR(VLOOKUP(N64,'DATA(STRIP LENGTH)'!$A:$C,3,0),"")</f>
        <v/>
      </c>
      <c r="U64" s="1" t="str">
        <f ca="1">IFERROR(VLOOKUP(M64,이원화!$A:$B,2,0),"")</f>
        <v/>
      </c>
      <c r="V64" s="1" t="str">
        <f ca="1">IFERROR(VLOOKUP(N64,이원화!$A:$B,2,0),"")</f>
        <v/>
      </c>
      <c r="W64" s="66" t="str">
        <f ca="1">IF(C64&gt;0,IF(B64=0,W63,B64),"")</f>
        <v>1767C-2
</v>
      </c>
    </row>
    <row r="65" spans="1:23" ht="15">
      <c r="A65" s="1"/>
      <c r="B65" s="68"/>
      <c r="C65" s="60">
        <v>40</v>
      </c>
      <c r="D65" s="69"/>
      <c r="E65" s="61" t="s">
        <v>69</v>
      </c>
      <c r="F65" s="81"/>
      <c r="G65" s="60">
        <v>1</v>
      </c>
      <c r="H65" s="62" t="str">
        <f ca="1">IF(RIGHT(M65,5)="JOINT",IF(MID(D65,3,6)="1007#2","15","17"),IF(RIGHT(M65,6)="SPLICE",8,IF(AND(S65="",NOT(F65="")),#REF!,S65)))</f>
        <v/>
      </c>
      <c r="I65" s="60" t="str">
        <f ca="1">IF(M65="", "", IF(OR(M65="반탈피", ISNUMBER(SEARCH("JOINT", M65))), "반", "완"))</f>
        <v>완</v>
      </c>
      <c r="J65" s="62" t="str">
        <f ca="1">IF(RIGHT(N65,5)="JOINT",IF(MID(D65,3,6)="1007#2","15","17"),IF(RIGHT(N65,6)="SPLICE",8,IF(AND(T65="",NOT(F65="")),#REF!,T65)))</f>
        <v/>
      </c>
      <c r="K65" s="60" t="str">
        <f ca="1">IF(N65="", "", IF(OR(N65="반탈피", ISNUMBER(SEARCH("JOINT", N65))), "반", "완"))</f>
        <v>완</v>
      </c>
      <c r="L65" s="60"/>
      <c r="M65" s="60" t="s">
        <v>54</v>
      </c>
      <c r="N65" s="60" t="s">
        <v>84</v>
      </c>
      <c r="O65" s="69"/>
      <c r="P65" s="65" t="s">
        <v>146</v>
      </c>
      <c r="Q65" s="69"/>
      <c r="R65" s="65" t="s">
        <v>147</v>
      </c>
      <c r="S65" s="6" t="str">
        <f ca="1">IFERROR(VLOOKUP(M65,'DATA(STRIP LENGTH)'!$A:$C,3,0),"")</f>
        <v/>
      </c>
      <c r="T65" s="6" t="str">
        <f ca="1">IFERROR(VLOOKUP(N65,'DATA(STRIP LENGTH)'!$A:$C,3,0),"")</f>
        <v/>
      </c>
      <c r="U65" s="1" t="str">
        <f ca="1">IFERROR(VLOOKUP(M65,이원화!$A:$B,2,0),"")</f>
        <v/>
      </c>
      <c r="V65" s="1" t="str">
        <f ca="1">IFERROR(VLOOKUP(N65,이원화!$A:$B,2,0),"")</f>
        <v/>
      </c>
      <c r="W65" s="66" t="str">
        <f ca="1">IF(C65&gt;0,IF(B65=0,W64,B65),"")</f>
        <v>1767C-2
</v>
      </c>
    </row>
    <row r="66" spans="1:23" ht="15">
      <c r="A66" s="1"/>
      <c r="B66" s="68"/>
      <c r="C66" s="60">
        <v>41</v>
      </c>
      <c r="D66" s="69"/>
      <c r="E66" s="61" t="s">
        <v>69</v>
      </c>
      <c r="F66" s="81"/>
      <c r="G66" s="60">
        <v>1</v>
      </c>
      <c r="H66" s="62" t="str">
        <f ca="1">IF(RIGHT(M66,5)="JOINT",IF(MID(D66,3,6)="1007#2","15","17"),IF(RIGHT(M66,6)="SPLICE",8,IF(AND(S66="",NOT(F66="")),#REF!,S66)))</f>
        <v/>
      </c>
      <c r="I66" s="60" t="str">
        <f ca="1">IF(M66="", "", IF(OR(M66="반탈피", ISNUMBER(SEARCH("JOINT", M66))), "반", "완"))</f>
        <v>완</v>
      </c>
      <c r="J66" s="62" t="str">
        <f ca="1">IF(RIGHT(N66,5)="JOINT",IF(MID(D66,3,6)="1007#2","15","17"),IF(RIGHT(N66,6)="SPLICE",8,IF(AND(T66="",NOT(F66="")),#REF!,T66)))</f>
        <v/>
      </c>
      <c r="K66" s="60" t="str">
        <f ca="1">IF(N66="", "", IF(OR(N66="반탈피", ISNUMBER(SEARCH("JOINT", N66))), "반", "완"))</f>
        <v>완</v>
      </c>
      <c r="L66" s="60"/>
      <c r="M66" s="60" t="s">
        <v>54</v>
      </c>
      <c r="N66" s="60" t="s">
        <v>84</v>
      </c>
      <c r="O66" s="69"/>
      <c r="P66" s="65" t="s">
        <v>148</v>
      </c>
      <c r="Q66" s="69"/>
      <c r="R66" s="65" t="s">
        <v>149</v>
      </c>
      <c r="S66" s="6" t="str">
        <f ca="1">IFERROR(VLOOKUP(M66,'DATA(STRIP LENGTH)'!$A:$C,3,0),"")</f>
        <v/>
      </c>
      <c r="T66" s="6" t="str">
        <f ca="1">IFERROR(VLOOKUP(N66,'DATA(STRIP LENGTH)'!$A:$C,3,0),"")</f>
        <v/>
      </c>
      <c r="U66" s="1" t="str">
        <f ca="1">IFERROR(VLOOKUP(M66,이원화!$A:$B,2,0),"")</f>
        <v/>
      </c>
      <c r="V66" s="1" t="str">
        <f ca="1">IFERROR(VLOOKUP(N66,이원화!$A:$B,2,0),"")</f>
        <v/>
      </c>
      <c r="W66" s="66" t="str">
        <f ca="1">IF(C66&gt;0,IF(B66=0,W65,B66),"")</f>
        <v>1767C-2
</v>
      </c>
    </row>
    <row r="67" spans="1:23" ht="15">
      <c r="A67" s="1"/>
      <c r="B67" s="68"/>
      <c r="C67" s="60">
        <v>42</v>
      </c>
      <c r="D67" s="70"/>
      <c r="E67" s="61" t="s">
        <v>69</v>
      </c>
      <c r="F67" s="76"/>
      <c r="G67" s="60">
        <v>1</v>
      </c>
      <c r="H67" s="62" t="str">
        <f ca="1">IF(RIGHT(M67,5)="JOINT",IF(MID(D67,3,6)="1007#2","15","17"),IF(RIGHT(M67,6)="SPLICE",8,IF(AND(S67="",NOT(F67="")),#REF!,S67)))</f>
        <v/>
      </c>
      <c r="I67" s="60" t="str">
        <f ca="1">IF(M67="", "", IF(OR(M67="반탈피", ISNUMBER(SEARCH("JOINT", M67))), "반", "완"))</f>
        <v>완</v>
      </c>
      <c r="J67" s="62" t="str">
        <f ca="1">IF(RIGHT(N67,5)="JOINT",IF(MID(D67,3,6)="1007#2","15","17"),IF(RIGHT(N67,6)="SPLICE",8,IF(AND(T67="",NOT(F67="")),#REF!,T67)))</f>
        <v/>
      </c>
      <c r="K67" s="60" t="str">
        <f ca="1">IF(N67="", "", IF(OR(N67="반탈피", ISNUMBER(SEARCH("JOINT", N67))), "반", "완"))</f>
        <v>완</v>
      </c>
      <c r="L67" s="60"/>
      <c r="M67" s="60" t="s">
        <v>54</v>
      </c>
      <c r="N67" s="60" t="s">
        <v>84</v>
      </c>
      <c r="O67" s="69"/>
      <c r="P67" s="65" t="s">
        <v>150</v>
      </c>
      <c r="Q67" s="69"/>
      <c r="R67" s="65" t="s">
        <v>151</v>
      </c>
      <c r="S67" s="6" t="str">
        <f ca="1">IFERROR(VLOOKUP(M67,'DATA(STRIP LENGTH)'!$A:$C,3,0),"")</f>
        <v/>
      </c>
      <c r="T67" s="6" t="str">
        <f ca="1">IFERROR(VLOOKUP(N67,'DATA(STRIP LENGTH)'!$A:$C,3,0),"")</f>
        <v/>
      </c>
      <c r="U67" s="1" t="str">
        <f ca="1">IFERROR(VLOOKUP(M67,이원화!$A:$B,2,0),"")</f>
        <v/>
      </c>
      <c r="V67" s="1" t="str">
        <f ca="1">IFERROR(VLOOKUP(N67,이원화!$A:$B,2,0),"")</f>
        <v/>
      </c>
      <c r="W67" s="66" t="str">
        <f ca="1">IF(C67&gt;0,IF(B67=0,W66,B67),"")</f>
        <v>1767C-2
</v>
      </c>
    </row>
    <row r="68" spans="1:23" ht="15">
      <c r="A68" s="1"/>
      <c r="B68" s="82"/>
      <c r="C68" s="60">
        <v>43</v>
      </c>
      <c r="D68" s="60" t="s">
        <v>72</v>
      </c>
      <c r="E68" s="61" t="s">
        <v>53</v>
      </c>
      <c r="F68" s="78">
        <f ca="1"> 10 + (80+40+50+40+40+290+60)+10</f>
        <v>620</v>
      </c>
      <c r="G68" s="60">
        <v>1</v>
      </c>
      <c r="H68" s="62" t="e">
        <f ca="1">IF(RIGHT(M68,5)="JOINT",IF(MID(D68,3,6)="1007#2","15","17"),IF(RIGHT(M68,6)="SPLICE",8,IF(AND(S68="",NOT(F68="")),#REF!,S68)))</f>
        <v>#REF!</v>
      </c>
      <c r="I68" s="60" t="str">
        <f ca="1">IF(M68="", "", IF(OR(M68="반탈피", ISNUMBER(SEARCH("JOINT", M68))), "반", "완"))</f>
        <v>완</v>
      </c>
      <c r="J68" s="62" t="e">
        <f ca="1">IF(RIGHT(N68,5)="JOINT",IF(MID(D68,3,6)="1007#2","15","17"),IF(RIGHT(N68,6)="SPLICE",8,IF(AND(T68="",NOT(F68="")),#REF!,T68)))</f>
        <v>#REF!</v>
      </c>
      <c r="K68" s="60" t="str">
        <f ca="1">IF(N68="", "", IF(OR(N68="반탈피", ISNUMBER(SEARCH("JOINT", N68))), "반", "완"))</f>
        <v>완</v>
      </c>
      <c r="L68" s="60"/>
      <c r="M68" s="60" t="s">
        <v>54</v>
      </c>
      <c r="N68" s="60" t="s">
        <v>84</v>
      </c>
      <c r="O68" s="70"/>
      <c r="P68" s="65" t="s">
        <v>152</v>
      </c>
      <c r="Q68" s="70"/>
      <c r="R68" s="65" t="s">
        <v>153</v>
      </c>
      <c r="S68" s="6" t="str">
        <f ca="1">IFERROR(VLOOKUP(M68,'DATA(STRIP LENGTH)'!$A:$C,3,0),"")</f>
        <v/>
      </c>
      <c r="T68" s="6" t="str">
        <f ca="1">IFERROR(VLOOKUP(N68,'DATA(STRIP LENGTH)'!$A:$C,3,0),"")</f>
        <v/>
      </c>
      <c r="U68" s="1" t="str">
        <f ca="1">IFERROR(VLOOKUP(M68,이원화!$A:$B,2,0),"")</f>
        <v/>
      </c>
      <c r="V68" s="1" t="str">
        <f ca="1">IFERROR(VLOOKUP(N68,이원화!$A:$B,2,0),"")</f>
        <v/>
      </c>
      <c r="W68" s="66" t="str">
        <f ca="1">IF(C68&gt;0,IF(B68=0,W67,B68),"")</f>
        <v>1767C-2
</v>
      </c>
    </row>
    <row r="69" spans="1:23" ht="15">
      <c r="A69" s="1"/>
      <c r="B69" s="83"/>
      <c r="C69" s="65"/>
      <c r="D69" s="60"/>
      <c r="E69" s="61"/>
      <c r="F69" s="61"/>
      <c r="G69" s="60"/>
      <c r="H69" s="62"/>
      <c r="I69" s="60"/>
      <c r="J69" s="62"/>
      <c r="K69" s="60"/>
      <c r="L69" s="60"/>
      <c r="M69" s="60"/>
      <c r="N69" s="60"/>
      <c r="O69" s="60"/>
      <c r="P69" s="65"/>
      <c r="Q69" s="60"/>
      <c r="R69" s="65"/>
      <c r="S69" s="6"/>
      <c r="T69" s="6"/>
      <c r="U69" s="1"/>
      <c r="V69" s="1"/>
      <c r="W69" s="66" t="str">
        <f ca="1">IF(C69&gt;0,IF(B69=0,W68,B69),"")</f>
        <v/>
      </c>
    </row>
    <row r="70" spans="1:23" ht="19.5">
      <c r="A70" s="1"/>
      <c r="B70" s="59" t="s">
        <v>154</v>
      </c>
      <c r="C70" s="60">
        <v>52</v>
      </c>
      <c r="D70" s="64" t="s">
        <v>82</v>
      </c>
      <c r="E70" s="61" t="s">
        <v>83</v>
      </c>
      <c r="F70" s="72">
        <f ca="1"> 10 + (90)+10</f>
        <v>110</v>
      </c>
      <c r="G70" s="60">
        <v>1</v>
      </c>
      <c r="H70" s="62" t="e">
        <f ca="1">IF(RIGHT(M70,5)="JOINT",IF(MID(D70,3,6)="1007#2","15","17"),IF(RIGHT(M70,6)="SPLICE",8,IF(AND(S70="",NOT(F70="")),#REF!,S70)))</f>
        <v>#REF!</v>
      </c>
      <c r="I70" s="60" t="str">
        <f ca="1">IF(M70="", "", IF(OR(M70="반탈피", ISNUMBER(SEARCH("JOINT", M70))), "반", "완"))</f>
        <v>완</v>
      </c>
      <c r="J70" s="62" t="e">
        <f ca="1">IF(RIGHT(N70,5)="JOINT",IF(MID(D70,3,6)="1007#2","15","17"),IF(RIGHT(N70,6)="SPLICE",8,IF(AND(T70="",NOT(F70="")),#REF!,T70)))</f>
        <v>#REF!</v>
      </c>
      <c r="K70" s="60" t="str">
        <f ca="1">IF(N70="", "", IF(OR(N70="반탈피", ISNUMBER(SEARCH("JOINT", N70))), "반", "완"))</f>
        <v>완</v>
      </c>
      <c r="L70" s="60"/>
      <c r="M70" s="60" t="s">
        <v>54</v>
      </c>
      <c r="N70" s="60" t="s">
        <v>55</v>
      </c>
      <c r="O70" s="64">
        <v>3</v>
      </c>
      <c r="P70" s="65" t="s">
        <v>155</v>
      </c>
      <c r="Q70" s="64">
        <v>8</v>
      </c>
      <c r="R70" s="65" t="s">
        <v>156</v>
      </c>
      <c r="S70" s="6" t="str">
        <f ca="1">IFERROR(VLOOKUP(M70,'DATA(STRIP LENGTH)'!$A:$C,3,0),"")</f>
        <v/>
      </c>
      <c r="T70" s="6" t="str">
        <f ca="1">IFERROR(VLOOKUP(N70,'DATA(STRIP LENGTH)'!$A:$C,3,0),"")</f>
        <v/>
      </c>
      <c r="U70" s="1" t="str">
        <f ca="1">IFERROR(VLOOKUP(M70,이원화!$A:$B,2,0),"")</f>
        <v/>
      </c>
      <c r="V70" s="1" t="str">
        <f ca="1">IFERROR(VLOOKUP(N70,이원화!$A:$B,2,0),"")</f>
        <v/>
      </c>
      <c r="W70" s="66" t="e">
        <f ca="1">IF(C70&gt;0,IF(#REF!=0,W82,#REF!),"")</f>
        <v>#REF!</v>
      </c>
    </row>
    <row r="71" spans="1:23" ht="15">
      <c r="A71" s="1"/>
      <c r="B71" s="68"/>
      <c r="C71" s="60">
        <v>53</v>
      </c>
      <c r="D71" s="70"/>
      <c r="E71" s="61" t="s">
        <v>69</v>
      </c>
      <c r="F71" s="73"/>
      <c r="G71" s="60">
        <v>1</v>
      </c>
      <c r="H71" s="62" t="str">
        <f ca="1">IF(RIGHT(M71,5)="JOINT",IF(MID(D71,3,6)="1007#2","15","17"),IF(RIGHT(M71,6)="SPLICE",8,IF(AND(S71="",NOT(F71="")),#REF!,S71)))</f>
        <v/>
      </c>
      <c r="I71" s="60" t="str">
        <f ca="1">IF(M71="", "", IF(OR(M71="반탈피", ISNUMBER(SEARCH("JOINT", M71))), "반", "완"))</f>
        <v>완</v>
      </c>
      <c r="J71" s="62" t="str">
        <f ca="1">IF(RIGHT(N71,5)="JOINT",IF(MID(D71,3,6)="1007#2","15","17"),IF(RIGHT(N71,6)="SPLICE",8,IF(AND(T71="",NOT(F71="")),#REF!,T71)))</f>
        <v/>
      </c>
      <c r="K71" s="60" t="str">
        <f ca="1">IF(N71="", "", IF(OR(N71="반탈피", ISNUMBER(SEARCH("JOINT", N71))), "반", "완"))</f>
        <v>완</v>
      </c>
      <c r="L71" s="60"/>
      <c r="M71" s="60" t="s">
        <v>54</v>
      </c>
      <c r="N71" s="60" t="s">
        <v>55</v>
      </c>
      <c r="O71" s="69"/>
      <c r="P71" s="65" t="s">
        <v>157</v>
      </c>
      <c r="Q71" s="69"/>
      <c r="R71" s="65" t="s">
        <v>158</v>
      </c>
      <c r="S71" s="6" t="str">
        <f ca="1">IFERROR(VLOOKUP(M71,'DATA(STRIP LENGTH)'!$A:$C,3,0),"")</f>
        <v/>
      </c>
      <c r="T71" s="6" t="str">
        <f ca="1">IFERROR(VLOOKUP(N71,'DATA(STRIP LENGTH)'!$A:$C,3,0),"")</f>
        <v/>
      </c>
      <c r="U71" s="1" t="str">
        <f ca="1">IFERROR(VLOOKUP(M71,이원화!$A:$B,2,0),"")</f>
        <v/>
      </c>
      <c r="V71" s="1" t="str">
        <f ca="1">IFERROR(VLOOKUP(N71,이원화!$A:$B,2,0),"")</f>
        <v/>
      </c>
      <c r="W71" s="66" t="e">
        <f ca="1">IF(C71&gt;0,IF(B71=0,W70,B71),"")</f>
        <v>#REF!</v>
      </c>
    </row>
    <row r="72" spans="1:23" ht="15">
      <c r="A72" s="1"/>
      <c r="B72" s="68"/>
      <c r="C72" s="60">
        <v>44</v>
      </c>
      <c r="D72" s="64" t="s">
        <v>100</v>
      </c>
      <c r="E72" s="61" t="s">
        <v>83</v>
      </c>
      <c r="F72" s="72">
        <f ca="1"> 10 + (90)+10</f>
        <v>110</v>
      </c>
      <c r="G72" s="60">
        <v>1</v>
      </c>
      <c r="H72" s="62" t="e">
        <f ca="1">IF(RIGHT(M72,5)="JOINT",IF(MID(D72,3,6)="1007#2","15","17"),IF(RIGHT(M72,6)="SPLICE",8,IF(AND(S72="",NOT(F72="")),#REF!,S72)))</f>
        <v>#REF!</v>
      </c>
      <c r="I72" s="60" t="str">
        <f ca="1">IF(M72="", "", IF(OR(M72="반탈피", ISNUMBER(SEARCH("JOINT", M72))), "반", "완"))</f>
        <v>완</v>
      </c>
      <c r="J72" s="62" t="e">
        <f ca="1">IF(RIGHT(N72,5)="JOINT",IF(MID(D72,3,6)="1007#2","15","17"),IF(RIGHT(N72,6)="SPLICE",8,IF(AND(T72="",NOT(F72="")),#REF!,T72)))</f>
        <v>#REF!</v>
      </c>
      <c r="K72" s="60" t="str">
        <f ca="1">IF(N72="", "", IF(OR(N72="반탈피", ISNUMBER(SEARCH("JOINT", N72))), "반", "완"))</f>
        <v>완</v>
      </c>
      <c r="L72" s="60"/>
      <c r="M72" s="60" t="s">
        <v>54</v>
      </c>
      <c r="N72" s="60" t="s">
        <v>55</v>
      </c>
      <c r="O72" s="69"/>
      <c r="P72" s="65" t="s">
        <v>159</v>
      </c>
      <c r="Q72" s="69"/>
      <c r="R72" s="65" t="s">
        <v>160</v>
      </c>
      <c r="S72" s="6" t="str">
        <f ca="1">IFERROR(VLOOKUP(M72,'DATA(STRIP LENGTH)'!$A:$C,3,0),"")</f>
        <v/>
      </c>
      <c r="T72" s="6" t="str">
        <f ca="1">IFERROR(VLOOKUP(N72,'DATA(STRIP LENGTH)'!$A:$C,3,0),"")</f>
        <v/>
      </c>
      <c r="U72" s="1" t="str">
        <f ca="1">IFERROR(VLOOKUP(M72,이원화!$A:$B,2,0),"")</f>
        <v/>
      </c>
      <c r="V72" s="1" t="str">
        <f ca="1">IFERROR(VLOOKUP(N72,이원화!$A:$B,2,0),"")</f>
        <v/>
      </c>
      <c r="W72" s="67" t="str">
        <f ca="1">IF(C72&gt;0,IF(B70=0,W69,B70),"")</f>
        <v>1767C-3
</v>
      </c>
    </row>
    <row r="73" spans="1:23" ht="15">
      <c r="A73" s="1"/>
      <c r="B73" s="68"/>
      <c r="C73" s="60">
        <v>45</v>
      </c>
      <c r="D73" s="69"/>
      <c r="E73" s="61" t="s">
        <v>69</v>
      </c>
      <c r="F73" s="84"/>
      <c r="G73" s="60">
        <v>1</v>
      </c>
      <c r="H73" s="62" t="str">
        <f ca="1">IF(RIGHT(M73,5)="JOINT",IF(MID(D73,3,6)="1007#2","15","17"),IF(RIGHT(M73,6)="SPLICE",8,IF(AND(S73="",NOT(F73="")),#REF!,S73)))</f>
        <v/>
      </c>
      <c r="I73" s="60" t="str">
        <f ca="1">IF(M73="", "", IF(OR(M73="반탈피", ISNUMBER(SEARCH("JOINT", M73))), "반", "완"))</f>
        <v>완</v>
      </c>
      <c r="J73" s="62" t="str">
        <f ca="1">IF(RIGHT(N73,5)="JOINT",IF(MID(D73,3,6)="1007#2","15","17"),IF(RIGHT(N73,6)="SPLICE",8,IF(AND(T73="",NOT(F73="")),#REF!,T73)))</f>
        <v/>
      </c>
      <c r="K73" s="60" t="str">
        <f ca="1">IF(N73="", "", IF(OR(N73="반탈피", ISNUMBER(SEARCH("JOINT", N73))), "반", "완"))</f>
        <v>완</v>
      </c>
      <c r="L73" s="60"/>
      <c r="M73" s="60" t="s">
        <v>54</v>
      </c>
      <c r="N73" s="60" t="s">
        <v>55</v>
      </c>
      <c r="O73" s="69"/>
      <c r="P73" s="65" t="s">
        <v>161</v>
      </c>
      <c r="Q73" s="69"/>
      <c r="R73" s="65" t="s">
        <v>162</v>
      </c>
      <c r="S73" s="6" t="str">
        <f ca="1">IFERROR(VLOOKUP(M73,'DATA(STRIP LENGTH)'!$A:$C,3,0),"")</f>
        <v/>
      </c>
      <c r="T73" s="6" t="str">
        <f ca="1">IFERROR(VLOOKUP(N73,'DATA(STRIP LENGTH)'!$A:$C,3,0),"")</f>
        <v/>
      </c>
      <c r="U73" s="1" t="str">
        <f ca="1">IFERROR(VLOOKUP(M73,이원화!$A:$B,2,0),"")</f>
        <v/>
      </c>
      <c r="V73" s="1" t="str">
        <f ca="1">IFERROR(VLOOKUP(N73,이원화!$A:$B,2,0),"")</f>
        <v/>
      </c>
      <c r="W73" s="66" t="str">
        <f ca="1">IF(C73&gt;0,IF(B73=0,W72,B73),"")</f>
        <v>1767C-3
</v>
      </c>
    </row>
    <row r="74" spans="1:23" ht="15">
      <c r="A74" s="1"/>
      <c r="B74" s="68"/>
      <c r="C74" s="60">
        <v>46</v>
      </c>
      <c r="D74" s="69"/>
      <c r="E74" s="61" t="s">
        <v>69</v>
      </c>
      <c r="F74" s="84"/>
      <c r="G74" s="60">
        <v>1</v>
      </c>
      <c r="H74" s="62" t="str">
        <f ca="1">IF(RIGHT(M74,5)="JOINT",IF(MID(D74,3,6)="1007#2","15","17"),IF(RIGHT(M74,6)="SPLICE",8,IF(AND(S74="",NOT(F74="")),#REF!,S74)))</f>
        <v/>
      </c>
      <c r="I74" s="60" t="str">
        <f ca="1">IF(M74="", "", IF(OR(M74="반탈피", ISNUMBER(SEARCH("JOINT", M74))), "반", "완"))</f>
        <v>완</v>
      </c>
      <c r="J74" s="62" t="str">
        <f ca="1">IF(RIGHT(N74,5)="JOINT",IF(MID(D74,3,6)="1007#2","15","17"),IF(RIGHT(N74,6)="SPLICE",8,IF(AND(T74="",NOT(F74="")),#REF!,T74)))</f>
        <v/>
      </c>
      <c r="K74" s="60" t="str">
        <f ca="1">IF(N74="", "", IF(OR(N74="반탈피", ISNUMBER(SEARCH("JOINT", N74))), "반", "완"))</f>
        <v>완</v>
      </c>
      <c r="L74" s="60"/>
      <c r="M74" s="60" t="s">
        <v>54</v>
      </c>
      <c r="N74" s="60" t="s">
        <v>55</v>
      </c>
      <c r="O74" s="69"/>
      <c r="P74" s="65" t="s">
        <v>163</v>
      </c>
      <c r="Q74" s="69"/>
      <c r="R74" s="65" t="s">
        <v>164</v>
      </c>
      <c r="S74" s="6" t="str">
        <f ca="1">IFERROR(VLOOKUP(M74,'DATA(STRIP LENGTH)'!$A:$C,3,0),"")</f>
        <v/>
      </c>
      <c r="T74" s="6" t="str">
        <f ca="1">IFERROR(VLOOKUP(N74,'DATA(STRIP LENGTH)'!$A:$C,3,0),"")</f>
        <v/>
      </c>
      <c r="U74" s="1" t="str">
        <f ca="1">IFERROR(VLOOKUP(M74,이원화!$A:$B,2,0),"")</f>
        <v/>
      </c>
      <c r="V74" s="1" t="str">
        <f ca="1">IFERROR(VLOOKUP(N74,이원화!$A:$B,2,0),"")</f>
        <v/>
      </c>
      <c r="W74" s="66" t="str">
        <f ca="1">IF(C74&gt;0,IF(B74=0,W73,B74),"")</f>
        <v>1767C-3
</v>
      </c>
    </row>
    <row r="75" spans="1:23" ht="15">
      <c r="A75" s="1"/>
      <c r="B75" s="68"/>
      <c r="C75" s="60">
        <v>47</v>
      </c>
      <c r="D75" s="69"/>
      <c r="E75" s="61" t="s">
        <v>69</v>
      </c>
      <c r="F75" s="84"/>
      <c r="G75" s="60">
        <v>1</v>
      </c>
      <c r="H75" s="62" t="str">
        <f ca="1">IF(RIGHT(M75,5)="JOINT",IF(MID(D75,3,6)="1007#2","15","17"),IF(RIGHT(M75,6)="SPLICE",8,IF(AND(S75="",NOT(F75="")),#REF!,S75)))</f>
        <v/>
      </c>
      <c r="I75" s="60" t="str">
        <f ca="1">IF(M75="", "", IF(OR(M75="반탈피", ISNUMBER(SEARCH("JOINT", M75))), "반", "완"))</f>
        <v>완</v>
      </c>
      <c r="J75" s="62" t="str">
        <f ca="1">IF(RIGHT(N75,5)="JOINT",IF(MID(D75,3,6)="1007#2","15","17"),IF(RIGHT(N75,6)="SPLICE",8,IF(AND(T75="",NOT(F75="")),#REF!,T75)))</f>
        <v/>
      </c>
      <c r="K75" s="60" t="str">
        <f ca="1">IF(N75="", "", IF(OR(N75="반탈피", ISNUMBER(SEARCH("JOINT", N75))), "반", "완"))</f>
        <v>완</v>
      </c>
      <c r="L75" s="60"/>
      <c r="M75" s="60" t="s">
        <v>54</v>
      </c>
      <c r="N75" s="60" t="s">
        <v>55</v>
      </c>
      <c r="O75" s="69"/>
      <c r="P75" s="65" t="s">
        <v>165</v>
      </c>
      <c r="Q75" s="69"/>
      <c r="R75" s="65" t="s">
        <v>166</v>
      </c>
      <c r="S75" s="6" t="str">
        <f ca="1">IFERROR(VLOOKUP(M75,'DATA(STRIP LENGTH)'!$A:$C,3,0),"")</f>
        <v/>
      </c>
      <c r="T75" s="6" t="str">
        <f ca="1">IFERROR(VLOOKUP(N75,'DATA(STRIP LENGTH)'!$A:$C,3,0),"")</f>
        <v/>
      </c>
      <c r="U75" s="1" t="str">
        <f ca="1">IFERROR(VLOOKUP(M75,이원화!$A:$B,2,0),"")</f>
        <v/>
      </c>
      <c r="V75" s="1" t="str">
        <f ca="1">IFERROR(VLOOKUP(N75,이원화!$A:$B,2,0),"")</f>
        <v/>
      </c>
      <c r="W75" s="66" t="str">
        <f ca="1">IF(C75&gt;0,IF(B75=0,W74,B75),"")</f>
        <v>1767C-3
</v>
      </c>
    </row>
    <row r="76" spans="1:23" ht="15">
      <c r="A76" s="1"/>
      <c r="B76" s="68"/>
      <c r="C76" s="60">
        <v>48</v>
      </c>
      <c r="D76" s="70"/>
      <c r="E76" s="61" t="s">
        <v>69</v>
      </c>
      <c r="F76" s="73"/>
      <c r="G76" s="60">
        <v>1</v>
      </c>
      <c r="H76" s="62" t="str">
        <f ca="1">IF(RIGHT(M76,5)="JOINT",IF(MID(D76,3,6)="1007#2","15","17"),IF(RIGHT(M76,6)="SPLICE",8,IF(AND(S76="",NOT(F76="")),#REF!,S76)))</f>
        <v/>
      </c>
      <c r="I76" s="60" t="str">
        <f ca="1">IF(M76="", "", IF(OR(M76="반탈피", ISNUMBER(SEARCH("JOINT", M76))), "반", "완"))</f>
        <v>완</v>
      </c>
      <c r="J76" s="62" t="str">
        <f ca="1">IF(RIGHT(N76,5)="JOINT",IF(MID(D76,3,6)="1007#2","15","17"),IF(RIGHT(N76,6)="SPLICE",8,IF(AND(T76="",NOT(F76="")),#REF!,T76)))</f>
        <v/>
      </c>
      <c r="K76" s="60" t="str">
        <f ca="1">IF(N76="", "", IF(OR(N76="반탈피", ISNUMBER(SEARCH("JOINT", N76))), "반", "완"))</f>
        <v>완</v>
      </c>
      <c r="L76" s="60"/>
      <c r="M76" s="60" t="s">
        <v>54</v>
      </c>
      <c r="N76" s="60" t="s">
        <v>55</v>
      </c>
      <c r="O76" s="69"/>
      <c r="P76" s="65" t="s">
        <v>167</v>
      </c>
      <c r="Q76" s="70"/>
      <c r="R76" s="65" t="s">
        <v>168</v>
      </c>
      <c r="S76" s="6" t="str">
        <f ca="1">IFERROR(VLOOKUP(M76,'DATA(STRIP LENGTH)'!$A:$C,3,0),"")</f>
        <v/>
      </c>
      <c r="T76" s="6" t="str">
        <f ca="1">IFERROR(VLOOKUP(N76,'DATA(STRIP LENGTH)'!$A:$C,3,0),"")</f>
        <v/>
      </c>
      <c r="U76" s="1" t="str">
        <f ca="1">IFERROR(VLOOKUP(M76,이원화!$A:$B,2,0),"")</f>
        <v/>
      </c>
      <c r="V76" s="1" t="str">
        <f ca="1">IFERROR(VLOOKUP(N76,이원화!$A:$B,2,0),"")</f>
        <v/>
      </c>
      <c r="W76" s="66" t="str">
        <f ca="1">IF(C76&gt;0,IF(B76=0,W75,B76),"")</f>
        <v>1767C-3
</v>
      </c>
    </row>
    <row r="77" spans="1:23" ht="15">
      <c r="A77" s="1"/>
      <c r="B77" s="68"/>
      <c r="C77" s="60">
        <v>49</v>
      </c>
      <c r="D77" s="64" t="s">
        <v>92</v>
      </c>
      <c r="E77" s="61" t="s">
        <v>60</v>
      </c>
      <c r="F77" s="72">
        <f ca="1"> 10 + (75)+10</f>
        <v>95</v>
      </c>
      <c r="G77" s="60">
        <v>1</v>
      </c>
      <c r="H77" s="62" t="e">
        <f ca="1">IF(RIGHT(M77,5)="JOINT",IF(MID(D77,3,6)="1007#2","15","17"),IF(RIGHT(M77,6)="SPLICE",8,IF(AND(S77="",NOT(F77="")),#REF!,S77)))</f>
        <v>#REF!</v>
      </c>
      <c r="I77" s="60" t="str">
        <f ca="1">IF(M77="", "", IF(OR(M77="반탈피", ISNUMBER(SEARCH("JOINT", M77))), "반", "완"))</f>
        <v>완</v>
      </c>
      <c r="J77" s="62" t="e">
        <f ca="1">IF(RIGHT(N77,5)="JOINT",IF(MID(D77,3,6)="1007#2","15","17"),IF(RIGHT(N77,6)="SPLICE",8,IF(AND(T77="",NOT(F77="")),#REF!,T77)))</f>
        <v>#REF!</v>
      </c>
      <c r="K77" s="60" t="str">
        <f ca="1">IF(N77="", "", IF(OR(N77="반탈피", ISNUMBER(SEARCH("JOINT", N77))), "반", "완"))</f>
        <v>완</v>
      </c>
      <c r="L77" s="60"/>
      <c r="M77" s="60" t="s">
        <v>54</v>
      </c>
      <c r="N77" s="60" t="s">
        <v>55</v>
      </c>
      <c r="O77" s="69"/>
      <c r="P77" s="65" t="s">
        <v>169</v>
      </c>
      <c r="Q77" s="64">
        <v>7</v>
      </c>
      <c r="R77" s="65" t="s">
        <v>170</v>
      </c>
      <c r="S77" s="6" t="str">
        <f ca="1">IFERROR(VLOOKUP(M77,'DATA(STRIP LENGTH)'!$A:$C,3,0),"")</f>
        <v/>
      </c>
      <c r="T77" s="6" t="str">
        <f ca="1">IFERROR(VLOOKUP(N77,'DATA(STRIP LENGTH)'!$A:$C,3,0),"")</f>
        <v/>
      </c>
      <c r="U77" s="1" t="str">
        <f ca="1">IFERROR(VLOOKUP(M77,이원화!$A:$B,2,0),"")</f>
        <v/>
      </c>
      <c r="V77" s="1" t="str">
        <f ca="1">IFERROR(VLOOKUP(N77,이원화!$A:$B,2,0),"")</f>
        <v/>
      </c>
      <c r="W77" s="66" t="str">
        <f ca="1">IF(C77&gt;0,IF(B77=0,W76,B77),"")</f>
        <v>1767C-3
</v>
      </c>
    </row>
    <row r="78" spans="1:23" ht="15">
      <c r="A78" s="1"/>
      <c r="B78" s="68"/>
      <c r="C78" s="60">
        <v>50</v>
      </c>
      <c r="D78" s="69"/>
      <c r="E78" s="61" t="s">
        <v>69</v>
      </c>
      <c r="F78" s="84"/>
      <c r="G78" s="60">
        <v>1</v>
      </c>
      <c r="H78" s="62" t="str">
        <f ca="1">IF(RIGHT(M78,5)="JOINT",IF(MID(D78,3,6)="1007#2","15","17"),IF(RIGHT(M78,6)="SPLICE",8,IF(AND(S78="",NOT(F78="")),#REF!,S78)))</f>
        <v/>
      </c>
      <c r="I78" s="60" t="str">
        <f ca="1">IF(M78="", "", IF(OR(M78="반탈피", ISNUMBER(SEARCH("JOINT", M78))), "반", "완"))</f>
        <v>완</v>
      </c>
      <c r="J78" s="62" t="str">
        <f ca="1">IF(RIGHT(N78,5)="JOINT",IF(MID(D78,3,6)="1007#2","15","17"),IF(RIGHT(N78,6)="SPLICE",8,IF(AND(T78="",NOT(F78="")),#REF!,T78)))</f>
        <v/>
      </c>
      <c r="K78" s="60" t="str">
        <f ca="1">IF(N78="", "", IF(OR(N78="반탈피", ISNUMBER(SEARCH("JOINT", N78))), "반", "완"))</f>
        <v>완</v>
      </c>
      <c r="L78" s="60"/>
      <c r="M78" s="60" t="s">
        <v>54</v>
      </c>
      <c r="N78" s="60" t="s">
        <v>55</v>
      </c>
      <c r="O78" s="69"/>
      <c r="P78" s="65" t="s">
        <v>171</v>
      </c>
      <c r="Q78" s="69"/>
      <c r="R78" s="65" t="s">
        <v>172</v>
      </c>
      <c r="S78" s="6" t="str">
        <f ca="1">IFERROR(VLOOKUP(M78,'DATA(STRIP LENGTH)'!$A:$C,3,0),"")</f>
        <v/>
      </c>
      <c r="T78" s="6" t="str">
        <f ca="1">IFERROR(VLOOKUP(N78,'DATA(STRIP LENGTH)'!$A:$C,3,0),"")</f>
        <v/>
      </c>
      <c r="U78" s="1" t="str">
        <f ca="1">IFERROR(VLOOKUP(M78,이원화!$A:$B,2,0),"")</f>
        <v/>
      </c>
      <c r="V78" s="1" t="str">
        <f ca="1">IFERROR(VLOOKUP(N78,이원화!$A:$B,2,0),"")</f>
        <v/>
      </c>
      <c r="W78" s="66" t="str">
        <f ca="1">IF(C78&gt;0,IF(B78=0,W77,B78),"")</f>
        <v>1767C-3
</v>
      </c>
    </row>
    <row r="79" spans="1:23" ht="15">
      <c r="A79" s="1"/>
      <c r="B79" s="68"/>
      <c r="C79" s="60">
        <v>51</v>
      </c>
      <c r="D79" s="70"/>
      <c r="E79" s="61" t="s">
        <v>69</v>
      </c>
      <c r="F79" s="73"/>
      <c r="G79" s="60">
        <v>1</v>
      </c>
      <c r="H79" s="62" t="str">
        <f ca="1">IF(RIGHT(M79,5)="JOINT",IF(MID(D79,3,6)="1007#2","15","17"),IF(RIGHT(M79,6)="SPLICE",8,IF(AND(S79="",NOT(F79="")),#REF!,S79)))</f>
        <v/>
      </c>
      <c r="I79" s="60" t="str">
        <f ca="1">IF(M79="", "", IF(OR(M79="반탈피", ISNUMBER(SEARCH("JOINT", M79))), "반", "완"))</f>
        <v>완</v>
      </c>
      <c r="J79" s="62" t="str">
        <f ca="1">IF(RIGHT(N79,5)="JOINT",IF(MID(D79,3,6)="1007#2","15","17"),IF(RIGHT(N79,6)="SPLICE",8,IF(AND(T79="",NOT(F79="")),#REF!,T79)))</f>
        <v/>
      </c>
      <c r="K79" s="60" t="str">
        <f ca="1">IF(N79="", "", IF(OR(N79="반탈피", ISNUMBER(SEARCH("JOINT", N79))), "반", "완"))</f>
        <v>완</v>
      </c>
      <c r="L79" s="60"/>
      <c r="M79" s="60" t="s">
        <v>54</v>
      </c>
      <c r="N79" s="60" t="s">
        <v>55</v>
      </c>
      <c r="O79" s="69"/>
      <c r="P79" s="65" t="s">
        <v>173</v>
      </c>
      <c r="Q79" s="69"/>
      <c r="R79" s="65" t="s">
        <v>174</v>
      </c>
      <c r="S79" s="6" t="str">
        <f ca="1">IFERROR(VLOOKUP(M79,'DATA(STRIP LENGTH)'!$A:$C,3,0),"")</f>
        <v/>
      </c>
      <c r="T79" s="6" t="str">
        <f ca="1">IFERROR(VLOOKUP(N79,'DATA(STRIP LENGTH)'!$A:$C,3,0),"")</f>
        <v/>
      </c>
      <c r="U79" s="1" t="str">
        <f ca="1">IFERROR(VLOOKUP(M79,이원화!$A:$B,2,0),"")</f>
        <v/>
      </c>
      <c r="V79" s="1" t="str">
        <f ca="1">IFERROR(VLOOKUP(N79,이원화!$A:$B,2,0),"")</f>
        <v/>
      </c>
      <c r="W79" s="66" t="str">
        <f ca="1">IF(C79&gt;0,IF(B79=0,W78,B79),"")</f>
        <v>1767C-3
</v>
      </c>
    </row>
    <row r="80" spans="1:23" ht="15">
      <c r="A80" s="1"/>
      <c r="B80" s="68"/>
      <c r="C80" s="60">
        <v>65</v>
      </c>
      <c r="D80" s="64" t="s">
        <v>175</v>
      </c>
      <c r="E80" s="61" t="s">
        <v>73</v>
      </c>
      <c r="F80" s="72">
        <f ca="1"> 10 + (75)+10</f>
        <v>95</v>
      </c>
      <c r="G80" s="60">
        <v>1</v>
      </c>
      <c r="H80" s="62" t="e">
        <f ca="1">IF(RIGHT(M80,5)="JOINT",IF(MID(D80,3,6)="1007#2","15","17"),IF(RIGHT(M80,6)="SPLICE",8,IF(AND(S80="",NOT(F80="")),#REF!,S80)))</f>
        <v>#REF!</v>
      </c>
      <c r="I80" s="60" t="str">
        <f ca="1">IF(M80="", "", IF(OR(M80="반탈피", ISNUMBER(SEARCH("JOINT", M80))), "반", "완"))</f>
        <v>완</v>
      </c>
      <c r="J80" s="62" t="e">
        <f ca="1">IF(RIGHT(N80,5)="JOINT",IF(MID(D80,3,6)="1007#2","15","17"),IF(RIGHT(N80,6)="SPLICE",8,IF(AND(T80="",NOT(F80="")),#REF!,T80)))</f>
        <v>#REF!</v>
      </c>
      <c r="K80" s="60" t="str">
        <f ca="1">IF(N80="", "", IF(OR(N80="반탈피", ISNUMBER(SEARCH("JOINT", N80))), "반", "완"))</f>
        <v>완</v>
      </c>
      <c r="L80" s="60"/>
      <c r="M80" s="60" t="s">
        <v>54</v>
      </c>
      <c r="N80" s="60" t="s">
        <v>55</v>
      </c>
      <c r="O80" s="69"/>
      <c r="P80" s="65" t="s">
        <v>176</v>
      </c>
      <c r="Q80" s="69"/>
      <c r="R80" s="65" t="s">
        <v>177</v>
      </c>
      <c r="S80" s="6" t="str">
        <f ca="1">IFERROR(VLOOKUP(M80,'DATA(STRIP LENGTH)'!$A:$C,3,0),"")</f>
        <v/>
      </c>
      <c r="T80" s="6" t="str">
        <f ca="1">IFERROR(VLOOKUP(N80,'DATA(STRIP LENGTH)'!$A:$C,3,0),"")</f>
        <v/>
      </c>
      <c r="U80" s="1" t="str">
        <f ca="1">IFERROR(VLOOKUP(M80,이원화!$A:$B,2,0),"")</f>
        <v/>
      </c>
      <c r="V80" s="1" t="str">
        <f ca="1">IFERROR(VLOOKUP(N80,이원화!$A:$B,2,0),"")</f>
        <v/>
      </c>
      <c r="W80" s="66" t="str">
        <f ca="1">IF(C80&gt;0,IF(B80=0,W79,B80),"")</f>
        <v>1767C-3
</v>
      </c>
    </row>
    <row r="81" spans="1:23" ht="15">
      <c r="A81" s="1"/>
      <c r="B81" s="68"/>
      <c r="C81" s="60">
        <v>66</v>
      </c>
      <c r="D81" s="69"/>
      <c r="E81" s="61" t="s">
        <v>69</v>
      </c>
      <c r="F81" s="84"/>
      <c r="G81" s="60">
        <v>1</v>
      </c>
      <c r="H81" s="62" t="str">
        <f ca="1">IF(RIGHT(M81,5)="JOINT",IF(MID(D81,3,6)="1007#2","15","17"),IF(RIGHT(M81,6)="SPLICE",8,IF(AND(S81="",NOT(F81="")),#REF!,S81)))</f>
        <v/>
      </c>
      <c r="I81" s="60" t="str">
        <f ca="1">IF(M81="", "", IF(OR(M81="반탈피", ISNUMBER(SEARCH("JOINT", M81))), "반", "완"))</f>
        <v>완</v>
      </c>
      <c r="J81" s="62" t="str">
        <f ca="1">IF(RIGHT(N81,5)="JOINT",IF(MID(D81,3,6)="1007#2","15","17"),IF(RIGHT(N81,6)="SPLICE",8,IF(AND(T81="",NOT(F81="")),#REF!,T81)))</f>
        <v/>
      </c>
      <c r="K81" s="60" t="str">
        <f ca="1">IF(N81="", "", IF(OR(N81="반탈피", ISNUMBER(SEARCH("JOINT", N81))), "반", "완"))</f>
        <v>완</v>
      </c>
      <c r="L81" s="60"/>
      <c r="M81" s="60" t="s">
        <v>54</v>
      </c>
      <c r="N81" s="60" t="s">
        <v>55</v>
      </c>
      <c r="O81" s="69"/>
      <c r="P81" s="65" t="s">
        <v>178</v>
      </c>
      <c r="Q81" s="69"/>
      <c r="R81" s="65" t="s">
        <v>179</v>
      </c>
      <c r="S81" s="6" t="str">
        <f ca="1">IFERROR(VLOOKUP(M81,'DATA(STRIP LENGTH)'!$A:$C,3,0),"")</f>
        <v/>
      </c>
      <c r="T81" s="6" t="str">
        <f ca="1">IFERROR(VLOOKUP(N81,'DATA(STRIP LENGTH)'!$A:$C,3,0),"")</f>
        <v/>
      </c>
      <c r="U81" s="1" t="str">
        <f ca="1">IFERROR(VLOOKUP(M81,이원화!$A:$B,2,0),"")</f>
        <v/>
      </c>
      <c r="V81" s="1" t="str">
        <f ca="1">IFERROR(VLOOKUP(N81,이원화!$A:$B,2,0),"")</f>
        <v/>
      </c>
      <c r="W81" s="66" t="str">
        <f ca="1">IF(C81&gt;0,IF(B81=0,W80,B81),"")</f>
        <v>1767C-3
</v>
      </c>
    </row>
    <row r="82" spans="1:23" ht="15">
      <c r="A82" s="1"/>
      <c r="B82" s="82"/>
      <c r="C82" s="60">
        <v>67</v>
      </c>
      <c r="D82" s="70"/>
      <c r="E82" s="61" t="s">
        <v>69</v>
      </c>
      <c r="F82" s="73"/>
      <c r="G82" s="60">
        <v>1</v>
      </c>
      <c r="H82" s="62" t="str">
        <f ca="1">IF(RIGHT(M82,5)="JOINT",IF(MID(D82,3,6)="1007#2","15","17"),IF(RIGHT(M82,6)="SPLICE",8,IF(AND(S82="",NOT(F82="")),#REF!,S82)))</f>
        <v/>
      </c>
      <c r="I82" s="60" t="str">
        <f ca="1">IF(M82="", "", IF(OR(M82="반탈피", ISNUMBER(SEARCH("JOINT", M82))), "반", "완"))</f>
        <v>완</v>
      </c>
      <c r="J82" s="62" t="str">
        <f ca="1">IF(RIGHT(N82,5)="JOINT",IF(MID(D82,3,6)="1007#2","15","17"),IF(RIGHT(N82,6)="SPLICE",8,IF(AND(T82="",NOT(F82="")),#REF!,T82)))</f>
        <v/>
      </c>
      <c r="K82" s="60" t="str">
        <f ca="1">IF(N82="", "", IF(OR(N82="반탈피", ISNUMBER(SEARCH("JOINT", N82))), "반", "완"))</f>
        <v>완</v>
      </c>
      <c r="L82" s="60"/>
      <c r="M82" s="60" t="s">
        <v>54</v>
      </c>
      <c r="N82" s="60" t="s">
        <v>55</v>
      </c>
      <c r="O82" s="70"/>
      <c r="P82" s="65" t="s">
        <v>180</v>
      </c>
      <c r="Q82" s="70"/>
      <c r="R82" s="65" t="s">
        <v>181</v>
      </c>
      <c r="S82" s="6" t="str">
        <f ca="1">IFERROR(VLOOKUP(M82,'DATA(STRIP LENGTH)'!$A:$C,3,0),"")</f>
        <v/>
      </c>
      <c r="T82" s="6" t="str">
        <f ca="1">IFERROR(VLOOKUP(N82,'DATA(STRIP LENGTH)'!$A:$C,3,0),"")</f>
        <v/>
      </c>
      <c r="U82" s="1" t="str">
        <f ca="1">IFERROR(VLOOKUP(M82,이원화!$A:$B,2,0),"")</f>
        <v/>
      </c>
      <c r="V82" s="1" t="str">
        <f ca="1">IFERROR(VLOOKUP(N82,이원화!$A:$B,2,0),"")</f>
        <v/>
      </c>
      <c r="W82" s="66" t="str">
        <f ca="1">IF(C82&gt;0,IF(B82=0,W81,B82),"")</f>
        <v>1767C-3
</v>
      </c>
    </row>
    <row r="83" spans="1:23" ht="15">
      <c r="A83" s="1"/>
      <c r="B83" s="83"/>
      <c r="C83" s="65"/>
      <c r="D83" s="64"/>
      <c r="E83" s="61"/>
      <c r="F83" s="61"/>
      <c r="G83" s="60"/>
      <c r="H83" s="62"/>
      <c r="I83" s="60"/>
      <c r="J83" s="62"/>
      <c r="K83" s="60"/>
      <c r="L83" s="60"/>
      <c r="M83" s="60"/>
      <c r="N83" s="60"/>
      <c r="O83" s="60"/>
      <c r="P83" s="65"/>
      <c r="Q83" s="60"/>
      <c r="R83" s="65"/>
      <c r="S83" s="6"/>
      <c r="T83" s="6"/>
      <c r="U83" s="1"/>
      <c r="V83" s="1"/>
      <c r="W83" s="66"/>
    </row>
    <row r="84" spans="1:23" ht="15">
      <c r="A84" s="1"/>
      <c r="B84" s="1"/>
      <c r="C84" s="1"/>
      <c r="D84" s="6"/>
      <c r="E84" s="1"/>
      <c r="F84" s="1"/>
      <c r="G84" s="1"/>
      <c r="H84" s="1"/>
      <c r="I84" s="1"/>
      <c r="J84" s="1"/>
      <c r="K84" s="1"/>
      <c r="L84" s="1"/>
      <c r="M84" s="1"/>
      <c r="N84" s="1"/>
      <c r="O84" s="6"/>
      <c r="P84" s="85"/>
      <c r="Q84" s="85"/>
      <c r="R84" s="85"/>
      <c r="S84" s="6"/>
      <c r="T84" s="6"/>
      <c r="U84" s="1"/>
      <c r="V84" s="1"/>
      <c r="W84" s="1"/>
    </row>
    <row r="85" spans="1:23" ht="15">
      <c r="A85" s="1"/>
      <c r="B85" s="1"/>
      <c r="C85" s="1"/>
      <c r="D85" s="6"/>
      <c r="E85" s="1"/>
      <c r="F85" s="1"/>
      <c r="G85" s="1"/>
      <c r="H85" s="1"/>
      <c r="I85" s="1"/>
      <c r="J85" s="1"/>
      <c r="K85" s="1"/>
      <c r="L85" s="1"/>
      <c r="M85" s="1"/>
      <c r="N85" s="1"/>
      <c r="O85" s="6"/>
      <c r="P85" s="85"/>
      <c r="Q85" s="85"/>
      <c r="R85" s="85"/>
      <c r="S85" s="6"/>
      <c r="T85" s="6"/>
      <c r="U85" s="1"/>
      <c r="V85" s="1"/>
      <c r="W85" s="1"/>
    </row>
    <row r="86" spans="1:23" ht="15">
      <c r="A86" s="1"/>
      <c r="B86" s="1"/>
      <c r="C86" s="1"/>
      <c r="D86" s="6"/>
      <c r="E86" s="1"/>
      <c r="F86" s="1"/>
      <c r="G86" s="1"/>
      <c r="H86" s="1"/>
      <c r="I86" s="1"/>
      <c r="J86" s="1"/>
      <c r="K86" s="1"/>
      <c r="L86" s="1"/>
      <c r="M86" s="1"/>
      <c r="N86" s="1"/>
      <c r="O86" s="6"/>
      <c r="P86" s="85"/>
      <c r="Q86" s="85"/>
      <c r="R86" s="85"/>
      <c r="S86" s="6"/>
      <c r="T86" s="6"/>
      <c r="U86" s="1"/>
      <c r="V86" s="1"/>
      <c r="W86" s="1"/>
    </row>
    <row r="87" spans="1:23" ht="15">
      <c r="A87" s="1"/>
      <c r="B87" s="1"/>
      <c r="C87" s="1"/>
      <c r="D87" s="6"/>
      <c r="E87" s="1"/>
      <c r="F87" s="1"/>
      <c r="G87" s="1"/>
      <c r="H87" s="1"/>
      <c r="I87" s="1"/>
      <c r="J87" s="1"/>
      <c r="K87" s="1"/>
      <c r="L87" s="1"/>
      <c r="M87" s="1"/>
      <c r="N87" s="1"/>
      <c r="O87" s="6"/>
      <c r="P87" s="85"/>
      <c r="Q87" s="85"/>
      <c r="R87" s="85"/>
      <c r="S87" s="6"/>
      <c r="T87" s="6"/>
      <c r="U87" s="1"/>
      <c r="V87" s="1"/>
      <c r="W87" s="1"/>
    </row>
    <row r="88" spans="1:23" ht="15">
      <c r="A88" s="1"/>
      <c r="B88" s="1"/>
      <c r="C88" s="1"/>
      <c r="D88" s="6"/>
      <c r="E88" s="1"/>
      <c r="F88" s="1"/>
      <c r="G88" s="1"/>
      <c r="H88" s="1"/>
      <c r="I88" s="1"/>
      <c r="J88" s="1"/>
      <c r="K88" s="1"/>
      <c r="L88" s="1"/>
      <c r="M88" s="1"/>
      <c r="N88" s="1"/>
      <c r="O88" s="6"/>
      <c r="P88" s="85"/>
      <c r="Q88" s="85"/>
      <c r="R88" s="85"/>
      <c r="S88" s="6"/>
      <c r="T88" s="6"/>
      <c r="U88" s="1"/>
      <c r="V88" s="1"/>
      <c r="W88" s="1"/>
    </row>
    <row r="89" spans="1:23" ht="15">
      <c r="A89" s="1"/>
      <c r="B89" s="1"/>
      <c r="C89" s="1"/>
      <c r="D89" s="6"/>
      <c r="E89" s="1"/>
      <c r="F89" s="1"/>
      <c r="G89" s="1"/>
      <c r="H89" s="1"/>
      <c r="I89" s="1"/>
      <c r="J89" s="1"/>
      <c r="K89" s="1"/>
      <c r="L89" s="1"/>
      <c r="M89" s="1"/>
      <c r="N89" s="1"/>
      <c r="O89" s="6"/>
      <c r="P89" s="85"/>
      <c r="Q89" s="85"/>
      <c r="R89" s="85"/>
      <c r="S89" s="6"/>
      <c r="T89" s="6"/>
      <c r="U89" s="1"/>
      <c r="V89" s="1"/>
      <c r="W89" s="1"/>
    </row>
    <row r="90" spans="1:23" ht="15">
      <c r="A90" s="1"/>
      <c r="B90" s="1"/>
      <c r="C90" s="1"/>
      <c r="D90" s="6"/>
      <c r="E90" s="1"/>
      <c r="F90" s="1"/>
      <c r="G90" s="1"/>
      <c r="H90" s="1"/>
      <c r="I90" s="1"/>
      <c r="J90" s="1"/>
      <c r="K90" s="1"/>
      <c r="L90" s="1"/>
      <c r="M90" s="1"/>
      <c r="N90" s="1"/>
      <c r="O90" s="6"/>
      <c r="P90" s="85"/>
      <c r="Q90" s="85"/>
      <c r="R90" s="85"/>
      <c r="S90" s="6"/>
      <c r="T90" s="6"/>
      <c r="U90" s="1"/>
      <c r="V90" s="1"/>
      <c r="W90" s="1"/>
    </row>
    <row r="91" spans="1:23" ht="15">
      <c r="A91" s="1"/>
      <c r="B91" s="1"/>
      <c r="C91" s="1"/>
      <c r="D91" s="6"/>
      <c r="E91" s="1"/>
      <c r="F91" s="1"/>
      <c r="G91" s="1"/>
      <c r="H91" s="1"/>
      <c r="I91" s="1"/>
      <c r="J91" s="1"/>
      <c r="K91" s="1"/>
      <c r="L91" s="1"/>
      <c r="M91" s="1"/>
      <c r="N91" s="1"/>
      <c r="O91" s="6"/>
      <c r="P91" s="85"/>
      <c r="Q91" s="85"/>
      <c r="R91" s="85"/>
      <c r="S91" s="6"/>
      <c r="T91" s="6"/>
      <c r="U91" s="1"/>
      <c r="V91" s="1"/>
      <c r="W91" s="1"/>
    </row>
    <row r="92" spans="1:23" ht="15">
      <c r="A92" s="1"/>
      <c r="B92" s="1"/>
      <c r="C92" s="1"/>
      <c r="D92" s="6"/>
      <c r="E92" s="1"/>
      <c r="F92" s="1"/>
      <c r="G92" s="1"/>
      <c r="H92" s="1"/>
      <c r="I92" s="1"/>
      <c r="J92" s="1"/>
      <c r="K92" s="1"/>
      <c r="L92" s="1"/>
      <c r="M92" s="1"/>
      <c r="N92" s="1"/>
      <c r="O92" s="6"/>
      <c r="P92" s="85"/>
      <c r="Q92" s="85"/>
      <c r="R92" s="85"/>
      <c r="S92" s="6"/>
      <c r="T92" s="6"/>
      <c r="U92" s="1"/>
      <c r="V92" s="1"/>
      <c r="W92" s="1"/>
    </row>
    <row r="93" spans="1:23" ht="15">
      <c r="A93" s="1"/>
      <c r="B93" s="1"/>
      <c r="C93" s="1"/>
      <c r="D93" s="6"/>
      <c r="E93" s="1"/>
      <c r="F93" s="1"/>
      <c r="G93" s="1"/>
      <c r="H93" s="1"/>
      <c r="I93" s="1"/>
      <c r="J93" s="1"/>
      <c r="K93" s="1"/>
      <c r="L93" s="1"/>
      <c r="M93" s="1"/>
      <c r="N93" s="1"/>
      <c r="O93" s="6"/>
      <c r="P93" s="85"/>
      <c r="Q93" s="85"/>
      <c r="R93" s="85"/>
      <c r="S93" s="6"/>
      <c r="T93" s="6"/>
      <c r="U93" s="1"/>
      <c r="V93" s="1"/>
      <c r="W93" s="1"/>
    </row>
    <row r="94" spans="1:23" ht="15">
      <c r="A94" s="1"/>
      <c r="B94" s="1"/>
      <c r="C94" s="1"/>
      <c r="D94" s="6"/>
      <c r="E94" s="1"/>
      <c r="F94" s="1"/>
      <c r="G94" s="1"/>
      <c r="H94" s="1"/>
      <c r="I94" s="1"/>
      <c r="J94" s="1"/>
      <c r="K94" s="1"/>
      <c r="L94" s="1"/>
      <c r="M94" s="1"/>
      <c r="N94" s="1"/>
      <c r="O94" s="6"/>
      <c r="P94" s="85"/>
      <c r="Q94" s="85"/>
      <c r="R94" s="85"/>
      <c r="S94" s="6"/>
      <c r="T94" s="6"/>
      <c r="U94" s="1"/>
      <c r="V94" s="1"/>
      <c r="W94" s="1"/>
    </row>
    <row r="95" spans="1:23" ht="15">
      <c r="A95" s="1"/>
      <c r="B95" s="1"/>
      <c r="C95" s="1"/>
      <c r="D95" s="6"/>
      <c r="E95" s="1"/>
      <c r="F95" s="1"/>
      <c r="G95" s="1"/>
      <c r="H95" s="1"/>
      <c r="I95" s="1"/>
      <c r="J95" s="1"/>
      <c r="K95" s="1"/>
      <c r="L95" s="1"/>
      <c r="M95" s="1"/>
      <c r="N95" s="1"/>
      <c r="O95" s="6"/>
      <c r="P95" s="85"/>
      <c r="Q95" s="85"/>
      <c r="R95" s="85"/>
      <c r="S95" s="6"/>
      <c r="T95" s="6"/>
      <c r="U95" s="1"/>
      <c r="V95" s="1"/>
      <c r="W95" s="1"/>
    </row>
    <row r="96" spans="1:23" ht="15">
      <c r="A96" s="1"/>
      <c r="B96" s="1"/>
      <c r="C96" s="1"/>
      <c r="D96" s="6"/>
      <c r="E96" s="1"/>
      <c r="F96" s="1"/>
      <c r="G96" s="1"/>
      <c r="H96" s="1"/>
      <c r="I96" s="1"/>
      <c r="J96" s="1"/>
      <c r="K96" s="1"/>
      <c r="L96" s="1"/>
      <c r="M96" s="1"/>
      <c r="N96" s="1"/>
      <c r="O96" s="6"/>
      <c r="P96" s="85"/>
      <c r="Q96" s="85"/>
      <c r="R96" s="85"/>
      <c r="S96" s="6"/>
      <c r="T96" s="6"/>
      <c r="U96" s="1"/>
      <c r="V96" s="1"/>
      <c r="W96" s="1"/>
    </row>
    <row r="97" spans="1:23" ht="15">
      <c r="A97" s="1"/>
      <c r="B97" s="1"/>
      <c r="C97" s="1"/>
      <c r="D97" s="6"/>
      <c r="E97" s="1"/>
      <c r="F97" s="1"/>
      <c r="G97" s="1"/>
      <c r="H97" s="1"/>
      <c r="I97" s="1"/>
      <c r="J97" s="1"/>
      <c r="K97" s="1"/>
      <c r="L97" s="1"/>
      <c r="M97" s="1"/>
      <c r="N97" s="1"/>
      <c r="O97" s="6"/>
      <c r="P97" s="85"/>
      <c r="Q97" s="85"/>
      <c r="R97" s="85"/>
      <c r="S97" s="6"/>
      <c r="T97" s="6"/>
      <c r="U97" s="1"/>
      <c r="V97" s="1"/>
      <c r="W97" s="1"/>
    </row>
    <row r="98" spans="1:23" ht="15">
      <c r="A98" s="1"/>
      <c r="B98" s="1"/>
      <c r="C98" s="1"/>
      <c r="D98" s="6"/>
      <c r="E98" s="1"/>
      <c r="F98" s="1"/>
      <c r="G98" s="1"/>
      <c r="H98" s="1"/>
      <c r="I98" s="1"/>
      <c r="J98" s="1"/>
      <c r="K98" s="1"/>
      <c r="L98" s="1"/>
      <c r="M98" s="1"/>
      <c r="N98" s="1"/>
      <c r="O98" s="6"/>
      <c r="P98" s="85"/>
      <c r="Q98" s="85"/>
      <c r="R98" s="85"/>
      <c r="S98" s="6"/>
      <c r="T98" s="6"/>
      <c r="U98" s="1"/>
      <c r="V98" s="1"/>
      <c r="W98" s="1"/>
    </row>
    <row r="99" spans="1:23" ht="15">
      <c r="A99" s="1"/>
      <c r="B99" s="1"/>
      <c r="C99" s="1"/>
      <c r="D99" s="6"/>
      <c r="E99" s="1"/>
      <c r="F99" s="1"/>
      <c r="G99" s="1"/>
      <c r="H99" s="1"/>
      <c r="I99" s="1"/>
      <c r="J99" s="1"/>
      <c r="K99" s="1"/>
      <c r="L99" s="1"/>
      <c r="M99" s="1"/>
      <c r="N99" s="1"/>
      <c r="O99" s="6"/>
      <c r="P99" s="85"/>
      <c r="Q99" s="85"/>
      <c r="R99" s="85"/>
      <c r="S99" s="6"/>
      <c r="T99" s="6"/>
      <c r="U99" s="1"/>
      <c r="V99" s="1"/>
      <c r="W99" s="1"/>
    </row>
    <row r="100" spans="1:23" ht="15">
      <c r="A100" s="1"/>
      <c r="B100" s="1"/>
      <c r="C100" s="1"/>
      <c r="D100" s="6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6"/>
      <c r="P100" s="85"/>
      <c r="Q100" s="85"/>
      <c r="R100" s="85"/>
      <c r="S100" s="6"/>
      <c r="T100" s="6"/>
      <c r="U100" s="1"/>
      <c r="V100" s="1"/>
      <c r="W100" s="1"/>
    </row>
  </sheetData>
  <mergeCells count="81">
    <mergeCell ref="B1:N2"/>
    <mergeCell ref="B3:L4"/>
    <mergeCell ref="M3:N3"/>
    <mergeCell ref="C5:D5"/>
    <mergeCell ref="E5:G5"/>
    <mergeCell ref="H5:L5"/>
    <mergeCell ref="B6:B13"/>
    <mergeCell ref="E6:I6"/>
    <mergeCell ref="M6:N6"/>
    <mergeCell ref="E7:I7"/>
    <mergeCell ref="M7:N7"/>
    <mergeCell ref="E8:I8"/>
    <mergeCell ref="M8:N8"/>
    <mergeCell ref="E9:I9"/>
    <mergeCell ref="M9:N9"/>
    <mergeCell ref="E10:I10"/>
    <mergeCell ref="M10:N10"/>
    <mergeCell ref="E11:I11"/>
    <mergeCell ref="M11:N11"/>
    <mergeCell ref="E12:I12"/>
    <mergeCell ref="M12:N12"/>
    <mergeCell ref="E13:I13"/>
    <mergeCell ref="M13:N13"/>
    <mergeCell ref="E14:I14"/>
    <mergeCell ref="M14:N14"/>
    <mergeCell ref="B15:B23"/>
    <mergeCell ref="C15:N23"/>
    <mergeCell ref="C24:D24"/>
    <mergeCell ref="E24:G24"/>
    <mergeCell ref="H24:L24"/>
    <mergeCell ref="M24:N25"/>
    <mergeCell ref="B25:B27"/>
    <mergeCell ref="C25:G26"/>
    <mergeCell ref="H25:K25"/>
    <mergeCell ref="L25:L27"/>
    <mergeCell ref="H26:I26"/>
    <mergeCell ref="J26:K26"/>
    <mergeCell ref="M26:M27"/>
    <mergeCell ref="N26:N27"/>
    <mergeCell ref="S26:T26"/>
    <mergeCell ref="U26:V26"/>
    <mergeCell ref="O27:P27"/>
    <mergeCell ref="Q27:R27"/>
    <mergeCell ref="B28:B43"/>
    <mergeCell ref="O28:O43"/>
    <mergeCell ref="Q28:Q31"/>
    <mergeCell ref="D32:D33"/>
    <mergeCell ref="F32:F33"/>
    <mergeCell ref="Q32:Q33"/>
    <mergeCell ref="Q34:Q37"/>
    <mergeCell ref="D38:D39"/>
    <mergeCell ref="F38:F39"/>
    <mergeCell ref="Q38:Q40"/>
    <mergeCell ref="D41:D43"/>
    <mergeCell ref="F41:F43"/>
    <mergeCell ref="Q41:Q43"/>
    <mergeCell ref="B45:B68"/>
    <mergeCell ref="D45:D49"/>
    <mergeCell ref="F45:F49"/>
    <mergeCell ref="O45:O68"/>
    <mergeCell ref="Q45:Q54"/>
    <mergeCell ref="D50:D54"/>
    <mergeCell ref="F50:F54"/>
    <mergeCell ref="Q55:Q56"/>
    <mergeCell ref="D57:D61"/>
    <mergeCell ref="F57:F61"/>
    <mergeCell ref="Q57:Q68"/>
    <mergeCell ref="D62:D67"/>
    <mergeCell ref="F62:F67"/>
    <mergeCell ref="B70:B82"/>
    <mergeCell ref="D70:D71"/>
    <mergeCell ref="F70:F71"/>
    <mergeCell ref="O70:O82"/>
    <mergeCell ref="Q70:Q76"/>
    <mergeCell ref="D72:D76"/>
    <mergeCell ref="F72:F76"/>
    <mergeCell ref="D77:D79"/>
    <mergeCell ref="F77:F79"/>
    <mergeCell ref="Q77:Q82"/>
    <mergeCell ref="D80:D82"/>
    <mergeCell ref="F80:F82"/>
  </mergeCells>
  <conditionalFormatting sqref="O69:R1048576 O1:R28 P46:R68 O44:R45 P29:R43">
    <cfRule type="duplicateValues" dxfId="0" priority="1"/>
  </conditionalFormatting>
  <conditionalFormatting sqref="E5:E14">
    <cfRule type="cellIs" dxfId="1" operator="equal" priority="9">
      <formula>"RED"</formula>
    </cfRule>
    <cfRule type="cellIs" dxfId="2" operator="equal" priority="10">
      <formula>"BRN"</formula>
    </cfRule>
    <cfRule type="cellIs" dxfId="3" operator="equal" priority="11">
      <formula>"BLK"</formula>
    </cfRule>
    <cfRule type="cellIs" dxfId="4" operator="equal" priority="12">
      <formula>"YEL"</formula>
    </cfRule>
    <cfRule type="cellIs" dxfId="5" operator="equal" priority="13">
      <formula>"PNK"</formula>
    </cfRule>
    <cfRule type="cellIs" dxfId="6" operator="equal" priority="14">
      <formula>"VIO"</formula>
    </cfRule>
    <cfRule type="cellIs" dxfId="7" operator="equal" priority="15">
      <formula>"GRY"</formula>
    </cfRule>
    <cfRule type="cellIs" dxfId="8" operator="equal" priority="16">
      <formula>"GRN"</formula>
    </cfRule>
  </conditionalFormatting>
  <conditionalFormatting sqref="D50">
    <cfRule type="cellIs" dxfId="9" operator="equal" priority="10">
      <formula>"BLU"</formula>
    </cfRule>
  </conditionalFormatting>
  <conditionalFormatting sqref="C29:D32 C33 C34:D43 C46:C54 C55:D56 D57 C57:C61 C62:D62 C63:C67 C68:D72 C73:C76 C77:D77 C78:C82 D80 B83:C83">
    <cfRule type="cellIs" dxfId="10" operator="equal" priority="11">
      <formula>"BLU"</formula>
    </cfRule>
  </conditionalFormatting>
  <conditionalFormatting sqref="B1:N6 C7:N14 B15:N27 B28:D28 B44:D45 B69:B70 B84:N1048576">
    <cfRule type="cellIs" dxfId="11" operator="equal" priority="12">
      <formula>"BLU"</formula>
    </cfRule>
  </conditionalFormatting>
  <pageMargins left="0.7" right="0.7" top="0.75" bottom="0.75" header="0.3" footer="0.3"/>
  <headerFooter scaleWithDoc="1" alignWithMargins="0" differentFirst="0" differentOddEven="0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S88"/>
  <sheetViews>
    <sheetView topLeftCell="A11" showGridLines="0" view="normal" workbookViewId="0">
      <selection pane="topLeft" activeCell="M26" sqref="M26"/>
    </sheetView>
  </sheetViews>
  <sheetFormatPr customHeight="true" defaultRowHeight="17.4"/>
  <cols>
    <col min="1" max="1" width="6.41796875" customWidth="1"/>
    <col min="2" max="2" width="14.140625" customWidth="1"/>
    <col min="3" max="3" width="10.41796875" customWidth="1"/>
    <col min="4" max="4" width="28" customWidth="1"/>
    <col min="5" max="5" width="8.7109375" customWidth="1"/>
    <col min="6" max="6" width="10.41796875" customWidth="1"/>
    <col min="7" max="7" width="12.140625" customWidth="1"/>
    <col min="8" max="8" width="12.84765625" customWidth="1"/>
    <col min="9" max="9" width="15.41796875" customWidth="1"/>
    <col min="10" max="10" width="8.7109375" hidden="1" customWidth="1"/>
    <col min="11" max="11" width="9.7109375" hidden="1" customWidth="1"/>
    <col min="12" max="12" width="18.41796875" customWidth="1"/>
    <col min="13" max="13" width="13.41796875" customWidth="1"/>
    <col min="14" max="16" width="8.7109375" customWidth="1"/>
    <col min="17" max="17" width="13.41796875" customWidth="1"/>
    <col min="18" max="18" width="6.41796875" customWidth="1"/>
    <col min="19" max="19" width="25.140625" customWidth="1"/>
    <col min="20" max="16384" width="8.7109375" customWidth="1"/>
  </cols>
  <sheetData>
    <row r="1" spans="1:19">
      <c r="A1" s="87" t="s">
        <v>182</v>
      </c>
      <c r="B1" s="86"/>
      <c r="C1" s="86"/>
      <c r="D1" s="86"/>
      <c r="E1" s="86"/>
      <c r="F1" s="86"/>
      <c r="G1" s="86"/>
      <c r="H1" s="86"/>
      <c r="I1" s="86"/>
      <c r="J1" s="88"/>
      <c r="K1" s="1"/>
      <c r="L1" s="1"/>
      <c r="M1" s="89"/>
      <c r="N1" s="1"/>
      <c r="O1" s="1"/>
      <c r="P1" s="1"/>
      <c r="Q1" s="1"/>
      <c r="R1" s="1"/>
      <c r="S1" s="1"/>
    </row>
    <row r="2" spans="1:19" ht="15">
      <c r="A2" s="86"/>
      <c r="B2" s="86"/>
      <c r="C2" s="86"/>
      <c r="D2" s="86"/>
      <c r="E2" s="86"/>
      <c r="F2" s="86"/>
      <c r="G2" s="86"/>
      <c r="H2" s="86"/>
      <c r="I2" s="86"/>
      <c r="J2" s="88"/>
      <c r="K2" s="1"/>
      <c r="L2" s="1"/>
      <c r="M2" s="89"/>
      <c r="N2" s="1"/>
      <c r="O2" s="1"/>
      <c r="P2" s="1"/>
      <c r="Q2" s="1"/>
      <c r="R2" s="1"/>
      <c r="S2" s="1"/>
    </row>
    <row r="3" spans="1:19">
      <c r="A3" s="90" t="s">
        <v>12</v>
      </c>
      <c r="B3" s="90" t="s">
        <v>183</v>
      </c>
      <c r="C3" s="90" t="s">
        <v>184</v>
      </c>
      <c r="D3" s="90" t="s">
        <v>185</v>
      </c>
      <c r="E3" s="90" t="s">
        <v>186</v>
      </c>
      <c r="F3" s="90" t="s">
        <v>187</v>
      </c>
      <c r="G3" s="90" t="s">
        <v>188</v>
      </c>
      <c r="H3" s="91" t="s">
        <v>189</v>
      </c>
      <c r="I3" s="90" t="s">
        <v>190</v>
      </c>
      <c r="J3" s="92" t="s">
        <v>191</v>
      </c>
      <c r="K3" s="92" t="s">
        <v>184</v>
      </c>
      <c r="L3" s="92" t="s">
        <v>43</v>
      </c>
      <c r="M3" s="89"/>
      <c r="N3" s="1"/>
      <c r="O3" s="1"/>
      <c r="P3" s="1"/>
      <c r="Q3" s="1"/>
      <c r="R3" s="1"/>
      <c r="S3" s="1"/>
    </row>
    <row r="4" spans="1:19">
      <c r="A4" s="93">
        <f ca="1">ROW(A4)-3</f>
        <v>1</v>
      </c>
      <c r="B4" s="94" t="e">
        <f ca="1">J4</f>
        <v>#N/A</v>
      </c>
      <c r="C4" s="94" t="e">
        <f ca="1">K4</f>
        <v>#N/A</v>
      </c>
      <c r="D4" s="95" t="s">
        <v>192</v>
      </c>
      <c r="E4" s="94" t="s">
        <v>193</v>
      </c>
      <c r="F4" s="94">
        <v>1</v>
      </c>
      <c r="G4" s="96"/>
      <c r="H4" s="98" t="s">
        <v>194</v>
      </c>
      <c r="I4" s="97" t="s">
        <v>195</v>
      </c>
      <c r="J4" s="99" t="e">
        <f>VLOOKUP(D4,'[1]자코드'!$F:$H,2,0)</f>
        <v>#N/A</v>
      </c>
      <c r="K4" s="1" t="e">
        <f>VLOOKUP(D4,'[1]자코드'!$F:$H,3,0)</f>
        <v>#N/A</v>
      </c>
      <c r="L4" s="1" t="str">
        <f>IFERROR(VLOOKUP(D4,'[2]이원화'!$A:$B,2,0),"")</f>
        <v/>
      </c>
      <c r="M4" s="100"/>
      <c r="N4" s="1"/>
      <c r="O4" s="1"/>
      <c r="P4" s="1"/>
      <c r="Q4" s="1"/>
      <c r="R4" s="1"/>
      <c r="S4" s="1"/>
    </row>
    <row r="5" spans="1:19">
      <c r="A5" s="93">
        <f ca="1">ROW(A5)-3</f>
        <v>2</v>
      </c>
      <c r="B5" s="94" t="e">
        <f ca="1">J5</f>
        <v>#N/A</v>
      </c>
      <c r="C5" s="94" t="e">
        <f ca="1">K5</f>
        <v>#N/A</v>
      </c>
      <c r="D5" s="95" t="s">
        <v>196</v>
      </c>
      <c r="E5" s="94" t="s">
        <v>193</v>
      </c>
      <c r="F5" s="94">
        <v>2</v>
      </c>
      <c r="G5" s="96"/>
      <c r="H5" s="98"/>
      <c r="I5" s="97" t="s">
        <v>195</v>
      </c>
      <c r="J5" s="99" t="e">
        <f>VLOOKUP(D5,'[1]자코드'!$F:$H,2,0)</f>
        <v>#N/A</v>
      </c>
      <c r="K5" s="1" t="e">
        <f>VLOOKUP(D5,'[1]자코드'!$F:$H,3,0)</f>
        <v>#N/A</v>
      </c>
      <c r="L5" s="1" t="str">
        <f>IFERROR(VLOOKUP(D5,'[2]이원화'!$A:$B,2,0),"")</f>
        <v/>
      </c>
      <c r="M5" s="100"/>
      <c r="N5" s="1"/>
      <c r="O5" s="1"/>
      <c r="P5" s="1"/>
      <c r="Q5" s="1"/>
      <c r="R5" s="1"/>
      <c r="S5" s="1"/>
    </row>
    <row r="6" spans="1:19">
      <c r="A6" s="93">
        <f ca="1">ROW(A6)-3</f>
        <v>3</v>
      </c>
      <c r="B6" s="94" t="e">
        <f ca="1">J6</f>
        <v>#N/A</v>
      </c>
      <c r="C6" s="94" t="e">
        <f ca="1">K6</f>
        <v>#N/A</v>
      </c>
      <c r="D6" s="95" t="s">
        <v>197</v>
      </c>
      <c r="E6" s="94" t="s">
        <v>193</v>
      </c>
      <c r="F6" s="94">
        <v>1</v>
      </c>
      <c r="G6" s="96"/>
      <c r="H6" s="102" t="s">
        <v>198</v>
      </c>
      <c r="I6" s="97" t="s">
        <v>195</v>
      </c>
      <c r="J6" s="99" t="e">
        <f>VLOOKUP(D6,'[1]자코드'!$F:$H,2,0)</f>
        <v>#N/A</v>
      </c>
      <c r="K6" s="1" t="e">
        <f>VLOOKUP(D6,'[1]자코드'!$F:$H,3,0)</f>
        <v>#N/A</v>
      </c>
      <c r="L6" s="1" t="str">
        <f>IFERROR(VLOOKUP(D6,'[2]이원화'!$A:$B,2,0),"")</f>
        <v/>
      </c>
      <c r="M6" s="100"/>
      <c r="N6" s="1"/>
      <c r="O6" s="1"/>
      <c r="P6" s="1"/>
      <c r="Q6" s="1"/>
      <c r="R6" s="1"/>
      <c r="S6" s="1"/>
    </row>
    <row r="7" spans="1:19">
      <c r="A7" s="93">
        <f ca="1">ROW(A7)-3</f>
        <v>4</v>
      </c>
      <c r="B7" s="94" t="e">
        <f ca="1">J7</f>
        <v>#N/A</v>
      </c>
      <c r="C7" s="94" t="e">
        <f ca="1">K7</f>
        <v>#N/A</v>
      </c>
      <c r="D7" s="95" t="s">
        <v>199</v>
      </c>
      <c r="E7" s="94" t="s">
        <v>193</v>
      </c>
      <c r="F7" s="94">
        <v>1</v>
      </c>
      <c r="G7" s="96"/>
      <c r="H7" s="104"/>
      <c r="I7" s="97" t="s">
        <v>195</v>
      </c>
      <c r="J7" s="99" t="e">
        <f>VLOOKUP(D7,'[1]자코드'!$F:$H,2,0)</f>
        <v>#N/A</v>
      </c>
      <c r="K7" s="1" t="e">
        <f>VLOOKUP(D7,'[1]자코드'!$F:$H,3,0)</f>
        <v>#N/A</v>
      </c>
      <c r="L7" s="1" t="str">
        <f>IFERROR(VLOOKUP(D7,'[2]이원화'!$A:$B,2,0),"")</f>
        <v/>
      </c>
      <c r="M7" s="100"/>
      <c r="N7" s="1"/>
      <c r="O7" s="1"/>
      <c r="P7" s="1"/>
      <c r="Q7" s="1"/>
      <c r="R7" s="1"/>
      <c r="S7" s="1"/>
    </row>
    <row r="8" spans="1:19">
      <c r="A8" s="93">
        <f ca="1">ROW(A8)-3</f>
        <v>5</v>
      </c>
      <c r="B8" s="94" t="e">
        <f ca="1">J8</f>
        <v>#N/A</v>
      </c>
      <c r="C8" s="94" t="e">
        <f ca="1">K8</f>
        <v>#N/A</v>
      </c>
      <c r="D8" s="95" t="s">
        <v>200</v>
      </c>
      <c r="E8" s="94" t="s">
        <v>193</v>
      </c>
      <c r="F8" s="94">
        <v>1</v>
      </c>
      <c r="G8" s="96"/>
      <c r="H8" s="105" t="s">
        <v>201</v>
      </c>
      <c r="I8" s="97" t="s">
        <v>195</v>
      </c>
      <c r="J8" s="99" t="e">
        <f>VLOOKUP(D8,'[1]자코드'!$F:$H,2,0)</f>
        <v>#N/A</v>
      </c>
      <c r="K8" s="1" t="e">
        <f>VLOOKUP(D8,'[1]자코드'!$F:$H,3,0)</f>
        <v>#N/A</v>
      </c>
      <c r="L8" s="1" t="str">
        <f>IFERROR(VLOOKUP(D8,'[2]이원화'!$A:$B,2,0),"")</f>
        <v/>
      </c>
      <c r="M8" s="100"/>
      <c r="N8" s="1"/>
      <c r="O8" s="1"/>
      <c r="P8" s="1"/>
      <c r="Q8" s="1"/>
      <c r="R8" s="1"/>
      <c r="S8" s="1"/>
    </row>
    <row r="9" spans="1:19">
      <c r="A9" s="93">
        <f ca="1">ROW(A9)-3</f>
        <v>6</v>
      </c>
      <c r="B9" s="94" t="e">
        <f ca="1">J9</f>
        <v>#N/A</v>
      </c>
      <c r="C9" s="94" t="e">
        <f ca="1">K9</f>
        <v>#N/A</v>
      </c>
      <c r="D9" s="95" t="s">
        <v>202</v>
      </c>
      <c r="E9" s="94" t="s">
        <v>193</v>
      </c>
      <c r="F9" s="94">
        <v>1</v>
      </c>
      <c r="G9" s="96"/>
      <c r="H9" s="105"/>
      <c r="I9" s="97" t="s">
        <v>195</v>
      </c>
      <c r="J9" s="99" t="e">
        <f>VLOOKUP(D9,'[1]자코드'!$F:$H,2,0)</f>
        <v>#N/A</v>
      </c>
      <c r="K9" s="1" t="e">
        <f>VLOOKUP(D9,'[1]자코드'!$F:$H,3,0)</f>
        <v>#N/A</v>
      </c>
      <c r="L9" s="1" t="str">
        <f>IFERROR(VLOOKUP(D9,'[2]이원화'!$A:$B,2,0),"")</f>
        <v/>
      </c>
      <c r="M9" s="100"/>
      <c r="N9" s="1"/>
      <c r="O9" s="1"/>
      <c r="P9" s="1"/>
      <c r="Q9" s="1"/>
      <c r="R9" s="1"/>
      <c r="S9" s="1"/>
    </row>
    <row r="10" spans="1:19" ht="15">
      <c r="A10" s="93"/>
      <c r="B10" s="94"/>
      <c r="C10" s="94"/>
      <c r="D10" s="95"/>
      <c r="E10" s="94"/>
      <c r="F10" s="94"/>
      <c r="G10" s="96"/>
      <c r="H10" s="98"/>
      <c r="I10" s="106"/>
      <c r="J10" s="99"/>
      <c r="K10" s="1"/>
      <c r="L10" s="1"/>
      <c r="M10" s="100"/>
      <c r="N10" s="1"/>
      <c r="O10" s="1"/>
      <c r="P10" s="1"/>
      <c r="Q10" s="1"/>
      <c r="R10" s="1"/>
      <c r="S10" s="1"/>
    </row>
    <row r="11" spans="1:19">
      <c r="A11" s="93">
        <f ca="1">ROW(A11)-3</f>
        <v>8</v>
      </c>
      <c r="B11" s="94" t="e">
        <f ca="1">J11</f>
        <v>#N/A</v>
      </c>
      <c r="C11" s="94" t="e">
        <f ca="1">K11</f>
        <v>#N/A</v>
      </c>
      <c r="D11" s="95" t="s">
        <v>203</v>
      </c>
      <c r="E11" s="94" t="s">
        <v>193</v>
      </c>
      <c r="F11" s="94">
        <v>1</v>
      </c>
      <c r="G11" s="107"/>
      <c r="H11" s="98" t="s">
        <v>204</v>
      </c>
      <c r="I11" s="97" t="s">
        <v>205</v>
      </c>
      <c r="J11" s="99" t="e">
        <f>VLOOKUP(D11,'[1]자코드'!$F:$H,2,0)</f>
        <v>#N/A</v>
      </c>
      <c r="K11" s="1" t="e">
        <f>VLOOKUP(D11,'[1]자코드'!$F:$H,3,0)</f>
        <v>#N/A</v>
      </c>
      <c r="L11" s="1" t="str">
        <f>IFERROR(VLOOKUP(D11,'[2]이원화'!$A:$B,2,0),"")</f>
        <v/>
      </c>
      <c r="M11" s="100"/>
      <c r="N11" s="1"/>
      <c r="O11" s="1"/>
      <c r="P11" s="1"/>
      <c r="Q11" s="1"/>
      <c r="R11" s="1"/>
      <c r="S11" s="1"/>
    </row>
    <row r="12" spans="1:19">
      <c r="A12" s="93">
        <f ca="1">ROW(A12)-3</f>
        <v>9</v>
      </c>
      <c r="B12" s="94" t="e">
        <f ca="1">J12</f>
        <v>#N/A</v>
      </c>
      <c r="C12" s="94" t="e">
        <f ca="1">K12</f>
        <v>#N/A</v>
      </c>
      <c r="D12" s="95" t="s">
        <v>206</v>
      </c>
      <c r="E12" s="94" t="s">
        <v>193</v>
      </c>
      <c r="F12" s="94">
        <v>2</v>
      </c>
      <c r="G12" s="107"/>
      <c r="H12" s="98"/>
      <c r="I12" s="97" t="s">
        <v>205</v>
      </c>
      <c r="J12" s="99" t="e">
        <f>VLOOKUP(D12,'[1]자코드'!$F:$H,2,0)</f>
        <v>#N/A</v>
      </c>
      <c r="K12" s="1" t="e">
        <f>VLOOKUP(D12,'[1]자코드'!$F:$H,3,0)</f>
        <v>#N/A</v>
      </c>
      <c r="L12" s="1" t="str">
        <f>IFERROR(VLOOKUP(D12,'[2]이원화'!$A:$B,2,0),"")</f>
        <v/>
      </c>
      <c r="M12" s="100"/>
      <c r="N12" s="1"/>
      <c r="O12" s="1"/>
      <c r="P12" s="1"/>
      <c r="Q12" s="1"/>
      <c r="R12" s="1"/>
      <c r="S12" s="1"/>
    </row>
    <row r="13" spans="1:19">
      <c r="A13" s="93">
        <f ca="1">ROW(A13)-3</f>
        <v>10</v>
      </c>
      <c r="B13" s="94" t="s">
        <v>207</v>
      </c>
      <c r="C13" s="94" t="s">
        <v>208</v>
      </c>
      <c r="D13" s="95" t="s">
        <v>209</v>
      </c>
      <c r="E13" s="94" t="s">
        <v>193</v>
      </c>
      <c r="F13" s="94">
        <v>1</v>
      </c>
      <c r="G13" s="96"/>
      <c r="H13" s="98" t="s">
        <v>210</v>
      </c>
      <c r="I13" s="97" t="s">
        <v>205</v>
      </c>
      <c r="J13" s="99" t="e">
        <f>VLOOKUP(D13,'[1]자코드'!$F:$H,2,0)</f>
        <v>#N/A</v>
      </c>
      <c r="K13" s="1" t="e">
        <f>VLOOKUP(D13,'[1]자코드'!$F:$H,3,0)</f>
        <v>#N/A</v>
      </c>
      <c r="L13" s="1" t="str">
        <f>IFERROR(VLOOKUP(D13,'[2]이원화'!$A:$B,2,0),"")</f>
        <v/>
      </c>
      <c r="M13" s="100"/>
      <c r="N13" s="1"/>
      <c r="O13" s="1"/>
      <c r="P13" s="1"/>
      <c r="Q13" s="1"/>
      <c r="R13" s="1"/>
      <c r="S13" s="1"/>
    </row>
    <row r="14" spans="1:19">
      <c r="A14" s="93">
        <f ca="1">ROW(A14)-3</f>
        <v>11</v>
      </c>
      <c r="B14" s="94" t="e">
        <f ca="1">J14</f>
        <v>#N/A</v>
      </c>
      <c r="C14" s="94" t="e">
        <f ca="1">K14</f>
        <v>#N/A</v>
      </c>
      <c r="D14" s="95" t="s">
        <v>211</v>
      </c>
      <c r="E14" s="94" t="s">
        <v>193</v>
      </c>
      <c r="F14" s="94">
        <v>2</v>
      </c>
      <c r="G14" s="96"/>
      <c r="H14" s="98"/>
      <c r="I14" s="97" t="s">
        <v>205</v>
      </c>
      <c r="J14" s="99" t="e">
        <f>VLOOKUP(D14,'[1]자코드'!$F:$H,2,0)</f>
        <v>#N/A</v>
      </c>
      <c r="K14" s="1" t="e">
        <f>VLOOKUP(D14,'[1]자코드'!$F:$H,3,0)</f>
        <v>#N/A</v>
      </c>
      <c r="L14" s="1" t="str">
        <f>IFERROR(VLOOKUP(D14,'[2]이원화'!$A:$B,2,0),"")</f>
        <v/>
      </c>
      <c r="M14" s="100"/>
      <c r="N14" s="1"/>
      <c r="O14" s="1"/>
      <c r="P14" s="1"/>
      <c r="Q14" s="1"/>
      <c r="R14" s="1"/>
      <c r="S14" s="1"/>
    </row>
    <row r="15" spans="1:19">
      <c r="A15" s="93">
        <f ca="1">ROW(A15)-3</f>
        <v>12</v>
      </c>
      <c r="B15" s="94" t="s">
        <v>207</v>
      </c>
      <c r="C15" s="94" t="s">
        <v>212</v>
      </c>
      <c r="D15" s="108" t="s">
        <v>213</v>
      </c>
      <c r="E15" s="94" t="s">
        <v>193</v>
      </c>
      <c r="F15" s="94">
        <v>1</v>
      </c>
      <c r="G15" s="96"/>
      <c r="H15" s="105" t="s">
        <v>214</v>
      </c>
      <c r="I15" s="97" t="s">
        <v>205</v>
      </c>
      <c r="J15" s="99" t="e">
        <f>VLOOKUP(D15,'[1]자코드'!$F:$H,2,0)</f>
        <v>#N/A</v>
      </c>
      <c r="K15" s="1" t="e">
        <f>VLOOKUP(D15,'[1]자코드'!$F:$H,3,0)</f>
        <v>#N/A</v>
      </c>
      <c r="L15" s="1" t="str">
        <f>IFERROR(VLOOKUP(D15,'[2]이원화'!$A:$B,2,0),"")</f>
        <v/>
      </c>
      <c r="M15" s="100"/>
      <c r="N15" s="1"/>
      <c r="O15" s="1"/>
      <c r="P15" s="1"/>
      <c r="Q15" s="1"/>
      <c r="R15" s="1"/>
      <c r="S15" s="1"/>
    </row>
    <row r="16" spans="1:19">
      <c r="A16" s="93">
        <f ca="1">ROW(A16)-3</f>
        <v>13</v>
      </c>
      <c r="B16" s="94" t="e">
        <f ca="1">J16</f>
        <v>#N/A</v>
      </c>
      <c r="C16" s="94" t="e">
        <f ca="1">K16</f>
        <v>#N/A</v>
      </c>
      <c r="D16" s="108" t="s">
        <v>199</v>
      </c>
      <c r="E16" s="94" t="s">
        <v>193</v>
      </c>
      <c r="F16" s="94">
        <v>1</v>
      </c>
      <c r="G16" s="96"/>
      <c r="H16" s="105"/>
      <c r="I16" s="97" t="s">
        <v>205</v>
      </c>
      <c r="J16" s="99" t="e">
        <f>VLOOKUP(D16,'[1]자코드'!$F:$H,2,0)</f>
        <v>#N/A</v>
      </c>
      <c r="K16" s="1" t="e">
        <f>VLOOKUP(D16,'[1]자코드'!$F:$H,3,0)</f>
        <v>#N/A</v>
      </c>
      <c r="L16" s="1" t="str">
        <f>IFERROR(VLOOKUP(D16,'[2]이원화'!$A:$B,2,0),"")</f>
        <v/>
      </c>
      <c r="M16" s="100"/>
      <c r="N16" s="1"/>
      <c r="O16" s="1"/>
      <c r="P16" s="1"/>
      <c r="Q16" s="1"/>
      <c r="R16" s="1"/>
      <c r="S16" s="1"/>
    </row>
    <row r="17" spans="1:19">
      <c r="A17" s="93">
        <f ca="1">ROW(A17)-3</f>
        <v>14</v>
      </c>
      <c r="B17" s="94" t="e">
        <f ca="1">J17</f>
        <v>#N/A</v>
      </c>
      <c r="C17" s="94" t="e">
        <f ca="1">K17</f>
        <v>#N/A</v>
      </c>
      <c r="D17" s="108" t="s">
        <v>215</v>
      </c>
      <c r="E17" s="94" t="s">
        <v>193</v>
      </c>
      <c r="F17" s="94">
        <v>1</v>
      </c>
      <c r="G17" s="96"/>
      <c r="H17" s="101" t="s">
        <v>216</v>
      </c>
      <c r="I17" s="97" t="s">
        <v>205</v>
      </c>
      <c r="J17" s="99" t="e">
        <f>VLOOKUP(D17,'[1]자코드'!$F:$H,2,0)</f>
        <v>#N/A</v>
      </c>
      <c r="K17" s="1" t="e">
        <f>VLOOKUP(D17,'[1]자코드'!$F:$H,3,0)</f>
        <v>#N/A</v>
      </c>
      <c r="L17" s="1" t="str">
        <f>IFERROR(VLOOKUP(D17,'[2]이원화'!$A:$B,2,0),"")</f>
        <v/>
      </c>
      <c r="M17" s="100"/>
      <c r="N17" s="1"/>
      <c r="O17" s="1"/>
      <c r="P17" s="1"/>
      <c r="Q17" s="1"/>
      <c r="R17" s="1"/>
      <c r="S17" s="1"/>
    </row>
    <row r="18" spans="1:19">
      <c r="A18" s="93">
        <f ca="1">ROW(A18)-3</f>
        <v>15</v>
      </c>
      <c r="B18" s="94" t="e">
        <f ca="1">J18</f>
        <v>#N/A</v>
      </c>
      <c r="C18" s="94" t="e">
        <f ca="1">K18</f>
        <v>#N/A</v>
      </c>
      <c r="D18" s="108" t="s">
        <v>217</v>
      </c>
      <c r="E18" s="94" t="s">
        <v>193</v>
      </c>
      <c r="F18" s="94">
        <v>1</v>
      </c>
      <c r="G18" s="96"/>
      <c r="H18" s="103"/>
      <c r="I18" s="97" t="s">
        <v>205</v>
      </c>
      <c r="J18" s="99" t="e">
        <f>VLOOKUP(D18,'[1]자코드'!$F:$H,2,0)</f>
        <v>#N/A</v>
      </c>
      <c r="K18" s="1" t="e">
        <f>VLOOKUP(D18,'[1]자코드'!$F:$H,3,0)</f>
        <v>#N/A</v>
      </c>
      <c r="L18" s="1" t="str">
        <f>IFERROR(VLOOKUP(D18,'[2]이원화'!$A:$B,2,0),"")</f>
        <v/>
      </c>
      <c r="M18" s="100"/>
      <c r="N18" s="1"/>
      <c r="O18" s="1"/>
      <c r="P18" s="1"/>
      <c r="Q18" s="1"/>
      <c r="R18" s="1"/>
      <c r="S18" s="1"/>
    </row>
    <row r="19" spans="1:19" ht="15">
      <c r="A19" s="93"/>
      <c r="B19" s="94"/>
      <c r="C19" s="94"/>
      <c r="D19" s="95"/>
      <c r="E19" s="94"/>
      <c r="F19" s="94"/>
      <c r="G19" s="107"/>
      <c r="H19" s="98"/>
      <c r="I19" s="106"/>
      <c r="J19" s="99"/>
      <c r="K19" s="1"/>
      <c r="L19" s="1"/>
      <c r="M19" s="100"/>
      <c r="N19" s="1"/>
      <c r="O19" s="1"/>
      <c r="P19" s="1"/>
      <c r="Q19" s="1"/>
      <c r="R19" s="1"/>
      <c r="S19" s="1"/>
    </row>
    <row r="20" spans="1:19">
      <c r="A20" s="93">
        <f ca="1">ROW(A20)-3</f>
        <v>17</v>
      </c>
      <c r="B20" s="94" t="e">
        <f ca="1">J20</f>
        <v>#N/A</v>
      </c>
      <c r="C20" s="94" t="e">
        <f ca="1">K20</f>
        <v>#N/A</v>
      </c>
      <c r="D20" s="95" t="s">
        <v>218</v>
      </c>
      <c r="E20" s="94" t="s">
        <v>193</v>
      </c>
      <c r="F20" s="94">
        <v>1</v>
      </c>
      <c r="G20" s="96"/>
      <c r="H20" s="98" t="s">
        <v>219</v>
      </c>
      <c r="I20" s="97" t="s">
        <v>220</v>
      </c>
      <c r="J20" s="99" t="e">
        <f>VLOOKUP(D20,'[1]자코드'!$F:$H,2,0)</f>
        <v>#N/A</v>
      </c>
      <c r="K20" s="1" t="e">
        <f>VLOOKUP(D20,'[1]자코드'!$F:$H,3,0)</f>
        <v>#N/A</v>
      </c>
      <c r="L20" s="1" t="str">
        <f>IFERROR(VLOOKUP(D20,'[2]이원화'!$A:$B,2,0),"")</f>
        <v/>
      </c>
      <c r="M20" s="100"/>
      <c r="N20" s="1"/>
      <c r="O20" s="1"/>
      <c r="P20" s="1"/>
      <c r="Q20" s="1"/>
      <c r="R20" s="1"/>
      <c r="S20" s="1"/>
    </row>
    <row r="21" spans="1:19">
      <c r="A21" s="93">
        <f ca="1">ROW(A21)-3</f>
        <v>18</v>
      </c>
      <c r="B21" s="94" t="e">
        <f ca="1">J21</f>
        <v>#N/A</v>
      </c>
      <c r="C21" s="94" t="e">
        <f ca="1">K21</f>
        <v>#N/A</v>
      </c>
      <c r="D21" s="95" t="s">
        <v>221</v>
      </c>
      <c r="E21" s="94" t="s">
        <v>193</v>
      </c>
      <c r="F21" s="94">
        <v>2</v>
      </c>
      <c r="G21" s="96"/>
      <c r="H21" s="98"/>
      <c r="I21" s="97" t="s">
        <v>220</v>
      </c>
      <c r="J21" s="99" t="e">
        <f>VLOOKUP(D21,'[1]자코드'!$F:$H,2,0)</f>
        <v>#N/A</v>
      </c>
      <c r="K21" s="1" t="e">
        <f>VLOOKUP(D21,'[1]자코드'!$F:$H,3,0)</f>
        <v>#N/A</v>
      </c>
      <c r="L21" s="1" t="str">
        <f>IFERROR(VLOOKUP(D21,'[2]이원화'!$A:$B,2,0),"")</f>
        <v/>
      </c>
      <c r="M21" s="100"/>
      <c r="N21" s="1"/>
      <c r="O21" s="1"/>
      <c r="P21" s="1"/>
      <c r="Q21" s="1"/>
      <c r="R21" s="1"/>
      <c r="S21" s="1"/>
    </row>
    <row r="22" spans="1:19" ht="15">
      <c r="A22" s="93"/>
      <c r="B22" s="94"/>
      <c r="C22" s="94"/>
      <c r="D22" s="95"/>
      <c r="E22" s="94"/>
      <c r="F22" s="94"/>
      <c r="G22" s="94"/>
      <c r="H22" s="109"/>
      <c r="I22" s="97"/>
      <c r="J22" s="99" t="e">
        <f>VLOOKUP(D22,'[1]자코드'!$F:$H,2,0)</f>
        <v>#N/A</v>
      </c>
      <c r="K22" s="1" t="e">
        <f>VLOOKUP(D22,'[1]자코드'!$F:$H,3,0)</f>
        <v>#N/A</v>
      </c>
      <c r="L22" s="1" t="str">
        <f>IFERROR(VLOOKUP(D22,'[2]이원화'!$A:$B,2,0),"")</f>
        <v/>
      </c>
      <c r="M22" s="100"/>
      <c r="N22" s="1"/>
      <c r="O22" s="1"/>
      <c r="P22" s="1"/>
      <c r="Q22" s="1"/>
      <c r="R22" s="1"/>
      <c r="S22" s="1"/>
    </row>
    <row r="23" spans="1:19">
      <c r="A23" s="93">
        <f ca="1">ROW(A23)-3</f>
        <v>20</v>
      </c>
      <c r="B23" s="94" t="e">
        <f ca="1">J23</f>
        <v>#N/A</v>
      </c>
      <c r="C23" s="94" t="e">
        <f ca="1">K23</f>
        <v>#N/A</v>
      </c>
      <c r="D23" s="95" t="s">
        <v>222</v>
      </c>
      <c r="E23" s="94" t="s">
        <v>223</v>
      </c>
      <c r="F23" s="96">
        <v>2.3</v>
      </c>
      <c r="G23" s="96"/>
      <c r="H23" s="109"/>
      <c r="I23" s="97" t="s">
        <v>10</v>
      </c>
      <c r="J23" s="99" t="e">
        <f>VLOOKUP(D23,'[1]자코드'!$F:$H,2,0)</f>
        <v>#N/A</v>
      </c>
      <c r="K23" s="1" t="e">
        <f>VLOOKUP(D23,'[1]자코드'!$F:$H,3,0)</f>
        <v>#N/A</v>
      </c>
      <c r="L23" s="1" t="str">
        <f>IFERROR(VLOOKUP(D23,'[2]이원화'!$A:$B,2,0),"")</f>
        <v/>
      </c>
      <c r="M23" s="100"/>
      <c r="N23" s="1"/>
      <c r="O23" s="1"/>
      <c r="P23" s="1"/>
      <c r="Q23" s="1"/>
      <c r="R23" s="1"/>
      <c r="S23" s="1"/>
    </row>
    <row r="24" spans="1:19">
      <c r="A24" s="93">
        <f ca="1">ROW(A24)-3</f>
        <v>21</v>
      </c>
      <c r="B24" s="94" t="e">
        <f ca="1">J24</f>
        <v>#N/A</v>
      </c>
      <c r="C24" s="94" t="e">
        <f ca="1">K24</f>
        <v>#N/A</v>
      </c>
      <c r="D24" s="95" t="s">
        <v>224</v>
      </c>
      <c r="E24" s="94" t="s">
        <v>193</v>
      </c>
      <c r="F24" s="94">
        <v>1</v>
      </c>
      <c r="G24" s="96"/>
      <c r="H24" s="109"/>
      <c r="I24" s="97" t="s">
        <v>10</v>
      </c>
      <c r="J24" s="99" t="e">
        <f>VLOOKUP(D24,'[1]자코드'!$F:$H,2,0)</f>
        <v>#N/A</v>
      </c>
      <c r="K24" s="1" t="e">
        <f>VLOOKUP(D24,'[1]자코드'!$F:$H,3,0)</f>
        <v>#N/A</v>
      </c>
      <c r="L24" s="1" t="str">
        <f>IFERROR(VLOOKUP(D24,'[2]이원화'!$A:$B,2,0),"")</f>
        <v/>
      </c>
      <c r="M24" s="100"/>
      <c r="N24" s="1"/>
      <c r="O24" s="1"/>
      <c r="P24" s="1"/>
      <c r="Q24" s="1"/>
      <c r="R24" s="1"/>
      <c r="S24" s="1"/>
    </row>
    <row r="25" spans="1:19">
      <c r="A25" s="93">
        <f ca="1">ROW(A25)-3</f>
        <v>22</v>
      </c>
      <c r="B25" s="94" t="s">
        <v>225</v>
      </c>
      <c r="C25" s="94" t="s">
        <v>226</v>
      </c>
      <c r="D25" s="95" t="s">
        <v>227</v>
      </c>
      <c r="E25" s="94" t="s">
        <v>193</v>
      </c>
      <c r="F25" s="94">
        <v>1</v>
      </c>
      <c r="G25" s="96"/>
      <c r="H25" s="109"/>
      <c r="I25" s="97" t="s">
        <v>10</v>
      </c>
      <c r="J25" s="99" t="e">
        <f>VLOOKUP(D25,'[1]자코드'!$F:$H,2,0)</f>
        <v>#N/A</v>
      </c>
      <c r="K25" s="1" t="e">
        <f>VLOOKUP(D25,'[1]자코드'!$F:$H,3,0)</f>
        <v>#N/A</v>
      </c>
      <c r="L25" s="1" t="str">
        <f>IFERROR(VLOOKUP(D25,'[2]이원화'!$A:$B,2,0),"")</f>
        <v/>
      </c>
      <c r="M25" s="100"/>
      <c r="N25" s="1"/>
      <c r="O25" s="1"/>
      <c r="P25" s="1"/>
      <c r="Q25" s="1"/>
      <c r="R25" s="1"/>
      <c r="S25" s="1"/>
    </row>
    <row r="26" spans="1:19">
      <c r="A26" s="93">
        <f ca="1">ROW(A26)-3</f>
        <v>23</v>
      </c>
      <c r="B26" s="94" t="e">
        <f ca="1">J26</f>
        <v>#N/A</v>
      </c>
      <c r="C26" s="94" t="e">
        <f ca="1">K26</f>
        <v>#N/A</v>
      </c>
      <c r="D26" s="108" t="s">
        <v>228</v>
      </c>
      <c r="E26" s="96" t="s">
        <v>223</v>
      </c>
      <c r="F26" s="96">
        <v>0.07</v>
      </c>
      <c r="G26" s="96"/>
      <c r="H26" s="109"/>
      <c r="I26" s="97" t="s">
        <v>10</v>
      </c>
      <c r="J26" s="99" t="e">
        <f>VLOOKUP(D26,'[1]자코드'!$F:$H,2,0)</f>
        <v>#N/A</v>
      </c>
      <c r="K26" s="1" t="e">
        <f>VLOOKUP(D26,'[1]자코드'!$F:$H,3,0)</f>
        <v>#N/A</v>
      </c>
      <c r="L26" s="1" t="str">
        <f>IFERROR(VLOOKUP(D26,'[2]이원화'!$A:$B,2,0),"")</f>
        <v/>
      </c>
      <c r="M26" s="100"/>
      <c r="N26" s="1"/>
      <c r="O26" s="1"/>
      <c r="P26" s="1"/>
      <c r="Q26" s="1"/>
      <c r="R26" s="1"/>
      <c r="S26" s="1"/>
    </row>
    <row r="27" spans="1:19">
      <c r="A27" s="93">
        <f ca="1">ROW(A27)-3</f>
        <v>24</v>
      </c>
      <c r="B27" s="94" t="e">
        <f ca="1">J27</f>
        <v>#N/A</v>
      </c>
      <c r="C27" s="94" t="e">
        <f ca="1">K27</f>
        <v>#N/A</v>
      </c>
      <c r="D27" s="95"/>
      <c r="E27" s="94"/>
      <c r="F27" s="94"/>
      <c r="G27" s="96"/>
      <c r="H27" s="109"/>
      <c r="I27" s="97" t="s">
        <v>10</v>
      </c>
      <c r="J27" s="99" t="e">
        <f>VLOOKUP(D27,'[1]자코드'!$F:$H,2,0)</f>
        <v>#N/A</v>
      </c>
      <c r="K27" s="1" t="e">
        <f>VLOOKUP(D27,'[1]자코드'!$F:$H,3,0)</f>
        <v>#N/A</v>
      </c>
      <c r="L27" s="1" t="str">
        <f>IFERROR(VLOOKUP(D27,'[2]이원화'!$A:$B,2,0),"")</f>
        <v/>
      </c>
      <c r="M27" s="100"/>
      <c r="N27" s="1"/>
      <c r="O27" s="1"/>
      <c r="P27" s="1"/>
      <c r="Q27" s="1"/>
      <c r="R27" s="1"/>
      <c r="S27" s="1"/>
    </row>
    <row r="28" spans="1:19">
      <c r="A28" s="93">
        <f ca="1">ROW(A28)-3</f>
        <v>25</v>
      </c>
      <c r="B28" s="94" t="e">
        <f ca="1">J28</f>
        <v>#N/A</v>
      </c>
      <c r="C28" s="94" t="e">
        <f ca="1">K28</f>
        <v>#N/A</v>
      </c>
      <c r="D28" s="95"/>
      <c r="E28" s="94"/>
      <c r="F28" s="94"/>
      <c r="G28" s="96"/>
      <c r="H28" s="109"/>
      <c r="I28" s="106"/>
      <c r="J28" s="99" t="e">
        <f>VLOOKUP(D28,'[1]자코드'!$F:$H,2,0)</f>
        <v>#N/A</v>
      </c>
      <c r="K28" s="1" t="e">
        <f>VLOOKUP(D28,'[1]자코드'!$F:$H,3,0)</f>
        <v>#N/A</v>
      </c>
      <c r="L28" s="1" t="str">
        <f>IFERROR(VLOOKUP(D28,'[2]이원화'!$A:$B,2,0),"")</f>
        <v/>
      </c>
      <c r="M28" s="100"/>
      <c r="N28" s="1"/>
      <c r="O28" s="1"/>
      <c r="P28" s="1"/>
      <c r="Q28" s="1"/>
      <c r="R28" s="1"/>
      <c r="S28" s="1"/>
    </row>
    <row r="29" spans="1:19">
      <c r="A29" s="93">
        <f ca="1">ROW(A29)-3</f>
        <v>26</v>
      </c>
      <c r="B29" s="94" t="e">
        <f ca="1">J29</f>
        <v>#N/A</v>
      </c>
      <c r="C29" s="94" t="e">
        <f ca="1">K29</f>
        <v>#N/A</v>
      </c>
      <c r="D29" s="95"/>
      <c r="E29" s="94"/>
      <c r="F29" s="94"/>
      <c r="G29" s="96"/>
      <c r="H29" s="109"/>
      <c r="I29" s="106"/>
      <c r="J29" s="99" t="e">
        <f>VLOOKUP(D29,'[1]자코드'!$F:$H,2,0)</f>
        <v>#N/A</v>
      </c>
      <c r="K29" s="1" t="e">
        <f>VLOOKUP(D29,'[1]자코드'!$F:$H,3,0)</f>
        <v>#N/A</v>
      </c>
      <c r="L29" s="1" t="str">
        <f>IFERROR(VLOOKUP(D29,'[2]이원화'!$A:$B,2,0),"")</f>
        <v/>
      </c>
      <c r="M29" s="100"/>
      <c r="N29" s="1"/>
      <c r="O29" s="1"/>
      <c r="P29" s="1"/>
      <c r="Q29" s="1"/>
      <c r="R29" s="1"/>
      <c r="S29" s="1"/>
    </row>
    <row r="30" spans="1:19">
      <c r="A30" s="93">
        <f ca="1">ROW(A30)-3</f>
        <v>27</v>
      </c>
      <c r="B30" s="94" t="e">
        <f ca="1">J30</f>
        <v>#N/A</v>
      </c>
      <c r="C30" s="94" t="e">
        <f ca="1">K30</f>
        <v>#N/A</v>
      </c>
      <c r="D30" s="95"/>
      <c r="E30" s="94"/>
      <c r="F30" s="94"/>
      <c r="G30" s="96"/>
      <c r="H30" s="109"/>
      <c r="I30" s="106"/>
      <c r="J30" s="99" t="e">
        <f>VLOOKUP(D30,'[1]자코드'!$F:$H,2,0)</f>
        <v>#N/A</v>
      </c>
      <c r="K30" s="1" t="e">
        <f>VLOOKUP(D30,'[1]자코드'!$F:$H,3,0)</f>
        <v>#N/A</v>
      </c>
      <c r="L30" s="1" t="str">
        <f>IFERROR(VLOOKUP(D30,'[2]이원화'!$A:$B,2,0),"")</f>
        <v/>
      </c>
      <c r="M30" s="100"/>
      <c r="N30" s="1"/>
      <c r="O30" s="1"/>
      <c r="P30" s="1"/>
      <c r="Q30" s="1"/>
      <c r="R30" s="1"/>
      <c r="S30" s="1"/>
    </row>
    <row r="31" spans="1:19">
      <c r="A31" s="93">
        <f ca="1">ROW(A31)-3</f>
        <v>28</v>
      </c>
      <c r="B31" s="94" t="e">
        <f ca="1">J31</f>
        <v>#N/A</v>
      </c>
      <c r="C31" s="94" t="e">
        <f ca="1">K31</f>
        <v>#N/A</v>
      </c>
      <c r="D31" s="95"/>
      <c r="E31" s="94"/>
      <c r="F31" s="94"/>
      <c r="G31" s="96"/>
      <c r="H31" s="109"/>
      <c r="I31" s="106"/>
      <c r="J31" s="99" t="e">
        <f>VLOOKUP(D31,'[1]자코드'!$F:$H,2,0)</f>
        <v>#N/A</v>
      </c>
      <c r="K31" s="1" t="e">
        <f>VLOOKUP(D31,'[1]자코드'!$F:$H,3,0)</f>
        <v>#N/A</v>
      </c>
      <c r="L31" s="1" t="str">
        <f>IFERROR(VLOOKUP(D31,'[2]이원화'!$A:$B,2,0),"")</f>
        <v/>
      </c>
      <c r="M31" s="100"/>
      <c r="N31" s="1"/>
      <c r="O31" s="1"/>
      <c r="P31" s="1"/>
      <c r="Q31" s="1"/>
      <c r="R31" s="1"/>
      <c r="S31" s="1"/>
    </row>
    <row r="32" spans="1:19">
      <c r="A32" s="93">
        <f ca="1">ROW(A32)-3</f>
        <v>29</v>
      </c>
      <c r="B32" s="94" t="e">
        <f ca="1">J32</f>
        <v>#N/A</v>
      </c>
      <c r="C32" s="94" t="e">
        <f ca="1">K32</f>
        <v>#N/A</v>
      </c>
      <c r="D32" s="95"/>
      <c r="E32" s="94"/>
      <c r="F32" s="94"/>
      <c r="G32" s="96"/>
      <c r="H32" s="109"/>
      <c r="I32" s="106"/>
      <c r="J32" s="99" t="e">
        <f>VLOOKUP(D32,'[1]자코드'!$F:$H,2,0)</f>
        <v>#N/A</v>
      </c>
      <c r="K32" s="1" t="e">
        <f>VLOOKUP(D32,'[1]자코드'!$F:$H,3,0)</f>
        <v>#N/A</v>
      </c>
      <c r="L32" s="1" t="str">
        <f>IFERROR(VLOOKUP(D32,'[2]이원화'!$A:$B,2,0),"")</f>
        <v/>
      </c>
      <c r="M32" s="100"/>
      <c r="N32" s="1"/>
      <c r="O32" s="1"/>
      <c r="P32" s="1"/>
      <c r="Q32" s="1"/>
      <c r="R32" s="1"/>
      <c r="S32" s="1"/>
    </row>
    <row r="33" spans="1:19">
      <c r="A33" s="93">
        <f ca="1">ROW(A33)-3</f>
        <v>30</v>
      </c>
      <c r="B33" s="94" t="e">
        <f ca="1">J33</f>
        <v>#N/A</v>
      </c>
      <c r="C33" s="94" t="e">
        <f ca="1">K33</f>
        <v>#N/A</v>
      </c>
      <c r="D33" s="95"/>
      <c r="E33" s="94"/>
      <c r="F33" s="94"/>
      <c r="G33" s="96"/>
      <c r="H33" s="109"/>
      <c r="I33" s="106"/>
      <c r="J33" s="99" t="e">
        <f>VLOOKUP(D33,'[1]자코드'!$F:$H,2,0)</f>
        <v>#N/A</v>
      </c>
      <c r="K33" s="1" t="e">
        <f>VLOOKUP(D33,'[1]자코드'!$F:$H,3,0)</f>
        <v>#N/A</v>
      </c>
      <c r="L33" s="1" t="str">
        <f>IFERROR(VLOOKUP(D33,'[2]이원화'!$A:$B,2,0),"")</f>
        <v/>
      </c>
      <c r="M33" s="100"/>
      <c r="N33" s="1"/>
      <c r="O33" s="1"/>
      <c r="P33" s="1"/>
      <c r="Q33" s="1"/>
      <c r="R33" s="1"/>
      <c r="S33" s="1"/>
    </row>
    <row r="34" spans="1:19">
      <c r="A34" s="93">
        <f ca="1">ROW(A34)-3</f>
        <v>31</v>
      </c>
      <c r="B34" s="94" t="e">
        <f ca="1">J34</f>
        <v>#N/A</v>
      </c>
      <c r="C34" s="94" t="e">
        <f ca="1">K34</f>
        <v>#N/A</v>
      </c>
      <c r="D34" s="95"/>
      <c r="E34" s="94"/>
      <c r="F34" s="94"/>
      <c r="G34" s="96"/>
      <c r="H34" s="109"/>
      <c r="I34" s="106"/>
      <c r="J34" s="99" t="e">
        <f>VLOOKUP(D34,'[1]자코드'!$F:$H,2,0)</f>
        <v>#N/A</v>
      </c>
      <c r="K34" s="1" t="e">
        <f>VLOOKUP(D34,'[1]자코드'!$F:$H,3,0)</f>
        <v>#N/A</v>
      </c>
      <c r="L34" s="1" t="str">
        <f>IFERROR(VLOOKUP(D34,'[2]이원화'!$A:$B,2,0),"")</f>
        <v/>
      </c>
      <c r="M34" s="100"/>
      <c r="N34" s="1"/>
      <c r="O34" s="1"/>
      <c r="P34" s="1"/>
      <c r="Q34" s="1"/>
      <c r="R34" s="1"/>
      <c r="S34" s="1"/>
    </row>
    <row r="35" spans="1:19">
      <c r="A35" s="93">
        <f ca="1">ROW(A35)-3</f>
        <v>32</v>
      </c>
      <c r="B35" s="94" t="e">
        <f ca="1">J35</f>
        <v>#N/A</v>
      </c>
      <c r="C35" s="94" t="e">
        <f ca="1">K35</f>
        <v>#N/A</v>
      </c>
      <c r="D35" s="95"/>
      <c r="E35" s="94"/>
      <c r="F35" s="94"/>
      <c r="G35" s="96"/>
      <c r="H35" s="109"/>
      <c r="I35" s="106"/>
      <c r="J35" s="99" t="e">
        <f>VLOOKUP(D35,'[1]자코드'!$F:$H,2,0)</f>
        <v>#N/A</v>
      </c>
      <c r="K35" s="1" t="e">
        <f>VLOOKUP(D35,'[1]자코드'!$F:$H,3,0)</f>
        <v>#N/A</v>
      </c>
      <c r="L35" s="1" t="str">
        <f>IFERROR(VLOOKUP(D35,'[2]이원화'!$A:$B,2,0),"")</f>
        <v/>
      </c>
      <c r="M35" s="100"/>
      <c r="N35" s="1"/>
      <c r="O35" s="1"/>
      <c r="P35" s="1"/>
      <c r="Q35" s="1"/>
      <c r="R35" s="1"/>
      <c r="S35" s="1"/>
    </row>
    <row r="36" spans="1:19">
      <c r="A36" s="93">
        <f ca="1">ROW(A36)-3</f>
        <v>33</v>
      </c>
      <c r="B36" s="94" t="e">
        <f ca="1">J36</f>
        <v>#N/A</v>
      </c>
      <c r="C36" s="94" t="e">
        <f ca="1">K36</f>
        <v>#N/A</v>
      </c>
      <c r="D36" s="110"/>
      <c r="E36" s="94"/>
      <c r="F36" s="94"/>
      <c r="G36" s="96"/>
      <c r="H36" s="109"/>
      <c r="I36" s="106"/>
      <c r="J36" s="99" t="e">
        <f>VLOOKUP(D36,'[1]자코드'!$F:$H,2,0)</f>
        <v>#N/A</v>
      </c>
      <c r="K36" s="1" t="e">
        <f>VLOOKUP(D36,'[1]자코드'!$F:$H,3,0)</f>
        <v>#N/A</v>
      </c>
      <c r="L36" s="1" t="str">
        <f>IFERROR(VLOOKUP(D36,'[2]이원화'!$A:$B,2,0),"")</f>
        <v/>
      </c>
      <c r="M36" s="100"/>
      <c r="N36" s="1"/>
      <c r="O36" s="1"/>
      <c r="P36" s="1"/>
      <c r="Q36" s="1"/>
      <c r="R36" s="1"/>
      <c r="S36" s="1"/>
    </row>
    <row r="37" spans="1:19">
      <c r="A37" s="93">
        <f ca="1">ROW(A37)-3</f>
        <v>34</v>
      </c>
      <c r="B37" s="94" t="e">
        <f ca="1">J37</f>
        <v>#N/A</v>
      </c>
      <c r="C37" s="94" t="e">
        <f ca="1">K37</f>
        <v>#N/A</v>
      </c>
      <c r="D37" s="110"/>
      <c r="E37" s="94"/>
      <c r="F37" s="94"/>
      <c r="G37" s="96"/>
      <c r="H37" s="109"/>
      <c r="I37" s="106"/>
      <c r="J37" s="99" t="e">
        <f>VLOOKUP(D37,'[1]자코드'!$F:$H,2,0)</f>
        <v>#N/A</v>
      </c>
      <c r="K37" s="1" t="e">
        <f>VLOOKUP(D37,'[1]자코드'!$F:$H,3,0)</f>
        <v>#N/A</v>
      </c>
      <c r="L37" s="1" t="str">
        <f>IFERROR(VLOOKUP(D37,'[2]이원화'!$A:$B,2,0),"")</f>
        <v/>
      </c>
      <c r="M37" s="100"/>
      <c r="N37" s="1"/>
      <c r="O37" s="1"/>
      <c r="P37" s="1"/>
      <c r="Q37" s="1"/>
      <c r="R37" s="1"/>
      <c r="S37" s="1"/>
    </row>
    <row r="38" spans="1:19">
      <c r="A38" s="93">
        <f ca="1">ROW(A38)-3</f>
        <v>35</v>
      </c>
      <c r="B38" s="94" t="e">
        <f ca="1">J38</f>
        <v>#N/A</v>
      </c>
      <c r="C38" s="94" t="e">
        <f ca="1">K38</f>
        <v>#N/A</v>
      </c>
      <c r="D38" s="110"/>
      <c r="E38" s="94"/>
      <c r="F38" s="94"/>
      <c r="G38" s="96"/>
      <c r="H38" s="109"/>
      <c r="I38" s="97"/>
      <c r="J38" s="99" t="e">
        <f>VLOOKUP(D38,'[1]자코드'!$F:$H,2,0)</f>
        <v>#N/A</v>
      </c>
      <c r="K38" s="1" t="e">
        <f>VLOOKUP(D38,'[1]자코드'!$F:$H,3,0)</f>
        <v>#N/A</v>
      </c>
      <c r="L38" s="1" t="str">
        <f>IFERROR(VLOOKUP(D38,'[2]이원화'!$A:$B,2,0),"")</f>
        <v/>
      </c>
      <c r="M38" s="100"/>
      <c r="N38" s="1"/>
      <c r="O38" s="1"/>
      <c r="P38" s="1"/>
      <c r="Q38" s="1"/>
      <c r="R38" s="1"/>
      <c r="S38" s="1"/>
    </row>
    <row r="39" spans="1:19">
      <c r="A39" s="93">
        <f ca="1">ROW(A39)-3</f>
        <v>36</v>
      </c>
      <c r="B39" s="94" t="e">
        <f ca="1">J39</f>
        <v>#N/A</v>
      </c>
      <c r="C39" s="94" t="e">
        <f ca="1">K39</f>
        <v>#N/A</v>
      </c>
      <c r="D39" s="110"/>
      <c r="E39" s="94"/>
      <c r="F39" s="94"/>
      <c r="G39" s="96"/>
      <c r="H39" s="109"/>
      <c r="I39" s="97"/>
      <c r="J39" s="99" t="e">
        <f>VLOOKUP(D39,'[1]자코드'!$F:$H,2,0)</f>
        <v>#N/A</v>
      </c>
      <c r="K39" s="1" t="e">
        <f>VLOOKUP(D39,'[1]자코드'!$F:$H,3,0)</f>
        <v>#N/A</v>
      </c>
      <c r="L39" s="1" t="str">
        <f>IFERROR(VLOOKUP(D39,'[2]이원화'!$A:$B,2,0),"")</f>
        <v/>
      </c>
      <c r="M39" s="100"/>
      <c r="N39" s="1"/>
      <c r="O39" s="1"/>
      <c r="P39" s="1"/>
      <c r="Q39" s="1"/>
      <c r="R39" s="1"/>
      <c r="S39" s="1"/>
    </row>
    <row r="40" spans="1:19">
      <c r="A40" s="93">
        <f ca="1">ROW(A40)-3</f>
        <v>37</v>
      </c>
      <c r="B40" s="94" t="e">
        <f ca="1">J40</f>
        <v>#N/A</v>
      </c>
      <c r="C40" s="94" t="e">
        <f ca="1">K40</f>
        <v>#N/A</v>
      </c>
      <c r="D40" s="110"/>
      <c r="E40" s="94"/>
      <c r="F40" s="94"/>
      <c r="G40" s="96"/>
      <c r="H40" s="109"/>
      <c r="I40" s="97"/>
      <c r="J40" s="99" t="e">
        <f>VLOOKUP(D40,'[1]자코드'!$F:$H,2,0)</f>
        <v>#N/A</v>
      </c>
      <c r="K40" s="1" t="e">
        <f>VLOOKUP(D40,'[1]자코드'!$F:$H,3,0)</f>
        <v>#N/A</v>
      </c>
      <c r="L40" s="1" t="str">
        <f>IFERROR(VLOOKUP(D40,'[2]이원화'!$A:$B,2,0),"")</f>
        <v/>
      </c>
      <c r="M40" s="100"/>
      <c r="N40" s="1"/>
      <c r="O40" s="1"/>
      <c r="P40" s="1"/>
      <c r="Q40" s="1"/>
      <c r="R40" s="1"/>
      <c r="S40" s="1"/>
    </row>
    <row r="41" spans="1:19">
      <c r="A41" s="93">
        <f ca="1">ROW(A41)-3</f>
        <v>38</v>
      </c>
      <c r="B41" s="94" t="e">
        <f ca="1">J41</f>
        <v>#N/A</v>
      </c>
      <c r="C41" s="94" t="e">
        <f ca="1">K41</f>
        <v>#N/A</v>
      </c>
      <c r="D41" s="110"/>
      <c r="E41" s="94"/>
      <c r="F41" s="94"/>
      <c r="G41" s="96"/>
      <c r="H41" s="109"/>
      <c r="I41" s="97"/>
      <c r="J41" s="99" t="e">
        <f>VLOOKUP(D41,'[1]자코드'!$F:$H,2,0)</f>
        <v>#N/A</v>
      </c>
      <c r="K41" s="1" t="e">
        <f>VLOOKUP(D41,'[1]자코드'!$F:$H,3,0)</f>
        <v>#N/A</v>
      </c>
      <c r="L41" s="1" t="str">
        <f>IFERROR(VLOOKUP(D41,'[2]이원화'!$A:$B,2,0),"")</f>
        <v/>
      </c>
      <c r="M41" s="100"/>
      <c r="N41" s="1"/>
      <c r="O41" s="1"/>
      <c r="P41" s="1"/>
      <c r="Q41" s="1"/>
      <c r="R41" s="1"/>
      <c r="S41" s="1"/>
    </row>
    <row r="42" spans="1:19">
      <c r="A42" s="93">
        <f ca="1">ROW(A42)-3</f>
        <v>39</v>
      </c>
      <c r="B42" s="94" t="e">
        <f ca="1">J42</f>
        <v>#N/A</v>
      </c>
      <c r="C42" s="94" t="e">
        <f ca="1">K42</f>
        <v>#N/A</v>
      </c>
      <c r="D42" s="110"/>
      <c r="E42" s="94"/>
      <c r="F42" s="94"/>
      <c r="G42" s="96"/>
      <c r="H42" s="109"/>
      <c r="I42" s="97"/>
      <c r="J42" s="99" t="e">
        <f>VLOOKUP(D42,'[1]자코드'!$F:$H,2,0)</f>
        <v>#N/A</v>
      </c>
      <c r="K42" s="1" t="e">
        <f>VLOOKUP(D42,'[1]자코드'!$F:$H,3,0)</f>
        <v>#N/A</v>
      </c>
      <c r="L42" s="1" t="str">
        <f>IFERROR(VLOOKUP(D42,'[2]이원화'!$A:$B,2,0),"")</f>
        <v/>
      </c>
      <c r="M42" s="100"/>
      <c r="N42" s="1"/>
      <c r="O42" s="1"/>
      <c r="P42" s="1"/>
      <c r="Q42" s="1"/>
      <c r="R42" s="1"/>
      <c r="S42" s="1"/>
    </row>
    <row r="43" spans="1:19">
      <c r="A43" s="93">
        <f ca="1">ROW(A43)-3</f>
        <v>40</v>
      </c>
      <c r="B43" s="94" t="e">
        <f ca="1">J43</f>
        <v>#N/A</v>
      </c>
      <c r="C43" s="94" t="e">
        <f ca="1">K43</f>
        <v>#N/A</v>
      </c>
      <c r="D43" s="110"/>
      <c r="E43" s="94"/>
      <c r="F43" s="94"/>
      <c r="G43" s="96"/>
      <c r="H43" s="109"/>
      <c r="I43" s="97"/>
      <c r="J43" s="99" t="e">
        <f>VLOOKUP(D43,'[1]자코드'!$F:$H,2,0)</f>
        <v>#N/A</v>
      </c>
      <c r="K43" s="1" t="e">
        <f>VLOOKUP(D43,'[1]자코드'!$F:$H,3,0)</f>
        <v>#N/A</v>
      </c>
      <c r="L43" s="1" t="str">
        <f>IFERROR(VLOOKUP(D43,'[2]이원화'!$A:$B,2,0),"")</f>
        <v/>
      </c>
      <c r="M43" s="100"/>
      <c r="N43" s="1"/>
      <c r="O43" s="1"/>
      <c r="P43" s="1"/>
      <c r="Q43" s="1"/>
      <c r="R43" s="1"/>
      <c r="S43" s="1"/>
    </row>
    <row r="44" spans="1:19">
      <c r="A44" s="93">
        <f ca="1">ROW(A44)-3</f>
        <v>41</v>
      </c>
      <c r="B44" s="94" t="e">
        <f ca="1">J44</f>
        <v>#N/A</v>
      </c>
      <c r="C44" s="94" t="e">
        <f ca="1">K44</f>
        <v>#N/A</v>
      </c>
      <c r="D44" s="110"/>
      <c r="E44" s="94"/>
      <c r="F44" s="94"/>
      <c r="G44" s="96"/>
      <c r="H44" s="109"/>
      <c r="I44" s="97"/>
      <c r="J44" s="99" t="e">
        <f>VLOOKUP(D44,'[1]자코드'!$F:$H,2,0)</f>
        <v>#N/A</v>
      </c>
      <c r="K44" s="1" t="e">
        <f>VLOOKUP(D44,'[1]자코드'!$F:$H,3,0)</f>
        <v>#N/A</v>
      </c>
      <c r="L44" s="1" t="str">
        <f>IFERROR(VLOOKUP(D44,'[2]이원화'!$A:$B,2,0),"")</f>
        <v/>
      </c>
      <c r="M44" s="100"/>
      <c r="N44" s="1"/>
      <c r="O44" s="1"/>
      <c r="P44" s="1"/>
      <c r="Q44" s="1"/>
      <c r="R44" s="1"/>
      <c r="S44" s="1"/>
    </row>
    <row r="45" spans="1:19">
      <c r="A45" s="93">
        <f ca="1">ROW(A45)-3</f>
        <v>42</v>
      </c>
      <c r="B45" s="94" t="e">
        <f ca="1">J45</f>
        <v>#N/A</v>
      </c>
      <c r="C45" s="94" t="e">
        <f ca="1">K45</f>
        <v>#N/A</v>
      </c>
      <c r="D45" s="110"/>
      <c r="E45" s="94"/>
      <c r="F45" s="94"/>
      <c r="G45" s="96"/>
      <c r="H45" s="109"/>
      <c r="I45" s="97"/>
      <c r="J45" s="99" t="e">
        <f>VLOOKUP(D45,'[1]자코드'!$F:$H,2,0)</f>
        <v>#N/A</v>
      </c>
      <c r="K45" s="1" t="e">
        <f>VLOOKUP(D45,'[1]자코드'!$F:$H,3,0)</f>
        <v>#N/A</v>
      </c>
      <c r="L45" s="1" t="str">
        <f>IFERROR(VLOOKUP(D45,'[2]이원화'!$A:$B,2,0),"")</f>
        <v/>
      </c>
      <c r="M45" s="100"/>
      <c r="N45" s="1"/>
      <c r="O45" s="1"/>
      <c r="P45" s="1"/>
      <c r="Q45" s="1"/>
      <c r="R45" s="1"/>
      <c r="S45" s="1"/>
    </row>
    <row r="46" spans="1:19">
      <c r="A46" s="93">
        <f ca="1">ROW(A46)-3</f>
        <v>43</v>
      </c>
      <c r="B46" s="94" t="e">
        <f ca="1">J46</f>
        <v>#N/A</v>
      </c>
      <c r="C46" s="94" t="e">
        <f ca="1">K46</f>
        <v>#N/A</v>
      </c>
      <c r="D46" s="110"/>
      <c r="E46" s="94"/>
      <c r="F46" s="94"/>
      <c r="G46" s="96"/>
      <c r="H46" s="109"/>
      <c r="I46" s="97"/>
      <c r="J46" s="99" t="e">
        <f>VLOOKUP(D46,'[1]자코드'!$F:$H,2,0)</f>
        <v>#N/A</v>
      </c>
      <c r="K46" s="1" t="e">
        <f>VLOOKUP(D46,'[1]자코드'!$F:$H,3,0)</f>
        <v>#N/A</v>
      </c>
      <c r="L46" s="1" t="str">
        <f>IFERROR(VLOOKUP(D46,'[2]이원화'!$A:$B,2,0),"")</f>
        <v/>
      </c>
      <c r="M46" s="100"/>
      <c r="N46" s="1"/>
      <c r="O46" s="1"/>
      <c r="P46" s="1"/>
      <c r="Q46" s="1"/>
      <c r="R46" s="1"/>
      <c r="S46" s="1"/>
    </row>
    <row r="47" spans="1:19">
      <c r="A47" s="93">
        <f ca="1">ROW(A47)-3</f>
        <v>44</v>
      </c>
      <c r="B47" s="94" t="e">
        <f ca="1">J47</f>
        <v>#N/A</v>
      </c>
      <c r="C47" s="94" t="e">
        <f ca="1">K47</f>
        <v>#N/A</v>
      </c>
      <c r="D47" s="110"/>
      <c r="E47" s="94"/>
      <c r="F47" s="94"/>
      <c r="G47" s="96"/>
      <c r="H47" s="109"/>
      <c r="I47" s="97"/>
      <c r="J47" s="99" t="e">
        <f>VLOOKUP(D47,'[1]자코드'!$F:$H,2,0)</f>
        <v>#N/A</v>
      </c>
      <c r="K47" s="1" t="e">
        <f>VLOOKUP(D47,'[1]자코드'!$F:$H,3,0)</f>
        <v>#N/A</v>
      </c>
      <c r="L47" s="1" t="str">
        <f>IFERROR(VLOOKUP(D47,'[2]이원화'!$A:$B,2,0),"")</f>
        <v/>
      </c>
      <c r="M47" s="100"/>
      <c r="N47" s="1"/>
      <c r="O47" s="1"/>
      <c r="P47" s="1"/>
      <c r="Q47" s="1"/>
      <c r="R47" s="1"/>
      <c r="S47" s="1"/>
    </row>
    <row r="48" spans="1:19">
      <c r="A48" s="93">
        <f ca="1">ROW(A48)-3</f>
        <v>45</v>
      </c>
      <c r="B48" s="94" t="e">
        <f ca="1">J48</f>
        <v>#N/A</v>
      </c>
      <c r="C48" s="94" t="e">
        <f ca="1">K48</f>
        <v>#N/A</v>
      </c>
      <c r="D48" s="110"/>
      <c r="E48" s="94"/>
      <c r="F48" s="94"/>
      <c r="G48" s="96"/>
      <c r="H48" s="109"/>
      <c r="I48" s="97"/>
      <c r="J48" s="99" t="e">
        <f>VLOOKUP(D48,'[1]자코드'!$F:$H,2,0)</f>
        <v>#N/A</v>
      </c>
      <c r="K48" s="1" t="e">
        <f>VLOOKUP(D48,'[1]자코드'!$F:$H,3,0)</f>
        <v>#N/A</v>
      </c>
      <c r="L48" s="1" t="str">
        <f>IFERROR(VLOOKUP(D48,'[2]이원화'!$A:$B,2,0),"")</f>
        <v/>
      </c>
      <c r="M48" s="100"/>
      <c r="N48" s="1"/>
      <c r="O48" s="1"/>
      <c r="P48" s="1"/>
      <c r="Q48" s="1"/>
      <c r="R48" s="1"/>
      <c r="S48" s="1"/>
    </row>
    <row r="49" spans="1:19">
      <c r="A49" s="93">
        <f ca="1">ROW(A49)-3</f>
        <v>46</v>
      </c>
      <c r="B49" s="94" t="e">
        <f ca="1">J49</f>
        <v>#N/A</v>
      </c>
      <c r="C49" s="94" t="e">
        <f ca="1">K49</f>
        <v>#N/A</v>
      </c>
      <c r="D49" s="110"/>
      <c r="E49" s="94"/>
      <c r="F49" s="94"/>
      <c r="G49" s="96"/>
      <c r="H49" s="109"/>
      <c r="I49" s="97"/>
      <c r="J49" s="99" t="e">
        <f>VLOOKUP(D49,'[1]자코드'!$F:$H,2,0)</f>
        <v>#N/A</v>
      </c>
      <c r="K49" s="1" t="e">
        <f>VLOOKUP(D49,'[1]자코드'!$F:$H,3,0)</f>
        <v>#N/A</v>
      </c>
      <c r="L49" s="1" t="str">
        <f>IFERROR(VLOOKUP(D49,'[2]이원화'!$A:$B,2,0),"")</f>
        <v/>
      </c>
      <c r="M49" s="100"/>
      <c r="N49" s="1"/>
      <c r="O49" s="1"/>
      <c r="P49" s="1"/>
      <c r="Q49" s="1"/>
      <c r="R49" s="1"/>
      <c r="S49" s="1"/>
    </row>
    <row r="50" spans="1:19">
      <c r="A50" s="93">
        <f ca="1">ROW(A50)-3</f>
        <v>47</v>
      </c>
      <c r="B50" s="94" t="e">
        <f ca="1">J50</f>
        <v>#N/A</v>
      </c>
      <c r="C50" s="94" t="e">
        <f ca="1">K50</f>
        <v>#N/A</v>
      </c>
      <c r="D50" s="110"/>
      <c r="E50" s="94"/>
      <c r="F50" s="94"/>
      <c r="G50" s="96"/>
      <c r="H50" s="109"/>
      <c r="I50" s="97"/>
      <c r="J50" s="99" t="e">
        <f>VLOOKUP(D50,'[1]자코드'!$F:$H,2,0)</f>
        <v>#N/A</v>
      </c>
      <c r="K50" s="1" t="e">
        <f>VLOOKUP(D50,'[1]자코드'!$F:$H,3,0)</f>
        <v>#N/A</v>
      </c>
      <c r="L50" s="1" t="str">
        <f>IFERROR(VLOOKUP(D50,'[2]이원화'!$A:$B,2,0),"")</f>
        <v/>
      </c>
      <c r="M50" s="100"/>
      <c r="N50" s="1"/>
      <c r="O50" s="1"/>
      <c r="P50" s="1"/>
      <c r="Q50" s="1"/>
      <c r="R50" s="1"/>
      <c r="S50" s="1"/>
    </row>
    <row r="51" spans="1:19">
      <c r="A51" s="93">
        <f ca="1">ROW(A51)-3</f>
        <v>48</v>
      </c>
      <c r="B51" s="94" t="e">
        <f ca="1">J51</f>
        <v>#N/A</v>
      </c>
      <c r="C51" s="94" t="e">
        <f ca="1">K51</f>
        <v>#N/A</v>
      </c>
      <c r="D51" s="110"/>
      <c r="E51" s="94"/>
      <c r="F51" s="94"/>
      <c r="G51" s="96"/>
      <c r="H51" s="109"/>
      <c r="I51" s="97"/>
      <c r="J51" s="99" t="e">
        <f>VLOOKUP(D51,'[1]자코드'!$F:$H,2,0)</f>
        <v>#N/A</v>
      </c>
      <c r="K51" s="1" t="e">
        <f>VLOOKUP(D51,'[1]자코드'!$F:$H,3,0)</f>
        <v>#N/A</v>
      </c>
      <c r="L51" s="1" t="str">
        <f>IFERROR(VLOOKUP(D51,'[2]이원화'!$A:$B,2,0),"")</f>
        <v/>
      </c>
      <c r="M51" s="100"/>
      <c r="N51" s="1"/>
      <c r="O51" s="1"/>
      <c r="P51" s="1"/>
      <c r="Q51" s="1"/>
      <c r="R51" s="1"/>
      <c r="S51" s="1"/>
    </row>
    <row r="52" spans="1:19">
      <c r="A52" s="93">
        <f ca="1">ROW(A52)-3</f>
        <v>49</v>
      </c>
      <c r="B52" s="94" t="e">
        <f ca="1">J52</f>
        <v>#N/A</v>
      </c>
      <c r="C52" s="94" t="e">
        <f ca="1">K52</f>
        <v>#N/A</v>
      </c>
      <c r="D52" s="110"/>
      <c r="E52" s="94"/>
      <c r="F52" s="94"/>
      <c r="G52" s="96"/>
      <c r="H52" s="109"/>
      <c r="I52" s="97"/>
      <c r="J52" s="99" t="e">
        <f>VLOOKUP(D52,'[1]자코드'!$F:$H,2,0)</f>
        <v>#N/A</v>
      </c>
      <c r="K52" s="1" t="e">
        <f>VLOOKUP(D52,'[1]자코드'!$F:$H,3,0)</f>
        <v>#N/A</v>
      </c>
      <c r="L52" s="1" t="str">
        <f>IFERROR(VLOOKUP(D52,'[2]이원화'!$A:$B,2,0),"")</f>
        <v/>
      </c>
      <c r="M52" s="100"/>
      <c r="N52" s="1"/>
      <c r="O52" s="1"/>
      <c r="P52" s="1"/>
      <c r="Q52" s="1"/>
      <c r="R52" s="1"/>
      <c r="S52" s="1"/>
    </row>
    <row r="53" spans="1:19">
      <c r="A53" s="93">
        <f ca="1">ROW(A53)-3</f>
        <v>50</v>
      </c>
      <c r="B53" s="94" t="e">
        <f ca="1">J53</f>
        <v>#N/A</v>
      </c>
      <c r="C53" s="94" t="e">
        <f ca="1">K53</f>
        <v>#N/A</v>
      </c>
      <c r="D53" s="110"/>
      <c r="E53" s="94"/>
      <c r="F53" s="94"/>
      <c r="G53" s="96"/>
      <c r="H53" s="109"/>
      <c r="I53" s="97"/>
      <c r="J53" s="99" t="e">
        <f>VLOOKUP(D53,'[1]자코드'!$F:$H,2,0)</f>
        <v>#N/A</v>
      </c>
      <c r="K53" s="1" t="e">
        <f>VLOOKUP(D53,'[1]자코드'!$F:$H,3,0)</f>
        <v>#N/A</v>
      </c>
      <c r="L53" s="1" t="str">
        <f>IFERROR(VLOOKUP(D53,'[2]이원화'!$A:$B,2,0),"")</f>
        <v/>
      </c>
      <c r="M53" s="100"/>
      <c r="N53" s="1"/>
      <c r="O53" s="1"/>
      <c r="P53" s="1"/>
      <c r="Q53" s="1"/>
      <c r="R53" s="1"/>
      <c r="S53" s="1"/>
    </row>
    <row r="54" spans="1:19">
      <c r="A54" s="93">
        <f ca="1">ROW(A54)-3</f>
        <v>51</v>
      </c>
      <c r="B54" s="94" t="e">
        <f ca="1">J54</f>
        <v>#N/A</v>
      </c>
      <c r="C54" s="94" t="e">
        <f ca="1">K54</f>
        <v>#N/A</v>
      </c>
      <c r="D54" s="110"/>
      <c r="E54" s="94"/>
      <c r="F54" s="94"/>
      <c r="G54" s="96"/>
      <c r="H54" s="109"/>
      <c r="I54" s="97"/>
      <c r="J54" s="99" t="e">
        <f>VLOOKUP(D54,'[1]자코드'!$F:$H,2,0)</f>
        <v>#N/A</v>
      </c>
      <c r="K54" s="1" t="e">
        <f>VLOOKUP(D54,'[1]자코드'!$F:$H,3,0)</f>
        <v>#N/A</v>
      </c>
      <c r="L54" s="1" t="str">
        <f>IFERROR(VLOOKUP(D54,'[2]이원화'!$A:$B,2,0),"")</f>
        <v/>
      </c>
      <c r="M54" s="100"/>
      <c r="N54" s="1"/>
      <c r="O54" s="1"/>
      <c r="P54" s="1"/>
      <c r="Q54" s="1"/>
      <c r="R54" s="1"/>
      <c r="S54" s="1"/>
    </row>
    <row r="55" spans="1:19">
      <c r="A55" s="93">
        <f ca="1">ROW(A55)-3</f>
        <v>52</v>
      </c>
      <c r="B55" s="94" t="e">
        <f ca="1">J55</f>
        <v>#N/A</v>
      </c>
      <c r="C55" s="94" t="e">
        <f ca="1">K55</f>
        <v>#N/A</v>
      </c>
      <c r="D55" s="110"/>
      <c r="E55" s="94"/>
      <c r="F55" s="94"/>
      <c r="G55" s="96"/>
      <c r="H55" s="109"/>
      <c r="I55" s="97"/>
      <c r="J55" s="99" t="e">
        <f>VLOOKUP(D55,'[1]자코드'!$F:$H,2,0)</f>
        <v>#N/A</v>
      </c>
      <c r="K55" s="1" t="e">
        <f>VLOOKUP(D55,'[1]자코드'!$F:$H,3,0)</f>
        <v>#N/A</v>
      </c>
      <c r="L55" s="1" t="str">
        <f>IFERROR(VLOOKUP(D55,'[2]이원화'!$A:$B,2,0),"")</f>
        <v/>
      </c>
      <c r="M55" s="100"/>
      <c r="N55" s="1"/>
      <c r="O55" s="1"/>
      <c r="P55" s="1"/>
      <c r="Q55" s="1"/>
      <c r="R55" s="1"/>
      <c r="S55" s="1"/>
    </row>
    <row r="56" spans="1:19">
      <c r="A56" s="93">
        <f ca="1">ROW(A56)-3</f>
        <v>53</v>
      </c>
      <c r="B56" s="94" t="e">
        <f ca="1">J56</f>
        <v>#N/A</v>
      </c>
      <c r="C56" s="94" t="e">
        <f ca="1">K56</f>
        <v>#N/A</v>
      </c>
      <c r="D56" s="110"/>
      <c r="E56" s="94"/>
      <c r="F56" s="94"/>
      <c r="G56" s="96"/>
      <c r="H56" s="109"/>
      <c r="I56" s="97"/>
      <c r="J56" s="99" t="e">
        <f>VLOOKUP(D56,'[1]자코드'!$F:$H,2,0)</f>
        <v>#N/A</v>
      </c>
      <c r="K56" s="1" t="e">
        <f>VLOOKUP(D56,'[1]자코드'!$F:$H,3,0)</f>
        <v>#N/A</v>
      </c>
      <c r="L56" s="1" t="str">
        <f>IFERROR(VLOOKUP(D56,'[2]이원화'!$A:$B,2,0),"")</f>
        <v/>
      </c>
      <c r="M56" s="100"/>
      <c r="N56" s="1"/>
      <c r="O56" s="1"/>
      <c r="P56" s="1"/>
      <c r="Q56" s="1"/>
      <c r="R56" s="1"/>
      <c r="S56" s="1"/>
    </row>
    <row r="57" spans="1:19">
      <c r="A57" s="93">
        <f ca="1">ROW(A57)-3</f>
        <v>54</v>
      </c>
      <c r="B57" s="94" t="e">
        <f ca="1">J57</f>
        <v>#N/A</v>
      </c>
      <c r="C57" s="94" t="e">
        <f ca="1">K57</f>
        <v>#N/A</v>
      </c>
      <c r="D57" s="110"/>
      <c r="E57" s="94"/>
      <c r="F57" s="94"/>
      <c r="G57" s="96"/>
      <c r="H57" s="109"/>
      <c r="I57" s="97"/>
      <c r="J57" s="99" t="e">
        <f>VLOOKUP(D57,'[1]자코드'!$F:$H,2,0)</f>
        <v>#N/A</v>
      </c>
      <c r="K57" s="1" t="e">
        <f>VLOOKUP(D57,'[1]자코드'!$F:$H,3,0)</f>
        <v>#N/A</v>
      </c>
      <c r="L57" s="1" t="str">
        <f>IFERROR(VLOOKUP(D57,'[2]이원화'!$A:$B,2,0),"")</f>
        <v/>
      </c>
      <c r="M57" s="100"/>
      <c r="N57" s="1"/>
      <c r="O57" s="1"/>
      <c r="P57" s="1"/>
      <c r="Q57" s="1"/>
      <c r="R57" s="1"/>
      <c r="S57" s="1"/>
    </row>
    <row r="58" spans="1:19">
      <c r="A58" s="93">
        <f ca="1">ROW(A58)-3</f>
        <v>55</v>
      </c>
      <c r="B58" s="94" t="e">
        <f ca="1">J58</f>
        <v>#N/A</v>
      </c>
      <c r="C58" s="94" t="e">
        <f ca="1">K58</f>
        <v>#N/A</v>
      </c>
      <c r="D58" s="110"/>
      <c r="E58" s="94"/>
      <c r="F58" s="94"/>
      <c r="G58" s="96"/>
      <c r="H58" s="109"/>
      <c r="I58" s="97"/>
      <c r="J58" s="99" t="e">
        <f>VLOOKUP(D58,'[1]자코드'!$F:$H,2,0)</f>
        <v>#N/A</v>
      </c>
      <c r="K58" s="1" t="e">
        <f>VLOOKUP(D58,'[1]자코드'!$F:$H,3,0)</f>
        <v>#N/A</v>
      </c>
      <c r="L58" s="1" t="str">
        <f>IFERROR(VLOOKUP(D58,'[2]이원화'!$A:$B,2,0),"")</f>
        <v/>
      </c>
      <c r="M58" s="100"/>
      <c r="N58" s="1"/>
      <c r="O58" s="1"/>
      <c r="P58" s="1"/>
      <c r="Q58" s="1"/>
      <c r="R58" s="1"/>
      <c r="S58" s="1"/>
    </row>
    <row r="59" spans="1:19">
      <c r="A59" s="93">
        <f ca="1">ROW(A59)-3</f>
        <v>56</v>
      </c>
      <c r="B59" s="94" t="e">
        <f ca="1">J59</f>
        <v>#N/A</v>
      </c>
      <c r="C59" s="94" t="e">
        <f ca="1">K59</f>
        <v>#N/A</v>
      </c>
      <c r="D59" s="110"/>
      <c r="E59" s="94"/>
      <c r="F59" s="94"/>
      <c r="G59" s="96"/>
      <c r="H59" s="109"/>
      <c r="I59" s="97"/>
      <c r="J59" s="99" t="e">
        <f>VLOOKUP(D59,'[1]자코드'!$F:$H,2,0)</f>
        <v>#N/A</v>
      </c>
      <c r="K59" s="1" t="e">
        <f>VLOOKUP(D59,'[1]자코드'!$F:$H,3,0)</f>
        <v>#N/A</v>
      </c>
      <c r="L59" s="1" t="str">
        <f>IFERROR(VLOOKUP(D59,'[2]이원화'!$A:$B,2,0),"")</f>
        <v/>
      </c>
      <c r="M59" s="100"/>
      <c r="N59" s="1"/>
      <c r="O59" s="1"/>
      <c r="P59" s="1"/>
      <c r="Q59" s="1"/>
      <c r="R59" s="1"/>
      <c r="S59" s="1"/>
    </row>
    <row r="60" spans="1:19">
      <c r="A60" s="93">
        <f ca="1">ROW(A60)-3</f>
        <v>57</v>
      </c>
      <c r="B60" s="94" t="e">
        <f ca="1">J60</f>
        <v>#N/A</v>
      </c>
      <c r="C60" s="94" t="e">
        <f ca="1">K60</f>
        <v>#N/A</v>
      </c>
      <c r="D60" s="110"/>
      <c r="E60" s="94"/>
      <c r="F60" s="94"/>
      <c r="G60" s="96"/>
      <c r="H60" s="109"/>
      <c r="I60" s="97"/>
      <c r="J60" s="99" t="e">
        <f>VLOOKUP(D60,'[1]자코드'!$F:$H,2,0)</f>
        <v>#N/A</v>
      </c>
      <c r="K60" s="1" t="e">
        <f>VLOOKUP(D60,'[1]자코드'!$F:$H,3,0)</f>
        <v>#N/A</v>
      </c>
      <c r="L60" s="1" t="str">
        <f>IFERROR(VLOOKUP(D60,'[2]이원화'!$A:$B,2,0),"")</f>
        <v/>
      </c>
      <c r="M60" s="100"/>
      <c r="N60" s="1"/>
      <c r="O60" s="1"/>
      <c r="P60" s="1"/>
      <c r="Q60" s="1"/>
      <c r="R60" s="1"/>
      <c r="S60" s="1"/>
    </row>
    <row r="61" spans="1:19">
      <c r="A61" s="93">
        <f ca="1">ROW(A61)-3</f>
        <v>58</v>
      </c>
      <c r="B61" s="94" t="e">
        <f ca="1">J61</f>
        <v>#N/A</v>
      </c>
      <c r="C61" s="94" t="e">
        <f ca="1">K61</f>
        <v>#N/A</v>
      </c>
      <c r="D61" s="110"/>
      <c r="E61" s="94"/>
      <c r="F61" s="94"/>
      <c r="G61" s="96"/>
      <c r="H61" s="109"/>
      <c r="I61" s="97"/>
      <c r="J61" s="99" t="e">
        <f>VLOOKUP(D61,'[1]자코드'!$F:$H,2,0)</f>
        <v>#N/A</v>
      </c>
      <c r="K61" s="1" t="e">
        <f>VLOOKUP(D61,'[1]자코드'!$F:$H,3,0)</f>
        <v>#N/A</v>
      </c>
      <c r="L61" s="1" t="str">
        <f>IFERROR(VLOOKUP(D61,'[2]이원화'!$A:$B,2,0),"")</f>
        <v/>
      </c>
      <c r="M61" s="100"/>
      <c r="N61" s="1"/>
      <c r="O61" s="1"/>
      <c r="P61" s="1"/>
      <c r="Q61" s="1"/>
      <c r="R61" s="1"/>
      <c r="S61" s="1"/>
    </row>
    <row r="62" spans="1:19">
      <c r="A62" s="93">
        <f ca="1">ROW(A62)-3</f>
        <v>59</v>
      </c>
      <c r="B62" s="94" t="e">
        <f ca="1">J62</f>
        <v>#N/A</v>
      </c>
      <c r="C62" s="94" t="e">
        <f ca="1">K62</f>
        <v>#N/A</v>
      </c>
      <c r="D62" s="110"/>
      <c r="E62" s="94"/>
      <c r="F62" s="94"/>
      <c r="G62" s="96"/>
      <c r="H62" s="109"/>
      <c r="I62" s="97"/>
      <c r="J62" s="99" t="e">
        <f>VLOOKUP(D62,'[1]자코드'!$F:$H,2,0)</f>
        <v>#N/A</v>
      </c>
      <c r="K62" s="1" t="e">
        <f>VLOOKUP(D62,'[1]자코드'!$F:$H,3,0)</f>
        <v>#N/A</v>
      </c>
      <c r="L62" s="1" t="str">
        <f>IFERROR(VLOOKUP(D62,'[2]이원화'!$A:$B,2,0),"")</f>
        <v/>
      </c>
      <c r="M62" s="100"/>
      <c r="N62" s="1"/>
      <c r="O62" s="1"/>
      <c r="P62" s="1"/>
      <c r="Q62" s="1"/>
      <c r="R62" s="1"/>
      <c r="S62" s="1"/>
    </row>
    <row r="63" spans="1:19">
      <c r="A63" s="93">
        <f ca="1">ROW(A63)-3</f>
        <v>60</v>
      </c>
      <c r="B63" s="94" t="e">
        <f ca="1">J63</f>
        <v>#N/A</v>
      </c>
      <c r="C63" s="94" t="e">
        <f ca="1">K63</f>
        <v>#N/A</v>
      </c>
      <c r="D63" s="110"/>
      <c r="E63" s="94"/>
      <c r="F63" s="94"/>
      <c r="G63" s="96"/>
      <c r="H63" s="109"/>
      <c r="I63" s="97"/>
      <c r="J63" s="99" t="e">
        <f>VLOOKUP(D63,'[1]자코드'!$F:$H,2,0)</f>
        <v>#N/A</v>
      </c>
      <c r="K63" s="1" t="e">
        <f>VLOOKUP(D63,'[1]자코드'!$F:$H,3,0)</f>
        <v>#N/A</v>
      </c>
      <c r="L63" s="1" t="str">
        <f>IFERROR(VLOOKUP(D63,'[2]이원화'!$A:$B,2,0),"")</f>
        <v/>
      </c>
      <c r="M63" s="100"/>
      <c r="N63" s="1"/>
      <c r="O63" s="1"/>
      <c r="P63" s="1"/>
      <c r="Q63" s="1"/>
      <c r="R63" s="1"/>
      <c r="S63" s="1"/>
    </row>
    <row r="64" spans="1:19">
      <c r="A64" s="93">
        <f ca="1">ROW(A64)-3</f>
        <v>61</v>
      </c>
      <c r="B64" s="94" t="e">
        <f ca="1">J64</f>
        <v>#N/A</v>
      </c>
      <c r="C64" s="94" t="e">
        <f ca="1">K64</f>
        <v>#N/A</v>
      </c>
      <c r="D64" s="110"/>
      <c r="E64" s="94"/>
      <c r="F64" s="94"/>
      <c r="G64" s="96"/>
      <c r="H64" s="109"/>
      <c r="I64" s="97"/>
      <c r="J64" s="99" t="e">
        <f>VLOOKUP(D64,'[1]자코드'!$F:$H,2,0)</f>
        <v>#N/A</v>
      </c>
      <c r="K64" s="1" t="e">
        <f>VLOOKUP(D64,'[1]자코드'!$F:$H,3,0)</f>
        <v>#N/A</v>
      </c>
      <c r="L64" s="1" t="str">
        <f>IFERROR(VLOOKUP(D64,'[2]이원화'!$A:$B,2,0),"")</f>
        <v/>
      </c>
      <c r="M64" s="100"/>
      <c r="N64" s="1"/>
      <c r="O64" s="1"/>
      <c r="P64" s="1"/>
      <c r="Q64" s="1"/>
      <c r="R64" s="1"/>
      <c r="S64" s="1"/>
    </row>
    <row r="65" spans="1:19">
      <c r="A65" s="93">
        <f ca="1">ROW(A65)-3</f>
        <v>62</v>
      </c>
      <c r="B65" s="94" t="e">
        <f ca="1">J65</f>
        <v>#N/A</v>
      </c>
      <c r="C65" s="94" t="e">
        <f ca="1">K65</f>
        <v>#N/A</v>
      </c>
      <c r="D65" s="110"/>
      <c r="E65" s="94"/>
      <c r="F65" s="94"/>
      <c r="G65" s="96"/>
      <c r="H65" s="109"/>
      <c r="I65" s="97"/>
      <c r="J65" s="99" t="e">
        <f>VLOOKUP(D65,'[1]자코드'!$F:$H,2,0)</f>
        <v>#N/A</v>
      </c>
      <c r="K65" s="1" t="e">
        <f>VLOOKUP(D65,'[1]자코드'!$F:$H,3,0)</f>
        <v>#N/A</v>
      </c>
      <c r="L65" s="1" t="str">
        <f>IFERROR(VLOOKUP(D65,'[2]이원화'!$A:$B,2,0),"")</f>
        <v/>
      </c>
      <c r="M65" s="100"/>
      <c r="N65" s="1"/>
      <c r="O65" s="1"/>
      <c r="P65" s="1"/>
      <c r="Q65" s="1"/>
      <c r="R65" s="1"/>
      <c r="S65" s="1"/>
    </row>
    <row r="66" spans="1:19">
      <c r="A66" s="93">
        <f ca="1">ROW(A66)-3</f>
        <v>63</v>
      </c>
      <c r="B66" s="94" t="e">
        <f ca="1">J66</f>
        <v>#N/A</v>
      </c>
      <c r="C66" s="94" t="e">
        <f ca="1">K66</f>
        <v>#N/A</v>
      </c>
      <c r="D66" s="110"/>
      <c r="E66" s="94"/>
      <c r="F66" s="94"/>
      <c r="G66" s="96"/>
      <c r="H66" s="109"/>
      <c r="I66" s="97"/>
      <c r="J66" s="99" t="e">
        <f>VLOOKUP(D66,'[1]자코드'!$F:$H,2,0)</f>
        <v>#N/A</v>
      </c>
      <c r="K66" s="1" t="e">
        <f>VLOOKUP(D66,'[1]자코드'!$F:$H,3,0)</f>
        <v>#N/A</v>
      </c>
      <c r="L66" s="1" t="str">
        <f>IFERROR(VLOOKUP(D66,'[2]이원화'!$A:$B,2,0),"")</f>
        <v/>
      </c>
      <c r="M66" s="100"/>
      <c r="N66" s="1"/>
      <c r="O66" s="1"/>
      <c r="P66" s="1"/>
      <c r="Q66" s="1"/>
      <c r="R66" s="1"/>
      <c r="S66" s="1"/>
    </row>
    <row r="67" spans="1:19">
      <c r="A67" s="93">
        <f ca="1">ROW(A67)-3</f>
        <v>64</v>
      </c>
      <c r="B67" s="94" t="e">
        <f ca="1">J67</f>
        <v>#N/A</v>
      </c>
      <c r="C67" s="94" t="e">
        <f ca="1">K67</f>
        <v>#N/A</v>
      </c>
      <c r="D67" s="110"/>
      <c r="E67" s="94"/>
      <c r="F67" s="94"/>
      <c r="G67" s="96"/>
      <c r="H67" s="109"/>
      <c r="I67" s="97"/>
      <c r="J67" s="99" t="e">
        <f>VLOOKUP(D67,'[1]자코드'!$F:$H,2,0)</f>
        <v>#N/A</v>
      </c>
      <c r="K67" s="1" t="e">
        <f>VLOOKUP(D67,'[1]자코드'!$F:$H,3,0)</f>
        <v>#N/A</v>
      </c>
      <c r="L67" s="1" t="str">
        <f>IFERROR(VLOOKUP(D67,'[2]이원화'!$A:$B,2,0),"")</f>
        <v/>
      </c>
      <c r="M67" s="100"/>
      <c r="N67" s="1"/>
      <c r="O67" s="1"/>
      <c r="P67" s="1"/>
      <c r="Q67" s="1"/>
      <c r="R67" s="1"/>
      <c r="S67" s="1"/>
    </row>
    <row r="68" spans="1:19">
      <c r="A68" s="93">
        <f ca="1">ROW(A68)-3</f>
        <v>65</v>
      </c>
      <c r="B68" s="94" t="e">
        <f ca="1">J68</f>
        <v>#N/A</v>
      </c>
      <c r="C68" s="94" t="e">
        <f ca="1">K68</f>
        <v>#N/A</v>
      </c>
      <c r="D68" s="110"/>
      <c r="E68" s="94"/>
      <c r="F68" s="94"/>
      <c r="G68" s="96"/>
      <c r="H68" s="109"/>
      <c r="I68" s="97"/>
      <c r="J68" s="99" t="e">
        <f>VLOOKUP(D68,'[1]자코드'!$F:$H,2,0)</f>
        <v>#N/A</v>
      </c>
      <c r="K68" s="1" t="e">
        <f>VLOOKUP(D68,'[1]자코드'!$F:$H,3,0)</f>
        <v>#N/A</v>
      </c>
      <c r="L68" s="1" t="str">
        <f>IFERROR(VLOOKUP(D68,'[2]이원화'!$A:$B,2,0),"")</f>
        <v/>
      </c>
      <c r="M68" s="100"/>
      <c r="N68" s="1"/>
      <c r="O68" s="1"/>
      <c r="P68" s="1"/>
      <c r="Q68" s="1"/>
      <c r="R68" s="1"/>
      <c r="S68" s="1"/>
    </row>
    <row r="69" spans="1:19">
      <c r="A69" s="93">
        <f ca="1">ROW(A69)-3</f>
        <v>66</v>
      </c>
      <c r="B69" s="94" t="e">
        <f ca="1">J69</f>
        <v>#N/A</v>
      </c>
      <c r="C69" s="94" t="e">
        <f ca="1">K69</f>
        <v>#N/A</v>
      </c>
      <c r="D69" s="110"/>
      <c r="E69" s="94"/>
      <c r="F69" s="94"/>
      <c r="G69" s="96"/>
      <c r="H69" s="109"/>
      <c r="I69" s="97"/>
      <c r="J69" s="99" t="e">
        <f>VLOOKUP(D69,'[1]자코드'!$F:$H,2,0)</f>
        <v>#N/A</v>
      </c>
      <c r="K69" s="1" t="e">
        <f>VLOOKUP(D69,'[1]자코드'!$F:$H,3,0)</f>
        <v>#N/A</v>
      </c>
      <c r="L69" s="1" t="str">
        <f>IFERROR(VLOOKUP(D69,'[2]이원화'!$A:$B,2,0),"")</f>
        <v/>
      </c>
      <c r="M69" s="100"/>
      <c r="N69" s="1"/>
      <c r="O69" s="1"/>
      <c r="P69" s="1"/>
      <c r="Q69" s="1"/>
      <c r="R69" s="1"/>
      <c r="S69" s="1"/>
    </row>
    <row r="70" spans="1:19">
      <c r="A70" s="93">
        <f ca="1">ROW(A70)-3</f>
        <v>67</v>
      </c>
      <c r="B70" s="94" t="e">
        <f ca="1">J70</f>
        <v>#N/A</v>
      </c>
      <c r="C70" s="94" t="e">
        <f ca="1">K70</f>
        <v>#N/A</v>
      </c>
      <c r="D70" s="110"/>
      <c r="E70" s="94"/>
      <c r="F70" s="94"/>
      <c r="G70" s="96"/>
      <c r="H70" s="109"/>
      <c r="I70" s="97"/>
      <c r="J70" s="99" t="e">
        <f>VLOOKUP(D70,'[1]자코드'!$F:$H,2,0)</f>
        <v>#N/A</v>
      </c>
      <c r="K70" s="1" t="e">
        <f>VLOOKUP(D70,'[1]자코드'!$F:$H,3,0)</f>
        <v>#N/A</v>
      </c>
      <c r="L70" s="1" t="str">
        <f>IFERROR(VLOOKUP(D70,'[2]이원화'!$A:$B,2,0),"")</f>
        <v/>
      </c>
      <c r="M70" s="100"/>
      <c r="N70" s="1"/>
      <c r="O70" s="1"/>
      <c r="P70" s="1"/>
      <c r="Q70" s="1"/>
      <c r="R70" s="1"/>
      <c r="S70" s="1"/>
    </row>
    <row r="71" spans="1:19">
      <c r="A71" s="93">
        <f ca="1">ROW(A71)-3</f>
        <v>68</v>
      </c>
      <c r="B71" s="94" t="e">
        <f ca="1">J71</f>
        <v>#N/A</v>
      </c>
      <c r="C71" s="94" t="e">
        <f ca="1">K71</f>
        <v>#N/A</v>
      </c>
      <c r="D71" s="110"/>
      <c r="E71" s="94"/>
      <c r="F71" s="94"/>
      <c r="G71" s="96"/>
      <c r="H71" s="109"/>
      <c r="I71" s="97"/>
      <c r="J71" s="99" t="e">
        <f>VLOOKUP(D71,'[1]자코드'!$F:$H,2,0)</f>
        <v>#N/A</v>
      </c>
      <c r="K71" s="1" t="e">
        <f>VLOOKUP(D71,'[1]자코드'!$F:$H,3,0)</f>
        <v>#N/A</v>
      </c>
      <c r="L71" s="1" t="str">
        <f>IFERROR(VLOOKUP(D71,'[2]이원화'!$A:$B,2,0),"")</f>
        <v/>
      </c>
      <c r="M71" s="100"/>
      <c r="N71" s="1"/>
      <c r="O71" s="1"/>
      <c r="P71" s="1"/>
      <c r="Q71" s="1"/>
      <c r="R71" s="1"/>
      <c r="S71" s="1"/>
    </row>
    <row r="72" spans="1:19">
      <c r="A72" s="93">
        <f ca="1">ROW(A72)-3</f>
        <v>69</v>
      </c>
      <c r="B72" s="94" t="e">
        <f ca="1">J72</f>
        <v>#N/A</v>
      </c>
      <c r="C72" s="94" t="e">
        <f ca="1">K72</f>
        <v>#N/A</v>
      </c>
      <c r="D72" s="110"/>
      <c r="E72" s="94"/>
      <c r="F72" s="94"/>
      <c r="G72" s="96"/>
      <c r="H72" s="109"/>
      <c r="I72" s="97"/>
      <c r="J72" s="99" t="e">
        <f>VLOOKUP(D72,'[1]자코드'!$F:$H,2,0)</f>
        <v>#N/A</v>
      </c>
      <c r="K72" s="1" t="e">
        <f>VLOOKUP(D72,'[1]자코드'!$F:$H,3,0)</f>
        <v>#N/A</v>
      </c>
      <c r="L72" s="1" t="str">
        <f>IFERROR(VLOOKUP(D72,'[2]이원화'!$A:$B,2,0),"")</f>
        <v/>
      </c>
      <c r="M72" s="100"/>
      <c r="N72" s="1"/>
      <c r="O72" s="1"/>
      <c r="P72" s="1"/>
      <c r="Q72" s="1"/>
      <c r="R72" s="1"/>
      <c r="S72" s="1"/>
    </row>
    <row r="73" spans="1:19">
      <c r="A73" s="93">
        <f ca="1">ROW(A73)-3</f>
        <v>70</v>
      </c>
      <c r="B73" s="94" t="e">
        <f ca="1">J73</f>
        <v>#N/A</v>
      </c>
      <c r="C73" s="94" t="e">
        <f ca="1">K73</f>
        <v>#N/A</v>
      </c>
      <c r="D73" s="110"/>
      <c r="E73" s="94"/>
      <c r="F73" s="94"/>
      <c r="G73" s="96"/>
      <c r="H73" s="109"/>
      <c r="I73" s="97"/>
      <c r="J73" s="99" t="e">
        <f>VLOOKUP(D73,'[1]자코드'!$F:$H,2,0)</f>
        <v>#N/A</v>
      </c>
      <c r="K73" s="1" t="e">
        <f>VLOOKUP(D73,'[1]자코드'!$F:$H,3,0)</f>
        <v>#N/A</v>
      </c>
      <c r="L73" s="1" t="str">
        <f>IFERROR(VLOOKUP(D73,'[2]이원화'!$A:$B,2,0),"")</f>
        <v/>
      </c>
      <c r="M73" s="100"/>
      <c r="N73" s="1"/>
      <c r="O73" s="1"/>
      <c r="P73" s="1"/>
      <c r="Q73" s="1"/>
      <c r="R73" s="1"/>
      <c r="S73" s="1"/>
    </row>
    <row r="74" spans="1:19">
      <c r="A74" s="93">
        <f ca="1">ROW(A74)-3</f>
        <v>71</v>
      </c>
      <c r="B74" s="94" t="e">
        <f ca="1">J74</f>
        <v>#N/A</v>
      </c>
      <c r="C74" s="94" t="e">
        <f ca="1">K74</f>
        <v>#N/A</v>
      </c>
      <c r="D74" s="110"/>
      <c r="E74" s="94"/>
      <c r="F74" s="94"/>
      <c r="G74" s="96"/>
      <c r="H74" s="109"/>
      <c r="I74" s="97"/>
      <c r="J74" s="99" t="e">
        <f>VLOOKUP(D74,'[1]자코드'!$F:$H,2,0)</f>
        <v>#N/A</v>
      </c>
      <c r="K74" s="1" t="e">
        <f>VLOOKUP(D74,'[1]자코드'!$F:$H,3,0)</f>
        <v>#N/A</v>
      </c>
      <c r="L74" s="1" t="str">
        <f>IFERROR(VLOOKUP(D74,'[2]이원화'!$A:$B,2,0),"")</f>
        <v/>
      </c>
      <c r="M74" s="100"/>
      <c r="N74" s="1"/>
      <c r="O74" s="1"/>
      <c r="P74" s="1"/>
      <c r="Q74" s="1"/>
      <c r="R74" s="1"/>
      <c r="S74" s="1"/>
    </row>
    <row r="75" spans="1:19">
      <c r="A75" s="93">
        <f ca="1">ROW(A75)-3</f>
        <v>72</v>
      </c>
      <c r="B75" s="94" t="e">
        <f ca="1">J75</f>
        <v>#N/A</v>
      </c>
      <c r="C75" s="94" t="e">
        <f ca="1">K75</f>
        <v>#N/A</v>
      </c>
      <c r="D75" s="110"/>
      <c r="E75" s="94"/>
      <c r="F75" s="94"/>
      <c r="G75" s="96"/>
      <c r="H75" s="109"/>
      <c r="I75" s="97"/>
      <c r="J75" s="99" t="e">
        <f>VLOOKUP(D75,'[1]자코드'!$F:$H,2,0)</f>
        <v>#N/A</v>
      </c>
      <c r="K75" s="1" t="e">
        <f>VLOOKUP(D75,'[1]자코드'!$F:$H,3,0)</f>
        <v>#N/A</v>
      </c>
      <c r="L75" s="1" t="str">
        <f>IFERROR(VLOOKUP(D75,'[2]이원화'!$A:$B,2,0),"")</f>
        <v/>
      </c>
      <c r="M75" s="100"/>
      <c r="N75" s="1"/>
      <c r="O75" s="1"/>
      <c r="P75" s="1"/>
      <c r="Q75" s="1"/>
      <c r="R75" s="1"/>
      <c r="S75" s="1"/>
    </row>
    <row r="76" spans="1:19">
      <c r="A76" s="93">
        <f ca="1">ROW(A76)-3</f>
        <v>73</v>
      </c>
      <c r="B76" s="94" t="e">
        <f ca="1">J76</f>
        <v>#N/A</v>
      </c>
      <c r="C76" s="94" t="e">
        <f ca="1">K76</f>
        <v>#N/A</v>
      </c>
      <c r="D76" s="110"/>
      <c r="E76" s="94"/>
      <c r="F76" s="94"/>
      <c r="G76" s="96"/>
      <c r="H76" s="109"/>
      <c r="I76" s="97"/>
      <c r="J76" s="99" t="e">
        <f>VLOOKUP(D76,'[1]자코드'!$F:$H,2,0)</f>
        <v>#N/A</v>
      </c>
      <c r="K76" s="1" t="e">
        <f>VLOOKUP(D76,'[1]자코드'!$F:$H,3,0)</f>
        <v>#N/A</v>
      </c>
      <c r="L76" s="1" t="str">
        <f>IFERROR(VLOOKUP(D76,'[2]이원화'!$A:$B,2,0),"")</f>
        <v/>
      </c>
      <c r="M76" s="100"/>
      <c r="N76" s="1"/>
      <c r="O76" s="1"/>
      <c r="P76" s="1"/>
      <c r="Q76" s="1"/>
      <c r="R76" s="1"/>
      <c r="S76" s="1"/>
    </row>
    <row r="77" spans="1:19">
      <c r="A77" s="93">
        <f ca="1">ROW(A77)-3</f>
        <v>74</v>
      </c>
      <c r="B77" s="94" t="e">
        <f ca="1">J77</f>
        <v>#N/A</v>
      </c>
      <c r="C77" s="94" t="e">
        <f ca="1">K77</f>
        <v>#N/A</v>
      </c>
      <c r="D77" s="110"/>
      <c r="E77" s="94"/>
      <c r="F77" s="94"/>
      <c r="G77" s="96"/>
      <c r="H77" s="109"/>
      <c r="I77" s="97"/>
      <c r="J77" s="99" t="e">
        <f>VLOOKUP(D77,'[1]자코드'!$F:$H,2,0)</f>
        <v>#N/A</v>
      </c>
      <c r="K77" s="1" t="e">
        <f>VLOOKUP(D77,'[1]자코드'!$F:$H,3,0)</f>
        <v>#N/A</v>
      </c>
      <c r="L77" s="1" t="str">
        <f>IFERROR(VLOOKUP(D77,'[2]이원화'!$A:$B,2,0),"")</f>
        <v/>
      </c>
      <c r="M77" s="100"/>
      <c r="N77" s="1"/>
      <c r="O77" s="1"/>
      <c r="P77" s="1"/>
      <c r="Q77" s="1"/>
      <c r="R77" s="1"/>
      <c r="S77" s="1"/>
    </row>
    <row r="78" spans="1:19">
      <c r="A78" s="93">
        <f ca="1">ROW(A78)-3</f>
        <v>75</v>
      </c>
      <c r="B78" s="94" t="e">
        <f ca="1">J78</f>
        <v>#N/A</v>
      </c>
      <c r="C78" s="94" t="e">
        <f ca="1">K78</f>
        <v>#N/A</v>
      </c>
      <c r="D78" s="110"/>
      <c r="E78" s="94"/>
      <c r="F78" s="94"/>
      <c r="G78" s="96"/>
      <c r="H78" s="109"/>
      <c r="I78" s="97"/>
      <c r="J78" s="99" t="e">
        <f>VLOOKUP(D78,'[1]자코드'!$F:$H,2,0)</f>
        <v>#N/A</v>
      </c>
      <c r="K78" s="1" t="e">
        <f>VLOOKUP(D78,'[1]자코드'!$F:$H,3,0)</f>
        <v>#N/A</v>
      </c>
      <c r="L78" s="1" t="str">
        <f>IFERROR(VLOOKUP(D78,'[2]이원화'!$A:$B,2,0),"")</f>
        <v/>
      </c>
      <c r="M78" s="100"/>
      <c r="N78" s="1"/>
      <c r="O78" s="1"/>
      <c r="P78" s="1"/>
      <c r="Q78" s="1"/>
      <c r="R78" s="1"/>
      <c r="S78" s="1"/>
    </row>
    <row r="79" spans="1:19">
      <c r="A79" s="93">
        <f ca="1">ROW(A79)-3</f>
        <v>76</v>
      </c>
      <c r="B79" s="94" t="e">
        <f ca="1">J79</f>
        <v>#N/A</v>
      </c>
      <c r="C79" s="94" t="e">
        <f ca="1">K79</f>
        <v>#N/A</v>
      </c>
      <c r="D79" s="110"/>
      <c r="E79" s="94"/>
      <c r="F79" s="94"/>
      <c r="G79" s="96"/>
      <c r="H79" s="109"/>
      <c r="I79" s="97"/>
      <c r="J79" s="99" t="e">
        <f>VLOOKUP(D79,'[1]자코드'!$F:$H,2,0)</f>
        <v>#N/A</v>
      </c>
      <c r="K79" s="1" t="e">
        <f>VLOOKUP(D79,'[1]자코드'!$F:$H,3,0)</f>
        <v>#N/A</v>
      </c>
      <c r="L79" s="1" t="str">
        <f>IFERROR(VLOOKUP(D79,'[2]이원화'!$A:$B,2,0),"")</f>
        <v/>
      </c>
      <c r="M79" s="100"/>
      <c r="N79" s="1"/>
      <c r="O79" s="1"/>
      <c r="P79" s="1"/>
      <c r="Q79" s="1"/>
      <c r="R79" s="1"/>
      <c r="S79" s="1"/>
    </row>
    <row r="80" spans="1:19">
      <c r="A80" s="93">
        <f ca="1">ROW(A80)-3</f>
        <v>77</v>
      </c>
      <c r="B80" s="94" t="e">
        <f ca="1">J80</f>
        <v>#N/A</v>
      </c>
      <c r="C80" s="94" t="e">
        <f ca="1">K80</f>
        <v>#N/A</v>
      </c>
      <c r="D80" s="110"/>
      <c r="E80" s="94"/>
      <c r="F80" s="94"/>
      <c r="G80" s="96"/>
      <c r="H80" s="109"/>
      <c r="I80" s="97"/>
      <c r="J80" s="99" t="e">
        <f>VLOOKUP(D80,'[1]자코드'!$F:$H,2,0)</f>
        <v>#N/A</v>
      </c>
      <c r="K80" s="1" t="e">
        <f>VLOOKUP(D80,'[1]자코드'!$F:$H,3,0)</f>
        <v>#N/A</v>
      </c>
      <c r="L80" s="1" t="str">
        <f>IFERROR(VLOOKUP(D80,'[2]이원화'!$A:$B,2,0),"")</f>
        <v/>
      </c>
      <c r="M80" s="100"/>
      <c r="N80" s="1"/>
      <c r="O80" s="1"/>
      <c r="P80" s="1"/>
      <c r="Q80" s="1"/>
      <c r="R80" s="1"/>
      <c r="S80" s="1"/>
    </row>
    <row r="81" spans="1:19">
      <c r="A81" s="93">
        <f ca="1">ROW(A81)-3</f>
        <v>78</v>
      </c>
      <c r="B81" s="94" t="e">
        <f ca="1">J81</f>
        <v>#N/A</v>
      </c>
      <c r="C81" s="94" t="e">
        <f ca="1">K81</f>
        <v>#N/A</v>
      </c>
      <c r="D81" s="110"/>
      <c r="E81" s="94"/>
      <c r="F81" s="94"/>
      <c r="G81" s="96"/>
      <c r="H81" s="109"/>
      <c r="I81" s="97"/>
      <c r="J81" s="99" t="e">
        <f>VLOOKUP(D81,'[1]자코드'!$F:$H,2,0)</f>
        <v>#N/A</v>
      </c>
      <c r="K81" s="1" t="e">
        <f>VLOOKUP(D81,'[1]자코드'!$F:$H,3,0)</f>
        <v>#N/A</v>
      </c>
      <c r="L81" s="1" t="str">
        <f>IFERROR(VLOOKUP(D81,'[2]이원화'!$A:$B,2,0),"")</f>
        <v/>
      </c>
      <c r="M81" s="100"/>
      <c r="N81" s="1"/>
      <c r="O81" s="1"/>
      <c r="P81" s="1"/>
      <c r="Q81" s="1"/>
      <c r="R81" s="1"/>
      <c r="S81" s="1"/>
    </row>
    <row r="82" spans="1:19">
      <c r="A82" s="93">
        <f ca="1">ROW(A82)-3</f>
        <v>79</v>
      </c>
      <c r="B82" s="94" t="e">
        <f ca="1">J82</f>
        <v>#N/A</v>
      </c>
      <c r="C82" s="94" t="e">
        <f ca="1">K82</f>
        <v>#N/A</v>
      </c>
      <c r="D82" s="110"/>
      <c r="E82" s="94"/>
      <c r="F82" s="94"/>
      <c r="G82" s="96"/>
      <c r="H82" s="109"/>
      <c r="I82" s="97"/>
      <c r="J82" s="99" t="e">
        <f>VLOOKUP(D82,'[1]자코드'!$F:$H,2,0)</f>
        <v>#N/A</v>
      </c>
      <c r="K82" s="1" t="e">
        <f>VLOOKUP(D82,'[1]자코드'!$F:$H,3,0)</f>
        <v>#N/A</v>
      </c>
      <c r="L82" s="1" t="str">
        <f>IFERROR(VLOOKUP(D82,'[2]이원화'!$A:$B,2,0),"")</f>
        <v/>
      </c>
      <c r="M82" s="100"/>
      <c r="N82" s="1"/>
      <c r="O82" s="1"/>
      <c r="P82" s="1"/>
      <c r="Q82" s="1"/>
      <c r="R82" s="1"/>
      <c r="S82" s="1"/>
    </row>
    <row r="83" spans="1:19">
      <c r="A83" s="93">
        <f ca="1">ROW(A83)-3</f>
        <v>80</v>
      </c>
      <c r="B83" s="94" t="e">
        <f ca="1">J83</f>
        <v>#N/A</v>
      </c>
      <c r="C83" s="94" t="e">
        <f ca="1">K83</f>
        <v>#N/A</v>
      </c>
      <c r="D83" s="110"/>
      <c r="E83" s="94"/>
      <c r="F83" s="94"/>
      <c r="G83" s="96"/>
      <c r="H83" s="109"/>
      <c r="I83" s="97"/>
      <c r="J83" s="99" t="e">
        <f>VLOOKUP(D83,'[1]자코드'!$F:$H,2,0)</f>
        <v>#N/A</v>
      </c>
      <c r="K83" s="1" t="e">
        <f>VLOOKUP(D83,'[1]자코드'!$F:$H,3,0)</f>
        <v>#N/A</v>
      </c>
      <c r="L83" s="1" t="str">
        <f>IFERROR(VLOOKUP(D83,'[2]이원화'!$A:$B,2,0),"")</f>
        <v/>
      </c>
      <c r="M83" s="100"/>
      <c r="N83" s="1"/>
      <c r="O83" s="1"/>
      <c r="P83" s="1"/>
      <c r="Q83" s="1"/>
      <c r="R83" s="1"/>
      <c r="S83" s="1"/>
    </row>
    <row r="84" spans="1:19">
      <c r="A84" s="93">
        <f ca="1">ROW(A84)-3</f>
        <v>81</v>
      </c>
      <c r="B84" s="94" t="e">
        <f ca="1">J84</f>
        <v>#N/A</v>
      </c>
      <c r="C84" s="94" t="e">
        <f ca="1">K84</f>
        <v>#N/A</v>
      </c>
      <c r="D84" s="110"/>
      <c r="E84" s="94"/>
      <c r="F84" s="94"/>
      <c r="G84" s="96"/>
      <c r="H84" s="109"/>
      <c r="I84" s="97"/>
      <c r="J84" s="99" t="e">
        <f>VLOOKUP(D84,'[1]자코드'!$F:$H,2,0)</f>
        <v>#N/A</v>
      </c>
      <c r="K84" s="1" t="e">
        <f>VLOOKUP(D84,'[1]자코드'!$F:$H,3,0)</f>
        <v>#N/A</v>
      </c>
      <c r="L84" s="1" t="str">
        <f>IFERROR(VLOOKUP(D84,'[2]이원화'!$A:$B,2,0),"")</f>
        <v/>
      </c>
      <c r="M84" s="100"/>
      <c r="N84" s="1"/>
      <c r="O84" s="1"/>
      <c r="P84" s="1"/>
      <c r="Q84" s="1"/>
      <c r="R84" s="1"/>
      <c r="S84" s="1"/>
    </row>
    <row r="85" spans="1:19">
      <c r="A85" s="93">
        <f ca="1">ROW(A85)-3</f>
        <v>82</v>
      </c>
      <c r="B85" s="94" t="e">
        <f ca="1">J85</f>
        <v>#N/A</v>
      </c>
      <c r="C85" s="94" t="e">
        <f ca="1">K85</f>
        <v>#N/A</v>
      </c>
      <c r="D85" s="110"/>
      <c r="E85" s="94"/>
      <c r="F85" s="94"/>
      <c r="G85" s="96"/>
      <c r="H85" s="109"/>
      <c r="I85" s="97"/>
      <c r="J85" s="99" t="e">
        <f>VLOOKUP(D85,'[1]자코드'!$F:$H,2,0)</f>
        <v>#N/A</v>
      </c>
      <c r="K85" s="1" t="e">
        <f>VLOOKUP(D85,'[1]자코드'!$F:$H,3,0)</f>
        <v>#N/A</v>
      </c>
      <c r="L85" s="1" t="str">
        <f>IFERROR(VLOOKUP(D85,'[2]이원화'!$A:$B,2,0),"")</f>
        <v/>
      </c>
      <c r="M85" s="100"/>
      <c r="N85" s="1"/>
      <c r="O85" s="1"/>
      <c r="P85" s="1"/>
      <c r="Q85" s="1"/>
      <c r="R85" s="1"/>
      <c r="S85" s="1"/>
    </row>
    <row r="86" spans="1:19">
      <c r="A86" s="93">
        <f ca="1">ROW(A86)-3</f>
        <v>83</v>
      </c>
      <c r="B86" s="94" t="e">
        <f ca="1">J86</f>
        <v>#N/A</v>
      </c>
      <c r="C86" s="94" t="e">
        <f ca="1">K86</f>
        <v>#N/A</v>
      </c>
      <c r="D86" s="110"/>
      <c r="E86" s="94"/>
      <c r="F86" s="94"/>
      <c r="G86" s="96"/>
      <c r="H86" s="109"/>
      <c r="I86" s="97"/>
      <c r="J86" s="99" t="e">
        <f>VLOOKUP(D86,'[1]자코드'!$F:$H,2,0)</f>
        <v>#N/A</v>
      </c>
      <c r="K86" s="1" t="e">
        <f>VLOOKUP(D86,'[1]자코드'!$F:$H,3,0)</f>
        <v>#N/A</v>
      </c>
      <c r="L86" s="1" t="str">
        <f>IFERROR(VLOOKUP(D86,'[2]이원화'!$A:$B,2,0),"")</f>
        <v/>
      </c>
      <c r="M86" s="100"/>
      <c r="N86" s="1"/>
      <c r="O86" s="1"/>
      <c r="P86" s="1"/>
      <c r="Q86" s="1"/>
      <c r="R86" s="1"/>
      <c r="S86" s="1"/>
    </row>
    <row r="87" spans="1:19">
      <c r="A87" s="93">
        <f ca="1">ROW(A87)-3</f>
        <v>84</v>
      </c>
      <c r="B87" s="94" t="e">
        <f ca="1">J87</f>
        <v>#N/A</v>
      </c>
      <c r="C87" s="94" t="e">
        <f ca="1">K87</f>
        <v>#N/A</v>
      </c>
      <c r="D87" s="110"/>
      <c r="E87" s="94"/>
      <c r="F87" s="94"/>
      <c r="G87" s="96"/>
      <c r="H87" s="109"/>
      <c r="I87" s="97"/>
      <c r="J87" s="99" t="e">
        <f>VLOOKUP(D87,'[1]자코드'!$F:$H,2,0)</f>
        <v>#N/A</v>
      </c>
      <c r="K87" s="1" t="e">
        <f>VLOOKUP(D87,'[1]자코드'!$F:$H,3,0)</f>
        <v>#N/A</v>
      </c>
      <c r="L87" s="1" t="str">
        <f>IFERROR(VLOOKUP(D87,'[2]이원화'!$A:$B,2,0),"")</f>
        <v/>
      </c>
      <c r="M87" s="100"/>
      <c r="N87" s="1"/>
      <c r="O87" s="1"/>
      <c r="P87" s="1"/>
      <c r="Q87" s="1"/>
      <c r="R87" s="1"/>
      <c r="S87" s="1"/>
    </row>
    <row r="88" spans="1:19">
      <c r="A88" s="93">
        <f ca="1">ROW(A88)-3</f>
        <v>85</v>
      </c>
      <c r="B88" s="94" t="e">
        <f ca="1">J88</f>
        <v>#N/A</v>
      </c>
      <c r="C88" s="94" t="e">
        <f ca="1">K88</f>
        <v>#N/A</v>
      </c>
      <c r="D88" s="110"/>
      <c r="E88" s="94"/>
      <c r="F88" s="94"/>
      <c r="G88" s="96"/>
      <c r="H88" s="109"/>
      <c r="I88" s="97"/>
      <c r="J88" s="99" t="e">
        <f>VLOOKUP(D88,'[1]자코드'!$F:$H,2,0)</f>
        <v>#N/A</v>
      </c>
      <c r="K88" s="1" t="e">
        <f>VLOOKUP(D88,'[1]자코드'!$F:$H,3,0)</f>
        <v>#N/A</v>
      </c>
      <c r="L88" s="1" t="str">
        <f>IFERROR(VLOOKUP(D88,'[2]이원화'!$A:$B,2,0),"")</f>
        <v/>
      </c>
      <c r="M88" s="100"/>
      <c r="N88" s="1"/>
      <c r="O88" s="1"/>
      <c r="P88" s="1"/>
      <c r="Q88" s="1"/>
      <c r="R88" s="1"/>
      <c r="S88" s="1"/>
    </row>
  </sheetData>
  <autoFilter ref="A3:M21"/>
  <mergeCells count="9">
    <mergeCell ref="A1:I2"/>
    <mergeCell ref="H4:H5"/>
    <mergeCell ref="H6:H7"/>
    <mergeCell ref="H8:H9"/>
    <mergeCell ref="H11:H12"/>
    <mergeCell ref="H13:H14"/>
    <mergeCell ref="H15:H16"/>
    <mergeCell ref="H17:H18"/>
    <mergeCell ref="H20:H21"/>
  </mergeCells>
  <pageMargins left="0.7" right="0.7" top="0.75" bottom="0.75" header="0.3" footer="0.3"/>
  <headerFooter scaleWithDoc="1" alignWithMargins="0" differentFirst="0" differentOddEven="0"/>
  <extLst/>
</worksheet>
</file>

<file path=xl/worksheets/sheet3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C154"/>
  <sheetViews>
    <sheetView topLeftCell="A10" view="normal" workbookViewId="0">
      <selection pane="topLeft" activeCell="E23" sqref="E23"/>
    </sheetView>
  </sheetViews>
  <sheetFormatPr customHeight="true" defaultRowHeight="13.2"/>
  <cols>
    <col min="1" max="1" width="23.5703125" customWidth="1"/>
    <col min="2" max="2" width="16.41796875" customWidth="1"/>
    <col min="3" max="3" width="8" customWidth="1"/>
    <col min="4" max="16384" width="9" customWidth="1"/>
  </cols>
  <sheetData>
    <row r="1" spans="1:3" ht="13.95" customHeight="1">
      <c r="A1" s="111"/>
      <c r="B1" s="111"/>
      <c r="C1" s="111"/>
    </row>
    <row r="2" spans="1:3" ht="22.2" customHeight="1" thickBot="1">
      <c r="A2" s="112" t="s">
        <v>229</v>
      </c>
      <c r="B2" s="113" t="s">
        <v>230</v>
      </c>
      <c r="C2" s="114" t="s">
        <v>231</v>
      </c>
    </row>
    <row r="3" spans="1:3">
      <c r="A3" s="115" t="s">
        <v>232</v>
      </c>
      <c r="B3" s="116">
        <v>2.2</v>
      </c>
      <c r="C3" s="117">
        <v>2.2</v>
      </c>
    </row>
    <row r="4" spans="1:3">
      <c r="A4" s="118" t="s">
        <v>233</v>
      </c>
      <c r="B4" s="119">
        <v>4.75</v>
      </c>
      <c r="C4" s="120">
        <v>4.75</v>
      </c>
    </row>
    <row r="5" spans="1:3">
      <c r="A5" s="118" t="s">
        <v>234</v>
      </c>
      <c r="B5" s="119" t="s">
        <v>235</v>
      </c>
      <c r="C5" s="120">
        <v>1.5</v>
      </c>
    </row>
    <row r="6" spans="1:3">
      <c r="A6" s="121" t="s">
        <v>236</v>
      </c>
      <c r="B6" s="122" t="s">
        <v>237</v>
      </c>
      <c r="C6" s="120">
        <v>1.9</v>
      </c>
    </row>
    <row r="7" spans="1:3">
      <c r="A7" s="123" t="s">
        <v>238</v>
      </c>
      <c r="B7" s="122"/>
      <c r="C7" s="124" t="s">
        <v>239</v>
      </c>
    </row>
    <row r="8" spans="1:3" ht="15">
      <c r="A8" s="121"/>
      <c r="B8" s="122"/>
      <c r="C8" s="120"/>
    </row>
    <row r="9" spans="1:3" ht="15">
      <c r="A9" s="121"/>
      <c r="B9" s="122"/>
      <c r="C9" s="120"/>
    </row>
    <row r="10" spans="1:3" ht="15">
      <c r="A10" s="121"/>
      <c r="B10" s="122"/>
      <c r="C10" s="120"/>
    </row>
    <row r="11" spans="1:3" ht="15">
      <c r="A11" s="121"/>
      <c r="B11" s="122"/>
      <c r="C11" s="120"/>
    </row>
    <row r="12" spans="1:3" ht="15">
      <c r="A12" s="121"/>
      <c r="B12" s="122"/>
      <c r="C12" s="120"/>
    </row>
    <row r="13" spans="1:3" ht="15">
      <c r="A13" s="121"/>
      <c r="B13" s="122"/>
      <c r="C13" s="120"/>
    </row>
    <row r="14" spans="1:3" ht="15">
      <c r="A14" s="121"/>
      <c r="B14" s="122"/>
      <c r="C14" s="120"/>
    </row>
    <row r="15" spans="1:3" ht="15">
      <c r="A15" s="121"/>
      <c r="B15" s="122"/>
      <c r="C15" s="120"/>
    </row>
    <row r="16" spans="1:3" ht="15">
      <c r="A16" s="121"/>
      <c r="B16" s="122"/>
      <c r="C16" s="120"/>
    </row>
    <row r="17" spans="1:3" ht="15">
      <c r="A17" s="121"/>
      <c r="B17" s="122"/>
      <c r="C17" s="120"/>
    </row>
    <row r="18" spans="1:3" ht="15">
      <c r="A18" s="121"/>
      <c r="B18" s="122"/>
      <c r="C18" s="120"/>
    </row>
    <row r="19" spans="1:3" ht="15">
      <c r="A19" s="121"/>
      <c r="B19" s="122"/>
      <c r="C19" s="120"/>
    </row>
    <row r="20" spans="1:3" ht="15">
      <c r="A20" s="121"/>
      <c r="B20" s="122"/>
      <c r="C20" s="120"/>
    </row>
    <row r="21" spans="1:3" ht="15">
      <c r="A21" s="121"/>
      <c r="B21" s="122"/>
      <c r="C21" s="120"/>
    </row>
    <row r="22" spans="1:3" ht="15">
      <c r="A22" s="121"/>
      <c r="B22" s="122"/>
      <c r="C22" s="120"/>
    </row>
    <row r="23" spans="1:3" ht="15">
      <c r="A23" s="121"/>
      <c r="B23" s="122"/>
      <c r="C23" s="120"/>
    </row>
    <row r="24" spans="1:3" ht="15">
      <c r="A24" s="121"/>
      <c r="B24" s="122"/>
      <c r="C24" s="120"/>
    </row>
    <row r="25" spans="1:3">
      <c r="A25" s="121" t="s">
        <v>240</v>
      </c>
      <c r="B25" s="122" t="s">
        <v>237</v>
      </c>
      <c r="C25" s="120">
        <v>1.9</v>
      </c>
    </row>
    <row r="26" spans="1:3">
      <c r="A26" s="118" t="s">
        <v>241</v>
      </c>
      <c r="B26" s="119" t="s">
        <v>242</v>
      </c>
      <c r="C26" s="120">
        <v>2</v>
      </c>
    </row>
    <row r="27" spans="1:3">
      <c r="A27" s="118" t="s">
        <v>55</v>
      </c>
      <c r="B27" s="119" t="s">
        <v>243</v>
      </c>
      <c r="C27" s="120">
        <v>1.9</v>
      </c>
    </row>
    <row r="28" spans="1:3">
      <c r="A28" s="125" t="s">
        <v>124</v>
      </c>
      <c r="B28" s="119" t="s">
        <v>243</v>
      </c>
      <c r="C28" s="120">
        <v>1.9</v>
      </c>
    </row>
    <row r="29" spans="1:3">
      <c r="A29" s="125" t="s">
        <v>54</v>
      </c>
      <c r="B29" s="119" t="s">
        <v>243</v>
      </c>
      <c r="C29" s="120">
        <v>2.5</v>
      </c>
    </row>
    <row r="30" spans="1:3">
      <c r="A30" s="118" t="s">
        <v>244</v>
      </c>
      <c r="B30" s="119" t="s">
        <v>245</v>
      </c>
      <c r="C30" s="120">
        <v>2</v>
      </c>
    </row>
    <row r="31" spans="1:3">
      <c r="A31" s="118" t="s">
        <v>246</v>
      </c>
      <c r="B31" s="119" t="s">
        <v>245</v>
      </c>
      <c r="C31" s="120">
        <v>2</v>
      </c>
    </row>
    <row r="32" spans="1:3">
      <c r="A32" s="121" t="s">
        <v>247</v>
      </c>
      <c r="B32" s="122" t="s">
        <v>248</v>
      </c>
      <c r="C32" s="126">
        <v>2</v>
      </c>
    </row>
    <row r="33" spans="1:3">
      <c r="A33" s="118" t="s">
        <v>249</v>
      </c>
      <c r="B33" s="119" t="s">
        <v>250</v>
      </c>
      <c r="C33" s="120">
        <v>2</v>
      </c>
    </row>
    <row r="34" spans="1:3">
      <c r="A34" s="118" t="s">
        <v>251</v>
      </c>
      <c r="B34" s="119" t="s">
        <v>250</v>
      </c>
      <c r="C34" s="120">
        <v>2</v>
      </c>
    </row>
    <row r="35" spans="1:3">
      <c r="A35" s="125" t="s">
        <v>252</v>
      </c>
      <c r="B35" s="122" t="s">
        <v>253</v>
      </c>
      <c r="C35" s="126">
        <v>2.7</v>
      </c>
    </row>
    <row r="36" spans="1:3">
      <c r="A36" s="118" t="s">
        <v>254</v>
      </c>
      <c r="B36" s="119" t="s">
        <v>255</v>
      </c>
      <c r="C36" s="120">
        <v>2.5</v>
      </c>
    </row>
    <row r="37" spans="1:3">
      <c r="A37" s="118" t="s">
        <v>256</v>
      </c>
      <c r="B37" s="119" t="s">
        <v>257</v>
      </c>
      <c r="C37" s="120">
        <v>2.5</v>
      </c>
    </row>
    <row r="38" spans="1:3">
      <c r="A38" s="118" t="s">
        <v>258</v>
      </c>
      <c r="B38" s="119" t="s">
        <v>257</v>
      </c>
      <c r="C38" s="120">
        <v>2.5</v>
      </c>
    </row>
    <row r="39" spans="1:3">
      <c r="A39" s="125" t="s">
        <v>259</v>
      </c>
      <c r="B39" s="119" t="s">
        <v>260</v>
      </c>
      <c r="C39" s="120">
        <v>2.7</v>
      </c>
    </row>
    <row r="40" spans="1:3">
      <c r="A40" s="125" t="s">
        <v>261</v>
      </c>
      <c r="B40" s="119" t="s">
        <v>262</v>
      </c>
      <c r="C40" s="120">
        <v>3</v>
      </c>
    </row>
    <row r="41" spans="1:3">
      <c r="A41" s="125" t="s">
        <v>263</v>
      </c>
      <c r="B41" s="119" t="s">
        <v>262</v>
      </c>
      <c r="C41" s="120">
        <v>3</v>
      </c>
    </row>
    <row r="42" spans="1:3">
      <c r="A42" s="125" t="s">
        <v>264</v>
      </c>
      <c r="B42" s="119" t="s">
        <v>262</v>
      </c>
      <c r="C42" s="120">
        <v>3</v>
      </c>
    </row>
    <row r="43" spans="1:3">
      <c r="A43" s="125" t="s">
        <v>265</v>
      </c>
      <c r="B43" s="119" t="s">
        <v>262</v>
      </c>
      <c r="C43" s="120">
        <v>3</v>
      </c>
    </row>
    <row r="44" spans="1:3">
      <c r="A44" s="125" t="s">
        <v>266</v>
      </c>
      <c r="B44" s="119" t="s">
        <v>267</v>
      </c>
      <c r="C44" s="120">
        <v>3</v>
      </c>
    </row>
    <row r="45" spans="1:3">
      <c r="A45" s="118" t="s">
        <v>268</v>
      </c>
      <c r="B45" s="119" t="s">
        <v>269</v>
      </c>
      <c r="C45" s="120">
        <v>3</v>
      </c>
    </row>
    <row r="46" spans="1:3">
      <c r="A46" s="125" t="s">
        <v>270</v>
      </c>
      <c r="B46" s="122" t="s">
        <v>271</v>
      </c>
      <c r="C46" s="126">
        <v>3</v>
      </c>
    </row>
    <row r="47" spans="1:3">
      <c r="A47" s="125" t="s">
        <v>272</v>
      </c>
      <c r="B47" s="122" t="s">
        <v>271</v>
      </c>
      <c r="C47" s="126">
        <v>3</v>
      </c>
    </row>
    <row r="48" spans="1:3">
      <c r="A48" s="118" t="s">
        <v>273</v>
      </c>
      <c r="B48" s="119" t="s">
        <v>274</v>
      </c>
      <c r="C48" s="120">
        <v>3</v>
      </c>
    </row>
    <row r="49" spans="1:3">
      <c r="A49" s="118" t="s">
        <v>275</v>
      </c>
      <c r="B49" s="119" t="s">
        <v>274</v>
      </c>
      <c r="C49" s="120">
        <v>3</v>
      </c>
    </row>
    <row r="50" spans="1:3">
      <c r="A50" s="118" t="s">
        <v>276</v>
      </c>
      <c r="B50" s="119" t="s">
        <v>274</v>
      </c>
      <c r="C50" s="120">
        <v>3</v>
      </c>
    </row>
    <row r="51" spans="1:3">
      <c r="A51" s="118" t="s">
        <v>277</v>
      </c>
      <c r="B51" s="119" t="s">
        <v>274</v>
      </c>
      <c r="C51" s="120">
        <v>3</v>
      </c>
    </row>
    <row r="52" spans="1:3">
      <c r="A52" s="118" t="s">
        <v>273</v>
      </c>
      <c r="B52" s="119" t="s">
        <v>274</v>
      </c>
      <c r="C52" s="120">
        <v>3</v>
      </c>
    </row>
    <row r="53" spans="1:3">
      <c r="A53" s="118" t="s">
        <v>278</v>
      </c>
      <c r="B53" s="119" t="s">
        <v>274</v>
      </c>
      <c r="C53" s="120">
        <v>3</v>
      </c>
    </row>
    <row r="54" spans="1:3">
      <c r="A54" s="118" t="s">
        <v>277</v>
      </c>
      <c r="B54" s="119" t="s">
        <v>274</v>
      </c>
      <c r="C54" s="120">
        <v>3</v>
      </c>
    </row>
    <row r="55" spans="1:3">
      <c r="A55" s="125" t="s">
        <v>279</v>
      </c>
      <c r="B55" s="122" t="s">
        <v>280</v>
      </c>
      <c r="C55" s="126">
        <v>3</v>
      </c>
    </row>
    <row r="56" spans="1:3">
      <c r="A56" s="125" t="s">
        <v>281</v>
      </c>
      <c r="B56" s="122" t="s">
        <v>280</v>
      </c>
      <c r="C56" s="126">
        <v>3</v>
      </c>
    </row>
    <row r="57" spans="1:3">
      <c r="A57" s="125" t="s">
        <v>282</v>
      </c>
      <c r="B57" s="122" t="s">
        <v>280</v>
      </c>
      <c r="C57" s="126">
        <v>3</v>
      </c>
    </row>
    <row r="58" spans="1:3">
      <c r="A58" s="125" t="s">
        <v>283</v>
      </c>
      <c r="B58" s="122" t="s">
        <v>280</v>
      </c>
      <c r="C58" s="126">
        <v>3</v>
      </c>
    </row>
    <row r="59" spans="1:3">
      <c r="A59" s="121" t="s">
        <v>284</v>
      </c>
      <c r="B59" s="122" t="s">
        <v>280</v>
      </c>
      <c r="C59" s="126">
        <v>3</v>
      </c>
    </row>
    <row r="60" spans="1:3">
      <c r="A60" s="125" t="s">
        <v>285</v>
      </c>
      <c r="B60" s="127" t="s">
        <v>280</v>
      </c>
      <c r="C60" s="124">
        <v>3</v>
      </c>
    </row>
    <row r="61" spans="1:3">
      <c r="A61" s="125" t="s">
        <v>286</v>
      </c>
      <c r="B61" s="127" t="s">
        <v>280</v>
      </c>
      <c r="C61" s="124">
        <v>3</v>
      </c>
    </row>
    <row r="62" spans="1:3">
      <c r="A62" s="125" t="s">
        <v>287</v>
      </c>
      <c r="B62" s="119" t="s">
        <v>280</v>
      </c>
      <c r="C62" s="120">
        <v>3</v>
      </c>
    </row>
    <row r="63" spans="1:3">
      <c r="A63" s="125" t="s">
        <v>288</v>
      </c>
      <c r="B63" s="119" t="s">
        <v>280</v>
      </c>
      <c r="C63" s="120">
        <v>3</v>
      </c>
    </row>
    <row r="64" spans="1:3">
      <c r="A64" s="125" t="s">
        <v>289</v>
      </c>
      <c r="B64" s="122" t="s">
        <v>242</v>
      </c>
      <c r="C64" s="126">
        <v>2</v>
      </c>
    </row>
    <row r="65" spans="1:3">
      <c r="A65" s="118" t="s">
        <v>290</v>
      </c>
      <c r="B65" s="119" t="s">
        <v>291</v>
      </c>
      <c r="C65" s="120">
        <v>3.5</v>
      </c>
    </row>
    <row r="66" spans="1:3">
      <c r="A66" s="118" t="s">
        <v>292</v>
      </c>
      <c r="B66" s="119" t="s">
        <v>293</v>
      </c>
      <c r="C66" s="120">
        <v>4</v>
      </c>
    </row>
    <row r="67" spans="1:3">
      <c r="A67" s="125" t="s">
        <v>294</v>
      </c>
      <c r="B67" s="127" t="s">
        <v>295</v>
      </c>
      <c r="C67" s="124">
        <v>4</v>
      </c>
    </row>
    <row r="68" spans="1:3">
      <c r="A68" s="125" t="s">
        <v>296</v>
      </c>
      <c r="B68" s="122" t="s">
        <v>297</v>
      </c>
      <c r="C68" s="126">
        <v>4</v>
      </c>
    </row>
    <row r="69" spans="1:3">
      <c r="A69" s="118" t="s">
        <v>298</v>
      </c>
      <c r="B69" s="119" t="s">
        <v>299</v>
      </c>
      <c r="C69" s="120">
        <v>4</v>
      </c>
    </row>
    <row r="70" spans="1:3">
      <c r="A70" s="125" t="s">
        <v>300</v>
      </c>
      <c r="B70" s="119" t="s">
        <v>299</v>
      </c>
      <c r="C70" s="120">
        <v>4</v>
      </c>
    </row>
    <row r="71" spans="1:3">
      <c r="A71" s="125" t="s">
        <v>301</v>
      </c>
      <c r="B71" s="119" t="s">
        <v>299</v>
      </c>
      <c r="C71" s="120">
        <v>4</v>
      </c>
    </row>
    <row r="72" spans="1:3">
      <c r="A72" s="125" t="s">
        <v>302</v>
      </c>
      <c r="B72" s="119" t="s">
        <v>299</v>
      </c>
      <c r="C72" s="120">
        <v>4</v>
      </c>
    </row>
    <row r="73" spans="1:3">
      <c r="A73" s="125" t="s">
        <v>303</v>
      </c>
      <c r="B73" s="119" t="s">
        <v>299</v>
      </c>
      <c r="C73" s="120">
        <v>4</v>
      </c>
    </row>
    <row r="74" spans="1:3">
      <c r="A74" s="125" t="s">
        <v>304</v>
      </c>
      <c r="B74" s="119" t="s">
        <v>299</v>
      </c>
      <c r="C74" s="120">
        <v>4</v>
      </c>
    </row>
    <row r="75" spans="1:3">
      <c r="A75" s="125" t="s">
        <v>305</v>
      </c>
      <c r="B75" s="119" t="s">
        <v>299</v>
      </c>
      <c r="C75" s="120">
        <v>4</v>
      </c>
    </row>
    <row r="76" spans="1:3">
      <c r="A76" s="125" t="s">
        <v>306</v>
      </c>
      <c r="B76" s="119" t="s">
        <v>299</v>
      </c>
      <c r="C76" s="120">
        <v>4</v>
      </c>
    </row>
    <row r="77" spans="1:3">
      <c r="A77" s="125" t="s">
        <v>307</v>
      </c>
      <c r="B77" s="119" t="s">
        <v>299</v>
      </c>
      <c r="C77" s="120">
        <v>4</v>
      </c>
    </row>
    <row r="78" spans="1:3">
      <c r="A78" s="125" t="s">
        <v>308</v>
      </c>
      <c r="B78" s="119" t="s">
        <v>299</v>
      </c>
      <c r="C78" s="120">
        <v>4</v>
      </c>
    </row>
    <row r="79" spans="1:3">
      <c r="A79" s="125" t="s">
        <v>309</v>
      </c>
      <c r="B79" s="119" t="s">
        <v>299</v>
      </c>
      <c r="C79" s="120">
        <v>4</v>
      </c>
    </row>
    <row r="80" spans="1:3">
      <c r="A80" s="125" t="s">
        <v>310</v>
      </c>
      <c r="B80" s="119" t="s">
        <v>299</v>
      </c>
      <c r="C80" s="120">
        <v>4</v>
      </c>
    </row>
    <row r="81" spans="1:3">
      <c r="A81" s="125" t="s">
        <v>311</v>
      </c>
      <c r="B81" s="127" t="s">
        <v>312</v>
      </c>
      <c r="C81" s="124">
        <v>4</v>
      </c>
    </row>
    <row r="82" spans="1:3">
      <c r="A82" s="125" t="s">
        <v>313</v>
      </c>
      <c r="B82" s="127" t="s">
        <v>312</v>
      </c>
      <c r="C82" s="124">
        <v>4</v>
      </c>
    </row>
    <row r="83" spans="1:3">
      <c r="A83" s="125" t="s">
        <v>314</v>
      </c>
      <c r="B83" s="127" t="s">
        <v>312</v>
      </c>
      <c r="C83" s="124">
        <v>4</v>
      </c>
    </row>
    <row r="84" spans="1:3">
      <c r="A84" s="125" t="s">
        <v>315</v>
      </c>
      <c r="B84" s="127" t="s">
        <v>312</v>
      </c>
      <c r="C84" s="124">
        <v>4</v>
      </c>
    </row>
    <row r="85" spans="1:3">
      <c r="A85" s="125" t="s">
        <v>316</v>
      </c>
      <c r="B85" s="127" t="s">
        <v>312</v>
      </c>
      <c r="C85" s="124">
        <v>4</v>
      </c>
    </row>
    <row r="86" spans="1:3">
      <c r="A86" s="118" t="s">
        <v>317</v>
      </c>
      <c r="B86" s="119" t="s">
        <v>312</v>
      </c>
      <c r="C86" s="120">
        <v>4</v>
      </c>
    </row>
    <row r="87" spans="1:3">
      <c r="A87" s="125" t="s">
        <v>318</v>
      </c>
      <c r="B87" s="127" t="s">
        <v>319</v>
      </c>
      <c r="C87" s="124">
        <v>4.5</v>
      </c>
    </row>
    <row r="88" spans="1:3">
      <c r="A88" s="125" t="s">
        <v>320</v>
      </c>
      <c r="B88" s="127" t="s">
        <v>319</v>
      </c>
      <c r="C88" s="124">
        <v>4.5</v>
      </c>
    </row>
    <row r="89" spans="1:3">
      <c r="A89" s="125" t="s">
        <v>321</v>
      </c>
      <c r="B89" s="127" t="s">
        <v>322</v>
      </c>
      <c r="C89" s="124">
        <v>4.5</v>
      </c>
    </row>
    <row r="90" spans="1:3">
      <c r="A90" s="118" t="s">
        <v>323</v>
      </c>
      <c r="B90" s="119" t="s">
        <v>322</v>
      </c>
      <c r="C90" s="124">
        <v>4.5</v>
      </c>
    </row>
    <row r="91" spans="1:3">
      <c r="A91" s="125" t="s">
        <v>324</v>
      </c>
      <c r="B91" s="127" t="s">
        <v>325</v>
      </c>
      <c r="C91" s="124">
        <v>4.5</v>
      </c>
    </row>
    <row r="92" spans="1:3">
      <c r="A92" s="118" t="s">
        <v>326</v>
      </c>
      <c r="B92" s="119" t="s">
        <v>325</v>
      </c>
      <c r="C92" s="124">
        <v>4.5</v>
      </c>
    </row>
    <row r="93" spans="1:3">
      <c r="A93" s="125" t="s">
        <v>327</v>
      </c>
      <c r="B93" s="127" t="s">
        <v>328</v>
      </c>
      <c r="C93" s="124">
        <v>4.5</v>
      </c>
    </row>
    <row r="94" spans="1:3">
      <c r="A94" s="125" t="s">
        <v>329</v>
      </c>
      <c r="B94" s="127" t="s">
        <v>328</v>
      </c>
      <c r="C94" s="124">
        <v>4.5</v>
      </c>
    </row>
    <row r="95" spans="1:3">
      <c r="A95" s="125" t="s">
        <v>330</v>
      </c>
      <c r="B95" s="127" t="s">
        <v>328</v>
      </c>
      <c r="C95" s="124">
        <v>4.5</v>
      </c>
    </row>
    <row r="96" spans="1:3">
      <c r="A96" s="125" t="s">
        <v>331</v>
      </c>
      <c r="B96" s="127" t="s">
        <v>328</v>
      </c>
      <c r="C96" s="124">
        <v>4.5</v>
      </c>
    </row>
    <row r="97" spans="1:3">
      <c r="A97" s="118" t="s">
        <v>332</v>
      </c>
      <c r="B97" s="119" t="s">
        <v>328</v>
      </c>
      <c r="C97" s="124">
        <v>4.5</v>
      </c>
    </row>
    <row r="98" spans="1:3">
      <c r="A98" s="118" t="s">
        <v>333</v>
      </c>
      <c r="B98" s="119" t="s">
        <v>328</v>
      </c>
      <c r="C98" s="124">
        <v>4.5</v>
      </c>
    </row>
    <row r="99" spans="1:3">
      <c r="A99" s="125" t="s">
        <v>334</v>
      </c>
      <c r="B99" s="119" t="s">
        <v>328</v>
      </c>
      <c r="C99" s="124">
        <v>4.5</v>
      </c>
    </row>
    <row r="100" spans="1:3">
      <c r="A100" s="118" t="s">
        <v>335</v>
      </c>
      <c r="B100" s="119" t="s">
        <v>336</v>
      </c>
      <c r="C100" s="120">
        <v>5</v>
      </c>
    </row>
    <row r="101" spans="1:3">
      <c r="A101" s="118" t="s">
        <v>337</v>
      </c>
      <c r="B101" s="119" t="s">
        <v>336</v>
      </c>
      <c r="C101" s="120">
        <v>5</v>
      </c>
    </row>
    <row r="102" spans="1:3">
      <c r="A102" s="125" t="s">
        <v>338</v>
      </c>
      <c r="B102" s="119" t="s">
        <v>336</v>
      </c>
      <c r="C102" s="120">
        <v>5</v>
      </c>
    </row>
    <row r="103" spans="1:3">
      <c r="A103" s="125" t="s">
        <v>339</v>
      </c>
      <c r="B103" s="127" t="s">
        <v>340</v>
      </c>
      <c r="C103" s="124">
        <v>5</v>
      </c>
    </row>
    <row r="104" spans="1:3">
      <c r="A104" s="125" t="s">
        <v>341</v>
      </c>
      <c r="B104" s="127" t="s">
        <v>340</v>
      </c>
      <c r="C104" s="124">
        <v>5</v>
      </c>
    </row>
    <row r="105" spans="1:3">
      <c r="A105" s="125" t="s">
        <v>342</v>
      </c>
      <c r="B105" s="127" t="s">
        <v>340</v>
      </c>
      <c r="C105" s="124">
        <v>5</v>
      </c>
    </row>
    <row r="106" spans="1:3">
      <c r="A106" s="125" t="s">
        <v>343</v>
      </c>
      <c r="B106" s="127" t="s">
        <v>340</v>
      </c>
      <c r="C106" s="124">
        <v>5</v>
      </c>
    </row>
    <row r="107" spans="1:3">
      <c r="A107" s="125" t="s">
        <v>344</v>
      </c>
      <c r="B107" s="127" t="s">
        <v>340</v>
      </c>
      <c r="C107" s="124">
        <v>5</v>
      </c>
    </row>
    <row r="108" spans="1:3">
      <c r="A108" s="125" t="s">
        <v>345</v>
      </c>
      <c r="B108" s="127" t="s">
        <v>340</v>
      </c>
      <c r="C108" s="124">
        <v>5</v>
      </c>
    </row>
    <row r="109" spans="1:3">
      <c r="A109" s="125" t="s">
        <v>346</v>
      </c>
      <c r="B109" s="127" t="s">
        <v>340</v>
      </c>
      <c r="C109" s="124">
        <v>5</v>
      </c>
    </row>
    <row r="110" spans="1:3">
      <c r="A110" s="125" t="s">
        <v>347</v>
      </c>
      <c r="B110" s="127" t="s">
        <v>340</v>
      </c>
      <c r="C110" s="124">
        <v>5</v>
      </c>
    </row>
    <row r="111" spans="1:3">
      <c r="A111" s="118" t="s">
        <v>348</v>
      </c>
      <c r="B111" s="119" t="s">
        <v>340</v>
      </c>
      <c r="C111" s="120">
        <v>5</v>
      </c>
    </row>
    <row r="112" spans="1:3">
      <c r="A112" s="125" t="s">
        <v>349</v>
      </c>
      <c r="B112" s="119" t="s">
        <v>340</v>
      </c>
      <c r="C112" s="120">
        <v>5</v>
      </c>
    </row>
    <row r="113" spans="1:3">
      <c r="A113" s="118" t="s">
        <v>350</v>
      </c>
      <c r="B113" s="119" t="s">
        <v>351</v>
      </c>
      <c r="C113" s="120">
        <v>5.5</v>
      </c>
    </row>
    <row r="114" spans="1:3">
      <c r="A114" s="125" t="s">
        <v>352</v>
      </c>
      <c r="B114" s="127" t="s">
        <v>353</v>
      </c>
      <c r="C114" s="124">
        <v>5.5</v>
      </c>
    </row>
    <row r="115" spans="1:3">
      <c r="A115" s="125" t="s">
        <v>354</v>
      </c>
      <c r="B115" s="119" t="s">
        <v>355</v>
      </c>
      <c r="C115" s="120">
        <v>8</v>
      </c>
    </row>
    <row r="116" spans="1:3">
      <c r="A116" s="118" t="s">
        <v>356</v>
      </c>
      <c r="B116" s="119" t="s">
        <v>357</v>
      </c>
      <c r="C116" s="120">
        <v>10</v>
      </c>
    </row>
    <row r="117" spans="1:3">
      <c r="A117" s="118" t="s">
        <v>358</v>
      </c>
      <c r="B117" s="119" t="s">
        <v>357</v>
      </c>
      <c r="C117" s="120">
        <v>10</v>
      </c>
    </row>
    <row r="118" spans="1:3">
      <c r="A118" s="118" t="s">
        <v>359</v>
      </c>
      <c r="B118" s="119" t="s">
        <v>357</v>
      </c>
      <c r="C118" s="120">
        <v>10</v>
      </c>
    </row>
    <row r="119" spans="1:3">
      <c r="A119" s="118" t="s">
        <v>360</v>
      </c>
      <c r="B119" s="119" t="s">
        <v>357</v>
      </c>
      <c r="C119" s="120">
        <v>10</v>
      </c>
    </row>
    <row r="120" spans="1:3">
      <c r="A120" s="118" t="s">
        <v>361</v>
      </c>
      <c r="B120" s="119" t="s">
        <v>357</v>
      </c>
      <c r="C120" s="120">
        <v>10</v>
      </c>
    </row>
    <row r="121" spans="1:3">
      <c r="A121" s="118" t="s">
        <v>362</v>
      </c>
      <c r="B121" s="119" t="s">
        <v>357</v>
      </c>
      <c r="C121" s="120">
        <v>10</v>
      </c>
    </row>
    <row r="122" spans="1:3">
      <c r="A122" s="118" t="s">
        <v>363</v>
      </c>
      <c r="B122" s="128"/>
      <c r="C122" s="120"/>
    </row>
    <row r="123" spans="1:3">
      <c r="A123" s="118" t="s">
        <v>364</v>
      </c>
      <c r="B123" s="128"/>
      <c r="C123" s="120"/>
    </row>
    <row r="124" spans="1:3">
      <c r="A124" s="118" t="s">
        <v>365</v>
      </c>
      <c r="B124" s="128"/>
      <c r="C124" s="120">
        <v>3.5</v>
      </c>
    </row>
    <row r="125" spans="1:3">
      <c r="A125" s="118" t="s">
        <v>366</v>
      </c>
      <c r="B125" s="128"/>
      <c r="C125" s="120"/>
    </row>
    <row r="126" spans="1:3">
      <c r="A126" s="118" t="s">
        <v>367</v>
      </c>
      <c r="B126" s="128" t="s">
        <v>368</v>
      </c>
      <c r="C126" s="120">
        <v>3</v>
      </c>
    </row>
    <row r="127" spans="1:3">
      <c r="A127" s="118" t="s">
        <v>369</v>
      </c>
      <c r="B127" s="128" t="s">
        <v>370</v>
      </c>
      <c r="C127" s="120">
        <v>2.7</v>
      </c>
    </row>
    <row r="128" spans="1:3">
      <c r="A128" s="118" t="s">
        <v>342</v>
      </c>
      <c r="B128" s="128" t="s">
        <v>340</v>
      </c>
      <c r="C128" s="120">
        <v>5</v>
      </c>
    </row>
    <row r="129" spans="1:3">
      <c r="A129" s="118" t="s">
        <v>371</v>
      </c>
      <c r="B129" s="128" t="s">
        <v>353</v>
      </c>
      <c r="C129" s="120">
        <v>5.5</v>
      </c>
    </row>
    <row r="130" spans="1:3">
      <c r="A130" s="118" t="s">
        <v>372</v>
      </c>
      <c r="B130" s="128" t="s">
        <v>353</v>
      </c>
      <c r="C130" s="120">
        <v>5.5</v>
      </c>
    </row>
    <row r="131" spans="1:3">
      <c r="A131" s="118" t="s">
        <v>373</v>
      </c>
      <c r="B131" s="128" t="s">
        <v>340</v>
      </c>
      <c r="C131" s="120">
        <v>5</v>
      </c>
    </row>
    <row r="132" spans="1:3">
      <c r="A132" s="118" t="s">
        <v>342</v>
      </c>
      <c r="B132" s="128" t="s">
        <v>340</v>
      </c>
      <c r="C132" s="120">
        <v>5</v>
      </c>
    </row>
    <row r="133" spans="1:3">
      <c r="A133" s="118" t="s">
        <v>374</v>
      </c>
      <c r="B133" s="128" t="s">
        <v>340</v>
      </c>
      <c r="C133" s="120">
        <v>5</v>
      </c>
    </row>
    <row r="134" spans="1:3">
      <c r="A134" s="118" t="s">
        <v>375</v>
      </c>
      <c r="B134" s="128" t="s">
        <v>376</v>
      </c>
      <c r="C134" s="120">
        <v>3.5</v>
      </c>
    </row>
    <row r="135" spans="1:3">
      <c r="A135" s="118" t="s">
        <v>377</v>
      </c>
      <c r="B135" s="128" t="s">
        <v>378</v>
      </c>
      <c r="C135" s="120">
        <v>6.5</v>
      </c>
    </row>
    <row r="136" spans="1:3">
      <c r="A136" s="118" t="s">
        <v>379</v>
      </c>
      <c r="B136" s="128" t="s">
        <v>319</v>
      </c>
      <c r="C136" s="120">
        <v>4.7</v>
      </c>
    </row>
    <row r="137" spans="1:3">
      <c r="A137" s="118" t="s">
        <v>380</v>
      </c>
      <c r="B137" s="128" t="s">
        <v>319</v>
      </c>
      <c r="C137" s="120">
        <v>5</v>
      </c>
    </row>
    <row r="138" spans="1:3">
      <c r="A138" s="118">
        <v>41728</v>
      </c>
      <c r="B138" s="128"/>
      <c r="C138" s="120">
        <v>5</v>
      </c>
    </row>
    <row r="139" spans="1:3">
      <c r="A139" s="118" t="s">
        <v>381</v>
      </c>
      <c r="B139" s="128"/>
      <c r="C139" s="120">
        <v>5</v>
      </c>
    </row>
    <row r="140" spans="1:3">
      <c r="A140" s="118" t="s">
        <v>382</v>
      </c>
      <c r="B140" s="128" t="s">
        <v>336</v>
      </c>
      <c r="C140" s="120">
        <v>5</v>
      </c>
    </row>
    <row r="141" spans="1:3">
      <c r="A141" s="118" t="s">
        <v>383</v>
      </c>
      <c r="B141" s="128" t="s">
        <v>340</v>
      </c>
      <c r="C141" s="120">
        <v>5.5</v>
      </c>
    </row>
    <row r="142" spans="1:3">
      <c r="A142" s="118" t="s">
        <v>384</v>
      </c>
      <c r="B142" s="128" t="s">
        <v>312</v>
      </c>
      <c r="C142" s="120">
        <v>4.5</v>
      </c>
    </row>
    <row r="143" spans="1:3">
      <c r="A143" s="118" t="s">
        <v>385</v>
      </c>
      <c r="B143" s="128"/>
      <c r="C143" s="120">
        <v>5</v>
      </c>
    </row>
    <row r="144" spans="1:3">
      <c r="A144" s="118" t="s">
        <v>386</v>
      </c>
      <c r="B144" s="128"/>
      <c r="C144" s="120">
        <v>5</v>
      </c>
    </row>
    <row r="145" spans="1:3">
      <c r="A145" s="118" t="s">
        <v>387</v>
      </c>
      <c r="B145" s="128"/>
      <c r="C145" s="120">
        <v>5</v>
      </c>
    </row>
    <row r="146" spans="1:3">
      <c r="A146" s="118" t="s">
        <v>388</v>
      </c>
      <c r="B146" s="128" t="s">
        <v>340</v>
      </c>
      <c r="C146" s="120">
        <v>5.5</v>
      </c>
    </row>
    <row r="147" spans="1:3">
      <c r="A147" s="118" t="s">
        <v>389</v>
      </c>
      <c r="B147" s="128" t="s">
        <v>312</v>
      </c>
      <c r="C147" s="120">
        <v>5</v>
      </c>
    </row>
    <row r="148" spans="1:3">
      <c r="A148" s="118" t="s">
        <v>390</v>
      </c>
      <c r="B148" s="128" t="s">
        <v>312</v>
      </c>
      <c r="C148" s="120">
        <v>4.5</v>
      </c>
    </row>
    <row r="149" spans="1:3">
      <c r="A149" s="118" t="s">
        <v>391</v>
      </c>
      <c r="B149" s="128" t="s">
        <v>312</v>
      </c>
      <c r="C149" s="120">
        <v>4.5</v>
      </c>
    </row>
    <row r="150" spans="1:3">
      <c r="A150" s="118" t="s">
        <v>392</v>
      </c>
      <c r="B150" s="128" t="s">
        <v>312</v>
      </c>
      <c r="C150" s="120">
        <v>4.5</v>
      </c>
    </row>
    <row r="151" spans="1:3">
      <c r="A151" s="129" t="s">
        <v>393</v>
      </c>
      <c r="B151" s="130"/>
      <c r="C151" s="130">
        <v>5</v>
      </c>
    </row>
    <row r="152" spans="1:3">
      <c r="A152" s="96" t="s">
        <v>84</v>
      </c>
      <c r="B152" s="96"/>
      <c r="C152" s="96">
        <v>2.2</v>
      </c>
    </row>
    <row r="153" spans="1:3">
      <c r="A153" s="131" t="s">
        <v>394</v>
      </c>
      <c r="B153" s="132"/>
      <c r="C153" s="132">
        <v>2.7</v>
      </c>
    </row>
    <row r="154" spans="1:3">
      <c r="A154" s="60" t="s">
        <v>66</v>
      </c>
      <c r="B154" s="111"/>
      <c r="C154" s="111">
        <v>3</v>
      </c>
    </row>
  </sheetData>
  <conditionalFormatting sqref="C28:C29">
    <cfRule type="cellIs" dxfId="12" operator="equal" priority="1">
      <formula>"""미적용"""</formula>
    </cfRule>
  </conditionalFormatting>
  <conditionalFormatting sqref="B136:C148">
    <cfRule type="cellIs" dxfId="13" operator="equal" priority="2">
      <formula>"""미적용"""</formula>
    </cfRule>
  </conditionalFormatting>
  <conditionalFormatting sqref="B74:C117 B118 C118:C151">
    <cfRule type="cellIs" dxfId="14" operator="equal" priority="3">
      <formula>"""미적용"""</formula>
    </cfRule>
  </conditionalFormatting>
  <conditionalFormatting sqref="A52:C53">
    <cfRule type="cellIs" dxfId="15" operator="equal" priority="4">
      <formula>"""미적용"""</formula>
    </cfRule>
  </conditionalFormatting>
  <conditionalFormatting sqref="A3:C27">
    <cfRule type="cellIs" dxfId="16" operator="equal" priority="5">
      <formula>"""미적용"""</formula>
    </cfRule>
  </conditionalFormatting>
  <conditionalFormatting sqref="A153:A154">
    <cfRule type="cellIs" dxfId="17" operator="equal" priority="6">
      <formula>"BLU"</formula>
    </cfRule>
  </conditionalFormatting>
  <conditionalFormatting sqref="A125:A151">
    <cfRule type="cellIs" dxfId="18" operator="equal" priority="7">
      <formula>"""미적용"""</formula>
    </cfRule>
  </conditionalFormatting>
  <conditionalFormatting sqref="A120:A121">
    <cfRule type="cellIs" dxfId="19" operator="equal" priority="8">
      <formula>"""미적용"""</formula>
    </cfRule>
  </conditionalFormatting>
  <conditionalFormatting sqref="A86:A93 B120:B151">
    <cfRule type="cellIs" dxfId="20" operator="equal" priority="9">
      <formula>"""미적용"""</formula>
    </cfRule>
  </conditionalFormatting>
  <pageMargins left="0.7" right="0.7" top="0.75" bottom="0.75" header="0.3" footer="0.3"/>
  <headerFooter scaleWithDoc="1" alignWithMargins="0" differentFirst="0" differentOddEven="0"/>
  <extLst/>
</worksheet>
</file>

<file path=xl/worksheets/sheet4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B166"/>
  <sheetViews>
    <sheetView topLeftCell="A156" view="normal" workbookViewId="0">
      <selection pane="topLeft" activeCell="A172" sqref="A172"/>
    </sheetView>
  </sheetViews>
  <sheetFormatPr customHeight="true" defaultRowHeight="13.2"/>
  <cols>
    <col min="1" max="1" width="41.140625" customWidth="1"/>
    <col min="2" max="2" width="6" customWidth="1"/>
    <col min="3" max="16384" width="9" customWidth="1"/>
  </cols>
  <sheetData>
    <row r="1" spans="1:2" ht="15">
      <c r="A1" s="133"/>
      <c r="B1" s="133"/>
    </row>
    <row r="2" spans="1:2">
      <c r="A2" s="40" t="s">
        <v>395</v>
      </c>
      <c r="B2" s="134" t="s">
        <v>396</v>
      </c>
    </row>
    <row r="3" spans="1:2">
      <c r="A3" s="94" t="s">
        <v>397</v>
      </c>
      <c r="B3" s="94" t="s">
        <v>398</v>
      </c>
    </row>
    <row r="4" spans="1:2">
      <c r="A4" s="94" t="s">
        <v>399</v>
      </c>
      <c r="B4" s="94" t="s">
        <v>398</v>
      </c>
    </row>
    <row r="5" spans="1:2">
      <c r="A5" s="94" t="s">
        <v>400</v>
      </c>
      <c r="B5" s="94" t="s">
        <v>401</v>
      </c>
    </row>
    <row r="6" spans="1:2">
      <c r="A6" s="94" t="s">
        <v>402</v>
      </c>
      <c r="B6" s="94" t="s">
        <v>401</v>
      </c>
    </row>
    <row r="7" spans="1:2">
      <c r="A7" s="94" t="s">
        <v>403</v>
      </c>
      <c r="B7" s="94" t="s">
        <v>404</v>
      </c>
    </row>
    <row r="8" spans="1:2">
      <c r="A8" s="94" t="s">
        <v>405</v>
      </c>
      <c r="B8" s="94" t="s">
        <v>404</v>
      </c>
    </row>
    <row r="9" spans="1:2">
      <c r="A9" s="94" t="s">
        <v>406</v>
      </c>
      <c r="B9" s="94" t="s">
        <v>407</v>
      </c>
    </row>
    <row r="10" spans="1:2">
      <c r="A10" s="94" t="s">
        <v>408</v>
      </c>
      <c r="B10" s="94" t="s">
        <v>407</v>
      </c>
    </row>
    <row r="11" spans="1:2">
      <c r="A11" s="94" t="s">
        <v>409</v>
      </c>
      <c r="B11" s="94" t="s">
        <v>401</v>
      </c>
    </row>
    <row r="12" spans="1:2">
      <c r="A12" s="94" t="s">
        <v>410</v>
      </c>
      <c r="B12" s="94" t="s">
        <v>401</v>
      </c>
    </row>
    <row r="13" spans="1:2">
      <c r="A13" s="94" t="s">
        <v>411</v>
      </c>
      <c r="B13" s="94" t="s">
        <v>404</v>
      </c>
    </row>
    <row r="14" spans="1:2">
      <c r="A14" s="94" t="s">
        <v>412</v>
      </c>
      <c r="B14" s="94" t="s">
        <v>404</v>
      </c>
    </row>
    <row r="15" spans="1:2">
      <c r="A15" s="94" t="s">
        <v>413</v>
      </c>
      <c r="B15" s="94" t="s">
        <v>407</v>
      </c>
    </row>
    <row r="16" spans="1:2">
      <c r="A16" s="94" t="s">
        <v>414</v>
      </c>
      <c r="B16" s="94" t="s">
        <v>407</v>
      </c>
    </row>
    <row r="17" spans="1:2">
      <c r="A17" s="94" t="s">
        <v>415</v>
      </c>
      <c r="B17" s="94" t="s">
        <v>407</v>
      </c>
    </row>
    <row r="18" spans="1:2">
      <c r="A18" s="94" t="s">
        <v>416</v>
      </c>
      <c r="B18" s="94" t="s">
        <v>407</v>
      </c>
    </row>
    <row r="19" spans="1:2">
      <c r="A19" s="94" t="s">
        <v>417</v>
      </c>
      <c r="B19" s="94" t="s">
        <v>398</v>
      </c>
    </row>
    <row r="20" spans="1:2">
      <c r="A20" s="94" t="s">
        <v>72</v>
      </c>
      <c r="B20" s="94" t="s">
        <v>398</v>
      </c>
    </row>
    <row r="21" spans="1:2">
      <c r="A21" s="94" t="s">
        <v>418</v>
      </c>
      <c r="B21" s="94" t="s">
        <v>401</v>
      </c>
    </row>
    <row r="22" spans="1:2">
      <c r="A22" s="94" t="s">
        <v>52</v>
      </c>
      <c r="B22" s="94" t="s">
        <v>401</v>
      </c>
    </row>
    <row r="23" spans="1:2">
      <c r="A23" s="94" t="s">
        <v>419</v>
      </c>
      <c r="B23" s="94" t="s">
        <v>404</v>
      </c>
    </row>
    <row r="24" spans="1:2">
      <c r="A24" s="94" t="s">
        <v>122</v>
      </c>
      <c r="B24" s="94" t="s">
        <v>404</v>
      </c>
    </row>
    <row r="25" spans="1:2">
      <c r="A25" s="94" t="s">
        <v>420</v>
      </c>
      <c r="B25" s="94" t="s">
        <v>407</v>
      </c>
    </row>
    <row r="26" spans="1:2">
      <c r="A26" s="94" t="s">
        <v>421</v>
      </c>
      <c r="B26" s="94" t="s">
        <v>407</v>
      </c>
    </row>
    <row r="27" spans="1:2">
      <c r="A27" s="94" t="s">
        <v>422</v>
      </c>
      <c r="B27" s="94" t="s">
        <v>401</v>
      </c>
    </row>
    <row r="28" spans="1:2">
      <c r="A28" s="94" t="s">
        <v>423</v>
      </c>
      <c r="B28" s="94" t="s">
        <v>401</v>
      </c>
    </row>
    <row r="29" spans="1:2">
      <c r="A29" s="94" t="s">
        <v>424</v>
      </c>
      <c r="B29" s="94" t="s">
        <v>404</v>
      </c>
    </row>
    <row r="30" spans="1:2">
      <c r="A30" s="94" t="s">
        <v>425</v>
      </c>
      <c r="B30" s="94" t="s">
        <v>404</v>
      </c>
    </row>
    <row r="31" spans="1:2">
      <c r="A31" s="94" t="s">
        <v>426</v>
      </c>
      <c r="B31" s="94" t="s">
        <v>407</v>
      </c>
    </row>
    <row r="32" spans="1:2">
      <c r="A32" s="94" t="s">
        <v>427</v>
      </c>
      <c r="B32" s="94" t="s">
        <v>407</v>
      </c>
    </row>
    <row r="33" spans="1:2">
      <c r="A33" s="94" t="s">
        <v>428</v>
      </c>
      <c r="B33" s="94" t="s">
        <v>407</v>
      </c>
    </row>
    <row r="34" spans="1:2">
      <c r="A34" s="94" t="s">
        <v>429</v>
      </c>
      <c r="B34" s="94" t="s">
        <v>407</v>
      </c>
    </row>
    <row r="35" spans="1:2">
      <c r="A35" s="94" t="s">
        <v>430</v>
      </c>
      <c r="B35" s="94" t="s">
        <v>407</v>
      </c>
    </row>
    <row r="36" spans="1:2">
      <c r="A36" s="94" t="s">
        <v>431</v>
      </c>
      <c r="B36" s="94" t="s">
        <v>407</v>
      </c>
    </row>
    <row r="37" spans="1:2">
      <c r="A37" s="94" t="s">
        <v>432</v>
      </c>
      <c r="B37" s="94" t="s">
        <v>433</v>
      </c>
    </row>
    <row r="38" spans="1:2">
      <c r="A38" s="94" t="s">
        <v>434</v>
      </c>
      <c r="B38" s="94" t="s">
        <v>398</v>
      </c>
    </row>
    <row r="39" spans="1:2">
      <c r="A39" s="94" t="s">
        <v>435</v>
      </c>
      <c r="B39" s="94" t="s">
        <v>398</v>
      </c>
    </row>
    <row r="40" spans="1:2">
      <c r="A40" s="94" t="s">
        <v>436</v>
      </c>
      <c r="B40" s="94" t="s">
        <v>398</v>
      </c>
    </row>
    <row r="41" spans="1:2">
      <c r="A41" s="94" t="s">
        <v>437</v>
      </c>
      <c r="B41" s="94" t="s">
        <v>398</v>
      </c>
    </row>
    <row r="42" spans="1:2">
      <c r="A42" s="94" t="s">
        <v>438</v>
      </c>
      <c r="B42" s="94" t="s">
        <v>398</v>
      </c>
    </row>
    <row r="43" spans="1:2">
      <c r="A43" s="94" t="s">
        <v>439</v>
      </c>
      <c r="B43" s="94" t="s">
        <v>398</v>
      </c>
    </row>
    <row r="44" spans="1:2">
      <c r="A44" s="94" t="s">
        <v>440</v>
      </c>
      <c r="B44" s="94" t="s">
        <v>398</v>
      </c>
    </row>
    <row r="45" spans="1:2">
      <c r="A45" s="94" t="s">
        <v>441</v>
      </c>
      <c r="B45" s="94" t="s">
        <v>398</v>
      </c>
    </row>
    <row r="46" spans="1:2">
      <c r="A46" s="94" t="s">
        <v>442</v>
      </c>
      <c r="B46" s="94" t="s">
        <v>398</v>
      </c>
    </row>
    <row r="47" spans="1:2">
      <c r="A47" s="94" t="s">
        <v>139</v>
      </c>
      <c r="B47" s="94" t="s">
        <v>398</v>
      </c>
    </row>
    <row r="48" spans="1:2">
      <c r="A48" s="94" t="s">
        <v>443</v>
      </c>
      <c r="B48" s="94" t="s">
        <v>398</v>
      </c>
    </row>
    <row r="49" spans="1:2">
      <c r="A49" s="94" t="s">
        <v>444</v>
      </c>
      <c r="B49" s="94" t="s">
        <v>398</v>
      </c>
    </row>
    <row r="50" spans="1:2">
      <c r="A50" s="94" t="s">
        <v>445</v>
      </c>
      <c r="B50" s="94" t="s">
        <v>398</v>
      </c>
    </row>
    <row r="51" spans="1:2">
      <c r="A51" s="94" t="s">
        <v>82</v>
      </c>
      <c r="B51" s="94" t="s">
        <v>398</v>
      </c>
    </row>
    <row r="52" spans="1:2">
      <c r="A52" s="94" t="s">
        <v>100</v>
      </c>
      <c r="B52" s="94" t="s">
        <v>398</v>
      </c>
    </row>
    <row r="53" spans="1:2">
      <c r="A53" s="94" t="s">
        <v>446</v>
      </c>
      <c r="B53" s="94" t="s">
        <v>398</v>
      </c>
    </row>
    <row r="54" spans="1:2">
      <c r="A54" s="94" t="s">
        <v>447</v>
      </c>
      <c r="B54" s="94" t="s">
        <v>398</v>
      </c>
    </row>
    <row r="55" spans="1:2">
      <c r="A55" s="94" t="s">
        <v>448</v>
      </c>
      <c r="B55" s="94" t="s">
        <v>398</v>
      </c>
    </row>
    <row r="56" spans="1:2">
      <c r="A56" s="94" t="s">
        <v>449</v>
      </c>
      <c r="B56" s="94" t="s">
        <v>398</v>
      </c>
    </row>
    <row r="57" spans="1:2">
      <c r="A57" s="94" t="s">
        <v>450</v>
      </c>
      <c r="B57" s="94" t="s">
        <v>398</v>
      </c>
    </row>
    <row r="58" spans="1:2">
      <c r="A58" s="94" t="s">
        <v>451</v>
      </c>
      <c r="B58" s="94" t="s">
        <v>398</v>
      </c>
    </row>
    <row r="59" spans="1:2">
      <c r="A59" s="94" t="s">
        <v>452</v>
      </c>
      <c r="B59" s="94" t="s">
        <v>398</v>
      </c>
    </row>
    <row r="60" spans="1:2">
      <c r="A60" s="94" t="s">
        <v>65</v>
      </c>
      <c r="B60" s="94" t="s">
        <v>398</v>
      </c>
    </row>
    <row r="61" spans="1:2">
      <c r="A61" s="94" t="s">
        <v>111</v>
      </c>
      <c r="B61" s="94" t="s">
        <v>398</v>
      </c>
    </row>
    <row r="62" spans="1:2">
      <c r="A62" s="94" t="s">
        <v>453</v>
      </c>
      <c r="B62" s="94" t="s">
        <v>398</v>
      </c>
    </row>
    <row r="63" spans="1:2">
      <c r="A63" s="94" t="s">
        <v>92</v>
      </c>
      <c r="B63" s="94" t="s">
        <v>398</v>
      </c>
    </row>
    <row r="64" spans="1:2">
      <c r="A64" s="94" t="s">
        <v>454</v>
      </c>
      <c r="B64" s="94" t="s">
        <v>398</v>
      </c>
    </row>
    <row r="65" spans="1:2">
      <c r="A65" s="94" t="s">
        <v>455</v>
      </c>
      <c r="B65" s="94" t="s">
        <v>398</v>
      </c>
    </row>
    <row r="66" spans="1:2">
      <c r="A66" s="94" t="s">
        <v>456</v>
      </c>
      <c r="B66" s="94" t="s">
        <v>398</v>
      </c>
    </row>
    <row r="67" spans="1:2">
      <c r="A67" s="94" t="s">
        <v>457</v>
      </c>
      <c r="B67" s="94" t="s">
        <v>398</v>
      </c>
    </row>
    <row r="68" spans="1:2">
      <c r="A68" s="94" t="s">
        <v>458</v>
      </c>
      <c r="B68" s="94" t="s">
        <v>398</v>
      </c>
    </row>
    <row r="69" spans="1:2">
      <c r="A69" s="94" t="s">
        <v>459</v>
      </c>
      <c r="B69" s="94" t="s">
        <v>398</v>
      </c>
    </row>
    <row r="70" spans="1:2">
      <c r="A70" s="94" t="s">
        <v>460</v>
      </c>
      <c r="B70" s="94" t="s">
        <v>398</v>
      </c>
    </row>
    <row r="71" spans="1:2">
      <c r="A71" s="94" t="s">
        <v>461</v>
      </c>
      <c r="B71" s="94" t="s">
        <v>398</v>
      </c>
    </row>
    <row r="72" spans="1:2">
      <c r="A72" s="94" t="s">
        <v>462</v>
      </c>
      <c r="B72" s="94" t="s">
        <v>398</v>
      </c>
    </row>
    <row r="73" spans="1:2">
      <c r="A73" s="94" t="s">
        <v>463</v>
      </c>
      <c r="B73" s="94" t="s">
        <v>398</v>
      </c>
    </row>
    <row r="74" spans="1:2">
      <c r="A74" s="94" t="s">
        <v>464</v>
      </c>
      <c r="B74" s="94" t="s">
        <v>398</v>
      </c>
    </row>
    <row r="75" spans="1:2">
      <c r="A75" s="94" t="s">
        <v>465</v>
      </c>
      <c r="B75" s="94" t="s">
        <v>398</v>
      </c>
    </row>
    <row r="76" spans="1:2">
      <c r="A76" s="94" t="s">
        <v>466</v>
      </c>
      <c r="B76" s="94" t="s">
        <v>398</v>
      </c>
    </row>
    <row r="77" spans="1:2">
      <c r="A77" s="94" t="s">
        <v>467</v>
      </c>
      <c r="B77" s="94" t="s">
        <v>398</v>
      </c>
    </row>
    <row r="78" spans="1:2">
      <c r="A78" s="94" t="s">
        <v>468</v>
      </c>
      <c r="B78" s="94" t="s">
        <v>398</v>
      </c>
    </row>
    <row r="79" spans="1:2">
      <c r="A79" s="94" t="s">
        <v>175</v>
      </c>
      <c r="B79" s="94" t="s">
        <v>398</v>
      </c>
    </row>
    <row r="80" spans="1:2">
      <c r="A80" s="94" t="s">
        <v>469</v>
      </c>
      <c r="B80" s="94" t="s">
        <v>398</v>
      </c>
    </row>
    <row r="81" spans="1:2">
      <c r="A81" s="135" t="s">
        <v>470</v>
      </c>
      <c r="B81" s="94" t="s">
        <v>401</v>
      </c>
    </row>
    <row r="82" spans="1:2">
      <c r="A82" s="135" t="s">
        <v>471</v>
      </c>
      <c r="B82" s="94" t="s">
        <v>401</v>
      </c>
    </row>
    <row r="83" spans="1:2">
      <c r="A83" s="135" t="s">
        <v>472</v>
      </c>
      <c r="B83" s="94" t="s">
        <v>401</v>
      </c>
    </row>
    <row r="84" spans="1:2">
      <c r="A84" s="135" t="s">
        <v>473</v>
      </c>
      <c r="B84" s="94" t="s">
        <v>401</v>
      </c>
    </row>
    <row r="85" spans="1:2">
      <c r="A85" s="94" t="s">
        <v>474</v>
      </c>
      <c r="B85" s="94" t="s">
        <v>398</v>
      </c>
    </row>
    <row r="86" spans="1:2">
      <c r="A86" s="94" t="s">
        <v>475</v>
      </c>
      <c r="B86" s="94" t="s">
        <v>398</v>
      </c>
    </row>
    <row r="87" spans="1:2">
      <c r="A87" s="94" t="s">
        <v>476</v>
      </c>
      <c r="B87" s="94" t="s">
        <v>398</v>
      </c>
    </row>
    <row r="88" spans="1:2">
      <c r="A88" s="94" t="s">
        <v>477</v>
      </c>
      <c r="B88" s="94" t="s">
        <v>398</v>
      </c>
    </row>
    <row r="89" spans="1:2">
      <c r="A89" s="94" t="s">
        <v>478</v>
      </c>
      <c r="B89" s="94" t="s">
        <v>398</v>
      </c>
    </row>
    <row r="90" spans="1:2">
      <c r="A90" s="94" t="s">
        <v>479</v>
      </c>
      <c r="B90" s="94" t="s">
        <v>398</v>
      </c>
    </row>
    <row r="91" spans="1:2">
      <c r="A91" s="94" t="s">
        <v>480</v>
      </c>
      <c r="B91" s="94" t="s">
        <v>398</v>
      </c>
    </row>
    <row r="92" spans="1:2">
      <c r="A92" s="94" t="s">
        <v>481</v>
      </c>
      <c r="B92" s="94" t="s">
        <v>398</v>
      </c>
    </row>
    <row r="93" spans="1:2">
      <c r="A93" s="94" t="s">
        <v>482</v>
      </c>
      <c r="B93" s="94" t="s">
        <v>398</v>
      </c>
    </row>
    <row r="94" spans="1:2">
      <c r="A94" s="94" t="s">
        <v>483</v>
      </c>
      <c r="B94" s="94" t="s">
        <v>398</v>
      </c>
    </row>
    <row r="95" spans="1:2">
      <c r="A95" s="94" t="s">
        <v>484</v>
      </c>
      <c r="B95" s="94" t="s">
        <v>398</v>
      </c>
    </row>
    <row r="96" spans="1:2">
      <c r="A96" s="94" t="s">
        <v>485</v>
      </c>
      <c r="B96" s="94" t="s">
        <v>398</v>
      </c>
    </row>
    <row r="97" spans="1:2">
      <c r="A97" s="94" t="s">
        <v>486</v>
      </c>
      <c r="B97" s="94" t="s">
        <v>398</v>
      </c>
    </row>
    <row r="98" spans="1:2">
      <c r="A98" s="94" t="s">
        <v>487</v>
      </c>
      <c r="B98" s="94" t="s">
        <v>398</v>
      </c>
    </row>
    <row r="99" spans="1:2">
      <c r="A99" s="94" t="s">
        <v>488</v>
      </c>
      <c r="B99" s="94" t="s">
        <v>398</v>
      </c>
    </row>
    <row r="100" spans="1:2">
      <c r="A100" s="94" t="s">
        <v>489</v>
      </c>
      <c r="B100" s="94" t="s">
        <v>398</v>
      </c>
    </row>
    <row r="101" spans="1:2">
      <c r="A101" s="94" t="s">
        <v>490</v>
      </c>
      <c r="B101" s="94" t="s">
        <v>398</v>
      </c>
    </row>
    <row r="102" spans="1:2">
      <c r="A102" s="94" t="s">
        <v>491</v>
      </c>
      <c r="B102" s="94" t="s">
        <v>398</v>
      </c>
    </row>
    <row r="103" spans="1:2">
      <c r="A103" s="94" t="s">
        <v>492</v>
      </c>
      <c r="B103" s="94" t="s">
        <v>398</v>
      </c>
    </row>
    <row r="104" spans="1:2">
      <c r="A104" s="94" t="s">
        <v>493</v>
      </c>
      <c r="B104" s="94" t="s">
        <v>398</v>
      </c>
    </row>
    <row r="105" spans="1:2">
      <c r="A105" s="94" t="s">
        <v>494</v>
      </c>
      <c r="B105" s="94" t="s">
        <v>398</v>
      </c>
    </row>
    <row r="106" spans="1:2">
      <c r="A106" s="94" t="s">
        <v>495</v>
      </c>
      <c r="B106" s="94" t="s">
        <v>398</v>
      </c>
    </row>
    <row r="107" spans="1:2">
      <c r="A107" s="94" t="s">
        <v>496</v>
      </c>
      <c r="B107" s="94" t="s">
        <v>398</v>
      </c>
    </row>
    <row r="108" spans="1:2">
      <c r="A108" s="94" t="s">
        <v>497</v>
      </c>
      <c r="B108" s="94" t="s">
        <v>398</v>
      </c>
    </row>
    <row r="109" spans="1:2">
      <c r="A109" s="135" t="s">
        <v>498</v>
      </c>
      <c r="B109" s="94" t="s">
        <v>401</v>
      </c>
    </row>
    <row r="110" spans="1:2">
      <c r="A110" s="135" t="s">
        <v>499</v>
      </c>
      <c r="B110" s="94" t="s">
        <v>401</v>
      </c>
    </row>
    <row r="111" spans="1:2">
      <c r="A111" s="135" t="s">
        <v>500</v>
      </c>
      <c r="B111" s="94" t="s">
        <v>401</v>
      </c>
    </row>
    <row r="112" spans="1:2">
      <c r="A112" s="135" t="s">
        <v>501</v>
      </c>
      <c r="B112" s="94" t="s">
        <v>401</v>
      </c>
    </row>
    <row r="113" spans="1:2">
      <c r="A113" s="135" t="s">
        <v>502</v>
      </c>
      <c r="B113" s="94" t="s">
        <v>401</v>
      </c>
    </row>
    <row r="114" spans="1:2">
      <c r="A114" s="135" t="s">
        <v>503</v>
      </c>
      <c r="B114" s="94" t="s">
        <v>401</v>
      </c>
    </row>
    <row r="115" spans="1:2">
      <c r="A115" s="135" t="s">
        <v>504</v>
      </c>
      <c r="B115" s="94" t="s">
        <v>401</v>
      </c>
    </row>
    <row r="116" spans="1:2">
      <c r="A116" s="135" t="s">
        <v>505</v>
      </c>
      <c r="B116" s="94" t="s">
        <v>401</v>
      </c>
    </row>
    <row r="117" spans="1:2">
      <c r="A117" s="135" t="s">
        <v>506</v>
      </c>
      <c r="B117" s="94" t="s">
        <v>401</v>
      </c>
    </row>
    <row r="118" spans="1:2">
      <c r="A118" s="135" t="s">
        <v>507</v>
      </c>
      <c r="B118" s="94" t="s">
        <v>401</v>
      </c>
    </row>
    <row r="119" spans="1:2">
      <c r="A119" s="135" t="s">
        <v>508</v>
      </c>
      <c r="B119" s="94" t="s">
        <v>401</v>
      </c>
    </row>
    <row r="120" spans="1:2">
      <c r="A120" s="135" t="s">
        <v>509</v>
      </c>
      <c r="B120" s="94" t="s">
        <v>401</v>
      </c>
    </row>
    <row r="121" spans="1:2">
      <c r="A121" s="135" t="s">
        <v>510</v>
      </c>
      <c r="B121" s="94" t="s">
        <v>401</v>
      </c>
    </row>
    <row r="122" spans="1:2">
      <c r="A122" s="135" t="s">
        <v>511</v>
      </c>
      <c r="B122" s="94" t="s">
        <v>401</v>
      </c>
    </row>
    <row r="123" spans="1:2">
      <c r="A123" s="135" t="s">
        <v>512</v>
      </c>
      <c r="B123" s="94" t="s">
        <v>401</v>
      </c>
    </row>
    <row r="124" spans="1:2">
      <c r="A124" s="135" t="s">
        <v>513</v>
      </c>
      <c r="B124" s="94" t="s">
        <v>401</v>
      </c>
    </row>
    <row r="125" spans="1:2">
      <c r="A125" s="135" t="s">
        <v>514</v>
      </c>
      <c r="B125" s="94" t="s">
        <v>401</v>
      </c>
    </row>
    <row r="126" spans="1:2">
      <c r="A126" s="135" t="s">
        <v>515</v>
      </c>
      <c r="B126" s="94" t="s">
        <v>401</v>
      </c>
    </row>
    <row r="127" spans="1:2">
      <c r="A127" s="135" t="s">
        <v>516</v>
      </c>
      <c r="B127" s="94" t="s">
        <v>401</v>
      </c>
    </row>
    <row r="128" spans="1:2">
      <c r="A128" s="135" t="s">
        <v>517</v>
      </c>
      <c r="B128" s="94" t="s">
        <v>401</v>
      </c>
    </row>
    <row r="129" spans="1:2">
      <c r="A129" s="135" t="s">
        <v>518</v>
      </c>
      <c r="B129" s="94" t="s">
        <v>401</v>
      </c>
    </row>
    <row r="130" spans="1:2">
      <c r="A130" s="135" t="s">
        <v>519</v>
      </c>
      <c r="B130" s="94" t="s">
        <v>401</v>
      </c>
    </row>
    <row r="131" spans="1:2">
      <c r="A131" s="135" t="s">
        <v>520</v>
      </c>
      <c r="B131" s="94" t="s">
        <v>401</v>
      </c>
    </row>
    <row r="132" spans="1:2">
      <c r="A132" s="135" t="s">
        <v>521</v>
      </c>
      <c r="B132" s="94" t="s">
        <v>401</v>
      </c>
    </row>
    <row r="133" spans="1:2">
      <c r="A133" s="135" t="s">
        <v>522</v>
      </c>
      <c r="B133" s="94" t="s">
        <v>401</v>
      </c>
    </row>
    <row r="134" spans="1:2">
      <c r="A134" s="135" t="s">
        <v>523</v>
      </c>
      <c r="B134" s="94" t="s">
        <v>401</v>
      </c>
    </row>
    <row r="135" spans="1:2">
      <c r="A135" s="135" t="s">
        <v>524</v>
      </c>
      <c r="B135" s="94" t="s">
        <v>401</v>
      </c>
    </row>
    <row r="136" spans="1:2">
      <c r="A136" s="135" t="s">
        <v>525</v>
      </c>
      <c r="B136" s="94" t="s">
        <v>433</v>
      </c>
    </row>
    <row r="137" spans="1:2">
      <c r="A137" s="135" t="s">
        <v>526</v>
      </c>
      <c r="B137" s="94" t="s">
        <v>433</v>
      </c>
    </row>
    <row r="138" spans="1:2">
      <c r="A138" s="135" t="s">
        <v>527</v>
      </c>
      <c r="B138" s="94" t="s">
        <v>433</v>
      </c>
    </row>
    <row r="139" spans="1:2">
      <c r="A139" s="135" t="s">
        <v>528</v>
      </c>
      <c r="B139" s="94" t="s">
        <v>398</v>
      </c>
    </row>
    <row r="140" spans="1:2">
      <c r="A140" s="135" t="s">
        <v>529</v>
      </c>
      <c r="B140" s="94" t="s">
        <v>433</v>
      </c>
    </row>
    <row r="141" spans="1:2">
      <c r="A141" s="135" t="s">
        <v>530</v>
      </c>
      <c r="B141" s="94" t="s">
        <v>433</v>
      </c>
    </row>
    <row r="142" spans="1:2">
      <c r="A142" s="135" t="s">
        <v>531</v>
      </c>
      <c r="B142" s="94" t="s">
        <v>433</v>
      </c>
    </row>
    <row r="143" spans="1:2">
      <c r="A143" s="94" t="s">
        <v>532</v>
      </c>
      <c r="B143" s="94" t="s">
        <v>433</v>
      </c>
    </row>
    <row r="144" spans="1:2">
      <c r="A144" s="94" t="s">
        <v>533</v>
      </c>
      <c r="B144" s="94" t="s">
        <v>404</v>
      </c>
    </row>
    <row r="145" spans="1:2">
      <c r="A145" s="94" t="s">
        <v>534</v>
      </c>
      <c r="B145" s="94" t="s">
        <v>398</v>
      </c>
    </row>
    <row r="146" spans="1:2">
      <c r="A146" s="94" t="s">
        <v>535</v>
      </c>
      <c r="B146" s="94" t="s">
        <v>404</v>
      </c>
    </row>
    <row r="147" spans="1:2">
      <c r="A147" s="94" t="s">
        <v>536</v>
      </c>
      <c r="B147" s="94" t="s">
        <v>404</v>
      </c>
    </row>
    <row r="148" spans="1:2">
      <c r="A148" s="94" t="s">
        <v>537</v>
      </c>
      <c r="B148" s="94" t="s">
        <v>404</v>
      </c>
    </row>
    <row r="149" spans="1:2">
      <c r="A149" s="94" t="s">
        <v>538</v>
      </c>
      <c r="B149" s="94" t="s">
        <v>398</v>
      </c>
    </row>
    <row r="150" spans="1:2">
      <c r="A150" s="94" t="s">
        <v>539</v>
      </c>
      <c r="B150" s="94" t="s">
        <v>407</v>
      </c>
    </row>
    <row r="151" spans="1:2">
      <c r="A151" s="94" t="s">
        <v>540</v>
      </c>
      <c r="B151" s="94" t="s">
        <v>404</v>
      </c>
    </row>
    <row r="152" spans="1:2">
      <c r="A152" s="94" t="s">
        <v>541</v>
      </c>
      <c r="B152" s="94" t="s">
        <v>401</v>
      </c>
    </row>
    <row r="153" spans="1:2">
      <c r="A153" s="94" t="s">
        <v>542</v>
      </c>
      <c r="B153" s="94" t="s">
        <v>543</v>
      </c>
    </row>
    <row r="154" spans="1:2">
      <c r="A154" s="94" t="s">
        <v>544</v>
      </c>
      <c r="B154" s="94" t="s">
        <v>543</v>
      </c>
    </row>
    <row r="155" spans="1:2">
      <c r="A155" s="94" t="s">
        <v>545</v>
      </c>
      <c r="B155" s="94" t="s">
        <v>543</v>
      </c>
    </row>
    <row r="156" spans="1:2">
      <c r="A156" s="94" t="s">
        <v>428</v>
      </c>
      <c r="B156" s="94" t="s">
        <v>407</v>
      </c>
    </row>
    <row r="157" spans="1:2">
      <c r="A157" s="94" t="s">
        <v>546</v>
      </c>
      <c r="B157" s="94" t="s">
        <v>407</v>
      </c>
    </row>
    <row r="158" spans="1:2">
      <c r="A158" s="94" t="s">
        <v>547</v>
      </c>
      <c r="B158" s="94" t="s">
        <v>407</v>
      </c>
    </row>
    <row r="159" spans="1:2">
      <c r="A159" s="94" t="s">
        <v>548</v>
      </c>
      <c r="B159" s="94" t="s">
        <v>404</v>
      </c>
    </row>
    <row r="160" spans="1:2">
      <c r="A160" s="94" t="s">
        <v>549</v>
      </c>
      <c r="B160" s="94" t="s">
        <v>404</v>
      </c>
    </row>
    <row r="161" spans="1:2">
      <c r="A161" s="94" t="s">
        <v>550</v>
      </c>
      <c r="B161" s="94" t="s">
        <v>407</v>
      </c>
    </row>
    <row r="162" spans="1:2">
      <c r="A162" s="94" t="s">
        <v>551</v>
      </c>
      <c r="B162" s="94" t="s">
        <v>401</v>
      </c>
    </row>
    <row r="163" spans="1:2">
      <c r="A163" s="133" t="s">
        <v>552</v>
      </c>
      <c r="B163" s="94" t="s">
        <v>398</v>
      </c>
    </row>
    <row r="164" spans="1:2">
      <c r="A164" s="133" t="s">
        <v>553</v>
      </c>
      <c r="B164" s="94" t="s">
        <v>398</v>
      </c>
    </row>
    <row r="165" spans="1:2">
      <c r="A165" s="133" t="s">
        <v>554</v>
      </c>
      <c r="B165" s="94" t="s">
        <v>398</v>
      </c>
    </row>
    <row r="166" spans="1:2" ht="15">
      <c r="A166" s="60"/>
      <c r="B166" s="94"/>
    </row>
  </sheetData>
  <conditionalFormatting sqref="A166">
    <cfRule type="cellIs" dxfId="21" operator="equal" priority="1">
      <formula>"BLU"</formula>
    </cfRule>
  </conditionalFormatting>
  <pageMargins left="0.7" right="0.7" top="0.75" bottom="0.75" header="0.3" footer="0.3"/>
  <headerFooter scaleWithDoc="1" alignWithMargins="0" differentFirst="0" differentOddEven="0"/>
  <extLst/>
</worksheet>
</file>

<file path=xl/worksheets/sheet5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B551"/>
  <sheetViews>
    <sheetView topLeftCell="A1" view="normal" workbookViewId="0">
      <selection pane="topLeft" activeCell="A1" sqref="A1"/>
    </sheetView>
  </sheetViews>
  <sheetFormatPr customHeight="true" defaultRowHeight="17.4"/>
  <cols>
    <col min="1" max="1" width="21.7109375" customWidth="1"/>
    <col min="2" max="2" width="22.84765625" customWidth="1"/>
  </cols>
  <sheetData>
    <row r="1" spans="1:2">
      <c r="A1" s="136" t="s">
        <v>555</v>
      </c>
      <c r="B1" s="136" t="s">
        <v>555</v>
      </c>
    </row>
    <row r="2" spans="1:2">
      <c r="A2" s="136" t="s">
        <v>556</v>
      </c>
      <c r="B2" s="136" t="s">
        <v>557</v>
      </c>
    </row>
    <row r="3" spans="1:2">
      <c r="A3" s="136" t="s">
        <v>558</v>
      </c>
      <c r="B3" s="136" t="s">
        <v>559</v>
      </c>
    </row>
    <row r="4" spans="1:2">
      <c r="A4" s="136" t="s">
        <v>560</v>
      </c>
      <c r="B4" s="136" t="s">
        <v>561</v>
      </c>
    </row>
    <row r="5" spans="1:2">
      <c r="A5" s="136" t="s">
        <v>562</v>
      </c>
      <c r="B5" s="136" t="s">
        <v>563</v>
      </c>
    </row>
    <row r="6" spans="1:2">
      <c r="A6" s="136" t="s">
        <v>564</v>
      </c>
      <c r="B6" s="136" t="s">
        <v>557</v>
      </c>
    </row>
    <row r="7" spans="1:2">
      <c r="A7" s="136" t="s">
        <v>565</v>
      </c>
      <c r="B7" s="136" t="s">
        <v>559</v>
      </c>
    </row>
    <row r="8" spans="1:2">
      <c r="A8" s="136" t="s">
        <v>566</v>
      </c>
      <c r="B8" s="136" t="s">
        <v>561</v>
      </c>
    </row>
    <row r="9" spans="1:2">
      <c r="A9" s="136" t="s">
        <v>567</v>
      </c>
      <c r="B9" s="136" t="s">
        <v>563</v>
      </c>
    </row>
    <row r="10" spans="1:2">
      <c r="A10" s="136" t="s">
        <v>568</v>
      </c>
      <c r="B10" s="136" t="s">
        <v>569</v>
      </c>
    </row>
    <row r="11" spans="1:2">
      <c r="A11" s="136" t="s">
        <v>570</v>
      </c>
      <c r="B11" s="136" t="s">
        <v>571</v>
      </c>
    </row>
    <row r="12" spans="1:2">
      <c r="A12" s="136" t="s">
        <v>572</v>
      </c>
      <c r="B12" s="136" t="s">
        <v>573</v>
      </c>
    </row>
    <row r="13" spans="1:2">
      <c r="A13" s="136" t="s">
        <v>574</v>
      </c>
      <c r="B13" s="136" t="s">
        <v>575</v>
      </c>
    </row>
    <row r="14" spans="1:2">
      <c r="A14" s="136" t="s">
        <v>576</v>
      </c>
      <c r="B14" s="136" t="s">
        <v>569</v>
      </c>
    </row>
    <row r="15" spans="1:2">
      <c r="A15" s="136" t="s">
        <v>577</v>
      </c>
      <c r="B15" s="136" t="s">
        <v>571</v>
      </c>
    </row>
    <row r="16" spans="1:2">
      <c r="A16" s="136" t="s">
        <v>578</v>
      </c>
      <c r="B16" s="136" t="s">
        <v>573</v>
      </c>
    </row>
    <row r="17" spans="1:2">
      <c r="A17" s="136" t="s">
        <v>579</v>
      </c>
      <c r="B17" s="136" t="s">
        <v>575</v>
      </c>
    </row>
    <row r="18" spans="1:2">
      <c r="A18" s="136" t="s">
        <v>580</v>
      </c>
      <c r="B18" s="136" t="s">
        <v>581</v>
      </c>
    </row>
    <row r="19" spans="1:2">
      <c r="A19" s="136" t="s">
        <v>582</v>
      </c>
      <c r="B19" s="136" t="s">
        <v>583</v>
      </c>
    </row>
    <row r="20" spans="1:2">
      <c r="A20" s="136" t="s">
        <v>584</v>
      </c>
      <c r="B20" s="136" t="s">
        <v>585</v>
      </c>
    </row>
    <row r="21" spans="1:2">
      <c r="A21" s="136" t="s">
        <v>586</v>
      </c>
      <c r="B21" s="136" t="s">
        <v>587</v>
      </c>
    </row>
    <row r="22" spans="1:2">
      <c r="A22" s="136" t="s">
        <v>588</v>
      </c>
      <c r="B22" s="136" t="s">
        <v>581</v>
      </c>
    </row>
    <row r="23" spans="1:2">
      <c r="A23" s="136" t="s">
        <v>589</v>
      </c>
      <c r="B23" s="136" t="s">
        <v>583</v>
      </c>
    </row>
    <row r="24" spans="1:2">
      <c r="A24" s="136" t="s">
        <v>590</v>
      </c>
      <c r="B24" s="136" t="s">
        <v>585</v>
      </c>
    </row>
    <row r="25" spans="1:2">
      <c r="A25" s="136" t="s">
        <v>591</v>
      </c>
      <c r="B25" s="136" t="s">
        <v>587</v>
      </c>
    </row>
    <row r="26" spans="1:2">
      <c r="A26" s="136" t="s">
        <v>592</v>
      </c>
      <c r="B26" s="136" t="s">
        <v>593</v>
      </c>
    </row>
    <row r="27" spans="1:2">
      <c r="A27" s="136" t="s">
        <v>594</v>
      </c>
      <c r="B27" s="136" t="s">
        <v>595</v>
      </c>
    </row>
    <row r="28" spans="1:2">
      <c r="A28" s="136" t="s">
        <v>596</v>
      </c>
      <c r="B28" s="136" t="s">
        <v>597</v>
      </c>
    </row>
    <row r="29" spans="1:2">
      <c r="A29" s="136" t="s">
        <v>598</v>
      </c>
      <c r="B29" s="136" t="s">
        <v>599</v>
      </c>
    </row>
    <row r="30" spans="1:2">
      <c r="A30" s="137" t="s">
        <v>600</v>
      </c>
      <c r="B30" s="137" t="s">
        <v>601</v>
      </c>
    </row>
    <row r="31" spans="1:2">
      <c r="A31" s="137" t="s">
        <v>602</v>
      </c>
      <c r="B31" s="137" t="s">
        <v>603</v>
      </c>
    </row>
    <row r="32" spans="1:2">
      <c r="A32" s="137" t="s">
        <v>604</v>
      </c>
      <c r="B32" s="137" t="s">
        <v>605</v>
      </c>
    </row>
    <row r="33" spans="1:2">
      <c r="A33" s="137" t="s">
        <v>606</v>
      </c>
      <c r="B33" s="137" t="s">
        <v>607</v>
      </c>
    </row>
    <row r="34" spans="1:2">
      <c r="A34" s="137" t="s">
        <v>608</v>
      </c>
      <c r="B34" s="137" t="s">
        <v>609</v>
      </c>
    </row>
    <row r="35" spans="1:2">
      <c r="A35" s="137" t="s">
        <v>610</v>
      </c>
      <c r="B35" s="137" t="s">
        <v>611</v>
      </c>
    </row>
    <row r="36" spans="1:2">
      <c r="A36" s="137" t="s">
        <v>612</v>
      </c>
      <c r="B36" s="137" t="s">
        <v>613</v>
      </c>
    </row>
    <row r="37" spans="1:2">
      <c r="A37" s="137" t="s">
        <v>614</v>
      </c>
      <c r="B37" s="137" t="s">
        <v>615</v>
      </c>
    </row>
    <row r="38" spans="1:2">
      <c r="A38" s="137" t="s">
        <v>616</v>
      </c>
      <c r="B38" s="137" t="s">
        <v>617</v>
      </c>
    </row>
    <row r="39" spans="1:2">
      <c r="A39" s="137" t="s">
        <v>618</v>
      </c>
      <c r="B39" s="137" t="s">
        <v>619</v>
      </c>
    </row>
    <row r="40" spans="1:2">
      <c r="A40" s="137" t="s">
        <v>620</v>
      </c>
      <c r="B40" s="137" t="s">
        <v>621</v>
      </c>
    </row>
    <row r="41" spans="1:2">
      <c r="A41" s="137" t="s">
        <v>622</v>
      </c>
      <c r="B41" s="137" t="s">
        <v>623</v>
      </c>
    </row>
    <row r="42" spans="1:2">
      <c r="A42" s="136" t="s">
        <v>624</v>
      </c>
      <c r="B42" s="136" t="s">
        <v>625</v>
      </c>
    </row>
    <row r="43" spans="1:2">
      <c r="A43" s="136" t="s">
        <v>626</v>
      </c>
      <c r="B43" s="136" t="s">
        <v>627</v>
      </c>
    </row>
    <row r="44" spans="1:2">
      <c r="A44" s="136" t="s">
        <v>628</v>
      </c>
      <c r="B44" s="136" t="s">
        <v>629</v>
      </c>
    </row>
    <row r="45" spans="1:2">
      <c r="A45" s="136" t="s">
        <v>630</v>
      </c>
      <c r="B45" s="136" t="s">
        <v>631</v>
      </c>
    </row>
    <row r="46" spans="1:2">
      <c r="A46" s="136" t="s">
        <v>632</v>
      </c>
      <c r="B46" s="136" t="s">
        <v>625</v>
      </c>
    </row>
    <row r="47" spans="1:2">
      <c r="A47" s="136" t="s">
        <v>633</v>
      </c>
      <c r="B47" s="136" t="s">
        <v>627</v>
      </c>
    </row>
    <row r="48" spans="1:2">
      <c r="A48" s="136" t="s">
        <v>634</v>
      </c>
      <c r="B48" s="136" t="s">
        <v>629</v>
      </c>
    </row>
    <row r="49" spans="1:2">
      <c r="A49" s="136" t="s">
        <v>635</v>
      </c>
      <c r="B49" s="136" t="s">
        <v>631</v>
      </c>
    </row>
    <row r="50" spans="1:2">
      <c r="A50" s="136" t="s">
        <v>636</v>
      </c>
      <c r="B50" s="136" t="s">
        <v>637</v>
      </c>
    </row>
    <row r="51" spans="1:2">
      <c r="A51" s="136" t="s">
        <v>638</v>
      </c>
      <c r="B51" s="136" t="s">
        <v>639</v>
      </c>
    </row>
    <row r="52" spans="1:2">
      <c r="A52" s="136" t="s">
        <v>640</v>
      </c>
      <c r="B52" s="136" t="s">
        <v>641</v>
      </c>
    </row>
    <row r="53" spans="1:2">
      <c r="A53" s="136" t="s">
        <v>642</v>
      </c>
      <c r="B53" s="136" t="s">
        <v>643</v>
      </c>
    </row>
    <row r="54" spans="1:2">
      <c r="A54" s="136" t="s">
        <v>644</v>
      </c>
      <c r="B54" s="136" t="s">
        <v>637</v>
      </c>
    </row>
    <row r="55" spans="1:2">
      <c r="A55" s="136" t="s">
        <v>645</v>
      </c>
      <c r="B55" s="136" t="s">
        <v>639</v>
      </c>
    </row>
    <row r="56" spans="1:2">
      <c r="A56" s="136" t="s">
        <v>646</v>
      </c>
      <c r="B56" s="136" t="s">
        <v>641</v>
      </c>
    </row>
    <row r="57" spans="1:2">
      <c r="A57" s="136" t="s">
        <v>647</v>
      </c>
      <c r="B57" s="136" t="s">
        <v>643</v>
      </c>
    </row>
    <row r="58" spans="1:2">
      <c r="A58" s="136" t="s">
        <v>648</v>
      </c>
      <c r="B58" s="136" t="s">
        <v>649</v>
      </c>
    </row>
    <row r="59" spans="1:2">
      <c r="A59" s="136" t="s">
        <v>650</v>
      </c>
      <c r="B59" s="136" t="s">
        <v>651</v>
      </c>
    </row>
    <row r="60" spans="1:2">
      <c r="A60" s="136" t="s">
        <v>652</v>
      </c>
      <c r="B60" s="136" t="s">
        <v>653</v>
      </c>
    </row>
    <row r="61" spans="1:2">
      <c r="A61" s="136" t="s">
        <v>654</v>
      </c>
      <c r="B61" s="136" t="s">
        <v>655</v>
      </c>
    </row>
    <row r="62" spans="1:2">
      <c r="A62" s="136" t="s">
        <v>656</v>
      </c>
      <c r="B62" s="136" t="s">
        <v>657</v>
      </c>
    </row>
    <row r="63" spans="1:2">
      <c r="A63" s="136" t="s">
        <v>658</v>
      </c>
      <c r="B63" s="136" t="s">
        <v>659</v>
      </c>
    </row>
    <row r="64" spans="1:2">
      <c r="A64" s="136" t="s">
        <v>660</v>
      </c>
      <c r="B64" s="136" t="s">
        <v>661</v>
      </c>
    </row>
    <row r="65" spans="1:2">
      <c r="A65" s="136" t="s">
        <v>662</v>
      </c>
      <c r="B65" s="136" t="s">
        <v>663</v>
      </c>
    </row>
    <row r="66" spans="1:2">
      <c r="A66" s="136" t="s">
        <v>664</v>
      </c>
      <c r="B66" s="136" t="s">
        <v>303</v>
      </c>
    </row>
    <row r="67" spans="1:2">
      <c r="A67" s="136" t="s">
        <v>665</v>
      </c>
      <c r="B67" s="136" t="s">
        <v>302</v>
      </c>
    </row>
    <row r="68" spans="1:2">
      <c r="A68" s="136" t="s">
        <v>666</v>
      </c>
      <c r="B68" s="136" t="s">
        <v>301</v>
      </c>
    </row>
    <row r="69" spans="1:2">
      <c r="A69" s="136" t="s">
        <v>667</v>
      </c>
      <c r="B69" s="136" t="s">
        <v>300</v>
      </c>
    </row>
    <row r="70" spans="1:2">
      <c r="A70" s="136" t="s">
        <v>668</v>
      </c>
      <c r="B70" s="136" t="s">
        <v>669</v>
      </c>
    </row>
    <row r="71" spans="1:2">
      <c r="A71" s="136" t="s">
        <v>670</v>
      </c>
      <c r="B71" s="136" t="s">
        <v>671</v>
      </c>
    </row>
    <row r="72" spans="1:2">
      <c r="A72" s="136" t="s">
        <v>672</v>
      </c>
      <c r="B72" s="136" t="s">
        <v>673</v>
      </c>
    </row>
    <row r="73" spans="1:2">
      <c r="A73" s="136" t="s">
        <v>674</v>
      </c>
      <c r="B73" s="136" t="s">
        <v>675</v>
      </c>
    </row>
    <row r="74" spans="1:2">
      <c r="A74" s="136" t="s">
        <v>676</v>
      </c>
      <c r="B74" s="136" t="s">
        <v>306</v>
      </c>
    </row>
    <row r="75" spans="1:2">
      <c r="A75" s="136" t="s">
        <v>677</v>
      </c>
      <c r="B75" s="136" t="s">
        <v>305</v>
      </c>
    </row>
    <row r="76" spans="1:2">
      <c r="A76" s="136" t="s">
        <v>678</v>
      </c>
      <c r="B76" s="136" t="s">
        <v>304</v>
      </c>
    </row>
    <row r="77" spans="1:2">
      <c r="A77" s="136" t="s">
        <v>679</v>
      </c>
      <c r="B77" s="136" t="s">
        <v>298</v>
      </c>
    </row>
    <row r="78" spans="1:2">
      <c r="A78" s="136" t="s">
        <v>680</v>
      </c>
      <c r="B78" s="136" t="s">
        <v>310</v>
      </c>
    </row>
    <row r="79" spans="1:2">
      <c r="A79" s="136" t="s">
        <v>681</v>
      </c>
      <c r="B79" s="136" t="s">
        <v>309</v>
      </c>
    </row>
    <row r="80" spans="1:2">
      <c r="A80" s="136" t="s">
        <v>682</v>
      </c>
      <c r="B80" s="136" t="s">
        <v>308</v>
      </c>
    </row>
    <row r="81" spans="1:2">
      <c r="A81" s="136" t="s">
        <v>683</v>
      </c>
      <c r="B81" s="136" t="s">
        <v>307</v>
      </c>
    </row>
    <row r="82" spans="1:2">
      <c r="A82" s="138" t="s">
        <v>684</v>
      </c>
      <c r="B82" s="138" t="s">
        <v>685</v>
      </c>
    </row>
    <row r="83" spans="1:2">
      <c r="A83" s="138" t="s">
        <v>686</v>
      </c>
      <c r="B83" s="138" t="s">
        <v>687</v>
      </c>
    </row>
    <row r="84" spans="1:2">
      <c r="A84" s="138" t="s">
        <v>688</v>
      </c>
      <c r="B84" s="138" t="s">
        <v>689</v>
      </c>
    </row>
    <row r="85" spans="1:2">
      <c r="A85" s="138" t="s">
        <v>690</v>
      </c>
      <c r="B85" s="138" t="s">
        <v>691</v>
      </c>
    </row>
    <row r="86" spans="1:2">
      <c r="A86" s="138" t="s">
        <v>692</v>
      </c>
      <c r="B86" s="138" t="s">
        <v>693</v>
      </c>
    </row>
    <row r="87" spans="1:2">
      <c r="A87" s="138" t="s">
        <v>694</v>
      </c>
      <c r="B87" s="138" t="s">
        <v>695</v>
      </c>
    </row>
    <row r="88" spans="1:2">
      <c r="A88" s="138" t="s">
        <v>696</v>
      </c>
      <c r="B88" s="138" t="s">
        <v>697</v>
      </c>
    </row>
    <row r="89" spans="1:2">
      <c r="A89" s="138" t="s">
        <v>698</v>
      </c>
      <c r="B89" s="138" t="s">
        <v>699</v>
      </c>
    </row>
    <row r="90" spans="1:2">
      <c r="A90" s="138" t="s">
        <v>700</v>
      </c>
      <c r="B90" s="138" t="s">
        <v>701</v>
      </c>
    </row>
    <row r="91" spans="1:2">
      <c r="A91" s="138" t="s">
        <v>702</v>
      </c>
      <c r="B91" s="138" t="s">
        <v>703</v>
      </c>
    </row>
    <row r="92" spans="1:2">
      <c r="A92" s="138" t="s">
        <v>704</v>
      </c>
      <c r="B92" s="138" t="s">
        <v>705</v>
      </c>
    </row>
    <row r="93" spans="1:2">
      <c r="A93" s="138" t="s">
        <v>706</v>
      </c>
      <c r="B93" s="138" t="s">
        <v>707</v>
      </c>
    </row>
    <row r="94" spans="1:2">
      <c r="A94" s="138" t="s">
        <v>708</v>
      </c>
      <c r="B94" s="138" t="s">
        <v>709</v>
      </c>
    </row>
    <row r="95" spans="1:2">
      <c r="A95" s="138" t="s">
        <v>710</v>
      </c>
      <c r="B95" s="138" t="s">
        <v>711</v>
      </c>
    </row>
    <row r="96" spans="1:2">
      <c r="A96" s="138" t="s">
        <v>712</v>
      </c>
      <c r="B96" s="138" t="s">
        <v>713</v>
      </c>
    </row>
    <row r="97" spans="1:2">
      <c r="A97" s="138" t="s">
        <v>714</v>
      </c>
      <c r="B97" s="138" t="s">
        <v>715</v>
      </c>
    </row>
    <row r="98" spans="1:2">
      <c r="A98" s="138" t="s">
        <v>716</v>
      </c>
      <c r="B98" s="138" t="s">
        <v>717</v>
      </c>
    </row>
    <row r="99" spans="1:2">
      <c r="A99" s="138" t="s">
        <v>718</v>
      </c>
      <c r="B99" s="138" t="s">
        <v>719</v>
      </c>
    </row>
    <row r="100" spans="1:2">
      <c r="A100" s="138" t="s">
        <v>720</v>
      </c>
      <c r="B100" s="138" t="s">
        <v>721</v>
      </c>
    </row>
    <row r="101" spans="1:2">
      <c r="A101" s="138" t="s">
        <v>722</v>
      </c>
      <c r="B101" s="138" t="s">
        <v>723</v>
      </c>
    </row>
    <row r="102" spans="1:2">
      <c r="A102" s="138" t="s">
        <v>724</v>
      </c>
      <c r="B102" s="138" t="s">
        <v>725</v>
      </c>
    </row>
    <row r="103" spans="1:2">
      <c r="A103" s="138" t="s">
        <v>726</v>
      </c>
      <c r="B103" s="138" t="s">
        <v>727</v>
      </c>
    </row>
    <row r="104" spans="1:2">
      <c r="A104" s="138" t="s">
        <v>728</v>
      </c>
      <c r="B104" s="138" t="s">
        <v>729</v>
      </c>
    </row>
    <row r="105" spans="1:2">
      <c r="A105" s="138" t="s">
        <v>730</v>
      </c>
      <c r="B105" s="138" t="s">
        <v>731</v>
      </c>
    </row>
    <row r="106" spans="1:2">
      <c r="A106" s="138" t="s">
        <v>241</v>
      </c>
      <c r="B106" s="138" t="s">
        <v>234</v>
      </c>
    </row>
    <row r="107" spans="1:2">
      <c r="A107" s="138" t="s">
        <v>732</v>
      </c>
      <c r="B107" s="138" t="s">
        <v>203</v>
      </c>
    </row>
    <row r="108" spans="1:2">
      <c r="A108" s="138" t="s">
        <v>733</v>
      </c>
      <c r="B108" s="138" t="s">
        <v>192</v>
      </c>
    </row>
    <row r="109" spans="1:2">
      <c r="A109" s="138" t="s">
        <v>734</v>
      </c>
      <c r="B109" s="138" t="s">
        <v>218</v>
      </c>
    </row>
    <row r="110" spans="1:2">
      <c r="A110" s="138" t="s">
        <v>735</v>
      </c>
      <c r="B110" s="138" t="s">
        <v>206</v>
      </c>
    </row>
    <row r="111" spans="1:2">
      <c r="A111" s="138" t="s">
        <v>736</v>
      </c>
      <c r="B111" s="138" t="s">
        <v>196</v>
      </c>
    </row>
    <row r="112" spans="1:2">
      <c r="A112" s="138" t="s">
        <v>737</v>
      </c>
      <c r="B112" s="138" t="s">
        <v>221</v>
      </c>
    </row>
    <row r="113" spans="1:2">
      <c r="A113" s="138" t="s">
        <v>738</v>
      </c>
      <c r="B113" s="138" t="s">
        <v>739</v>
      </c>
    </row>
    <row r="114" spans="1:2">
      <c r="A114" s="138" t="s">
        <v>740</v>
      </c>
      <c r="B114" s="138" t="s">
        <v>741</v>
      </c>
    </row>
    <row r="115" spans="1:2">
      <c r="A115" s="138" t="s">
        <v>742</v>
      </c>
      <c r="B115" s="138" t="s">
        <v>743</v>
      </c>
    </row>
    <row r="116" spans="1:2">
      <c r="A116" s="138" t="s">
        <v>744</v>
      </c>
      <c r="B116" s="138" t="s">
        <v>292</v>
      </c>
    </row>
    <row r="117" spans="1:2">
      <c r="A117" s="138" t="s">
        <v>745</v>
      </c>
      <c r="B117" s="138" t="s">
        <v>746</v>
      </c>
    </row>
    <row r="118" spans="1:2">
      <c r="A118" s="138" t="s">
        <v>394</v>
      </c>
      <c r="B118" s="138" t="s">
        <v>54</v>
      </c>
    </row>
    <row r="119" spans="1:2">
      <c r="A119" s="138" t="s">
        <v>747</v>
      </c>
      <c r="B119" s="138" t="s">
        <v>124</v>
      </c>
    </row>
    <row r="120" spans="1:2">
      <c r="A120" s="138" t="s">
        <v>748</v>
      </c>
      <c r="B120" s="138" t="s">
        <v>749</v>
      </c>
    </row>
    <row r="121" spans="1:2">
      <c r="A121" s="138" t="s">
        <v>750</v>
      </c>
      <c r="B121" s="138" t="s">
        <v>751</v>
      </c>
    </row>
    <row r="122" spans="1:2">
      <c r="A122" s="138" t="s">
        <v>752</v>
      </c>
      <c r="B122" s="138" t="s">
        <v>753</v>
      </c>
    </row>
    <row r="123" spans="1:2">
      <c r="A123" s="138" t="s">
        <v>754</v>
      </c>
      <c r="B123" s="138" t="s">
        <v>755</v>
      </c>
    </row>
    <row r="124" spans="1:2">
      <c r="A124" s="138" t="s">
        <v>756</v>
      </c>
      <c r="B124" s="138" t="s">
        <v>215</v>
      </c>
    </row>
    <row r="125" spans="1:2">
      <c r="A125" s="138" t="s">
        <v>757</v>
      </c>
      <c r="B125" s="138" t="s">
        <v>758</v>
      </c>
    </row>
    <row r="126" spans="1:2">
      <c r="A126" s="138" t="s">
        <v>759</v>
      </c>
      <c r="B126" s="138" t="s">
        <v>760</v>
      </c>
    </row>
    <row r="127" spans="1:2">
      <c r="A127" s="138" t="s">
        <v>761</v>
      </c>
      <c r="B127" s="138" t="s">
        <v>762</v>
      </c>
    </row>
    <row r="128" spans="1:2">
      <c r="A128" s="138" t="s">
        <v>763</v>
      </c>
      <c r="B128" s="138" t="s">
        <v>764</v>
      </c>
    </row>
    <row r="129" spans="1:2">
      <c r="A129" s="138" t="s">
        <v>765</v>
      </c>
      <c r="B129" s="138" t="s">
        <v>213</v>
      </c>
    </row>
    <row r="130" spans="1:2">
      <c r="A130" s="138" t="s">
        <v>766</v>
      </c>
      <c r="B130" s="138" t="s">
        <v>767</v>
      </c>
    </row>
    <row r="131" spans="1:2">
      <c r="A131" s="138" t="s">
        <v>768</v>
      </c>
      <c r="B131" s="138" t="s">
        <v>769</v>
      </c>
    </row>
    <row r="132" spans="1:2">
      <c r="A132" s="138" t="s">
        <v>770</v>
      </c>
      <c r="B132" s="138" t="s">
        <v>771</v>
      </c>
    </row>
    <row r="133" spans="1:2">
      <c r="A133" s="138" t="s">
        <v>772</v>
      </c>
      <c r="B133" s="138" t="s">
        <v>773</v>
      </c>
    </row>
    <row r="134" spans="1:2">
      <c r="A134" s="138" t="s">
        <v>774</v>
      </c>
      <c r="B134" s="138" t="s">
        <v>775</v>
      </c>
    </row>
    <row r="135" spans="1:2">
      <c r="A135" s="138" t="s">
        <v>776</v>
      </c>
      <c r="B135" s="138" t="s">
        <v>777</v>
      </c>
    </row>
    <row r="136" spans="1:2">
      <c r="A136" s="138" t="s">
        <v>778</v>
      </c>
      <c r="B136" s="138" t="s">
        <v>779</v>
      </c>
    </row>
    <row r="137" spans="1:2">
      <c r="A137" s="138" t="s">
        <v>780</v>
      </c>
      <c r="B137" s="138" t="s">
        <v>781</v>
      </c>
    </row>
    <row r="138" spans="1:2">
      <c r="A138" s="138" t="s">
        <v>782</v>
      </c>
      <c r="B138" s="138" t="s">
        <v>783</v>
      </c>
    </row>
    <row r="139" spans="1:2">
      <c r="A139" s="138" t="s">
        <v>784</v>
      </c>
      <c r="B139" s="138" t="s">
        <v>785</v>
      </c>
    </row>
    <row r="140" spans="1:2">
      <c r="A140" s="138" t="s">
        <v>786</v>
      </c>
      <c r="B140" s="138" t="s">
        <v>200</v>
      </c>
    </row>
    <row r="141" spans="1:2">
      <c r="A141" s="138" t="s">
        <v>787</v>
      </c>
      <c r="B141" s="138" t="s">
        <v>788</v>
      </c>
    </row>
    <row r="142" spans="1:2">
      <c r="A142" s="138" t="s">
        <v>789</v>
      </c>
      <c r="B142" s="138" t="s">
        <v>197</v>
      </c>
    </row>
    <row r="143" spans="1:2">
      <c r="A143" s="138" t="s">
        <v>790</v>
      </c>
      <c r="B143" s="138" t="s">
        <v>791</v>
      </c>
    </row>
    <row r="144" spans="1:2">
      <c r="A144" s="138" t="s">
        <v>792</v>
      </c>
      <c r="B144" s="138" t="s">
        <v>793</v>
      </c>
    </row>
    <row r="145" spans="1:2">
      <c r="A145" s="138" t="s">
        <v>794</v>
      </c>
      <c r="B145" s="138" t="s">
        <v>795</v>
      </c>
    </row>
    <row r="146" spans="1:2">
      <c r="A146" s="138" t="s">
        <v>252</v>
      </c>
      <c r="B146" s="138" t="s">
        <v>55</v>
      </c>
    </row>
    <row r="147" spans="1:2">
      <c r="A147" s="138" t="s">
        <v>796</v>
      </c>
      <c r="B147" s="138" t="s">
        <v>797</v>
      </c>
    </row>
    <row r="148" spans="1:2">
      <c r="A148" s="138" t="s">
        <v>798</v>
      </c>
      <c r="B148" s="138" t="s">
        <v>799</v>
      </c>
    </row>
    <row r="149" spans="1:2">
      <c r="A149" s="138" t="s">
        <v>800</v>
      </c>
      <c r="B149" s="138" t="s">
        <v>801</v>
      </c>
    </row>
    <row r="150" spans="1:2">
      <c r="A150" s="138" t="s">
        <v>802</v>
      </c>
      <c r="B150" s="138" t="s">
        <v>803</v>
      </c>
    </row>
    <row r="151" spans="1:2">
      <c r="A151" s="138" t="s">
        <v>804</v>
      </c>
      <c r="B151" s="138" t="s">
        <v>217</v>
      </c>
    </row>
    <row r="152" spans="1:2">
      <c r="A152" s="138" t="s">
        <v>805</v>
      </c>
      <c r="B152" s="138" t="s">
        <v>806</v>
      </c>
    </row>
    <row r="153" spans="1:2">
      <c r="A153" s="138" t="s">
        <v>807</v>
      </c>
      <c r="B153" s="138" t="s">
        <v>808</v>
      </c>
    </row>
    <row r="154" spans="1:2">
      <c r="A154" s="138" t="s">
        <v>809</v>
      </c>
      <c r="B154" s="138" t="s">
        <v>202</v>
      </c>
    </row>
    <row r="155" spans="1:2">
      <c r="A155" s="138" t="s">
        <v>810</v>
      </c>
      <c r="B155" s="138" t="s">
        <v>811</v>
      </c>
    </row>
    <row r="156" spans="1:2">
      <c r="A156" s="138" t="s">
        <v>812</v>
      </c>
      <c r="B156" s="138" t="s">
        <v>199</v>
      </c>
    </row>
    <row r="157" spans="1:2">
      <c r="A157" s="138" t="s">
        <v>813</v>
      </c>
      <c r="B157" s="138" t="s">
        <v>814</v>
      </c>
    </row>
    <row r="158" spans="1:2">
      <c r="A158" s="138" t="s">
        <v>815</v>
      </c>
      <c r="B158" s="138" t="s">
        <v>816</v>
      </c>
    </row>
    <row r="159" spans="1:2">
      <c r="A159" s="138" t="s">
        <v>817</v>
      </c>
      <c r="B159" s="138" t="s">
        <v>818</v>
      </c>
    </row>
    <row r="160" spans="1:2">
      <c r="A160" s="138" t="s">
        <v>369</v>
      </c>
      <c r="B160" s="138" t="s">
        <v>66</v>
      </c>
    </row>
    <row r="161" spans="1:2">
      <c r="A161" s="136" t="s">
        <v>819</v>
      </c>
      <c r="B161" s="136" t="s">
        <v>820</v>
      </c>
    </row>
    <row r="162" spans="1:2">
      <c r="A162" s="136" t="s">
        <v>821</v>
      </c>
      <c r="B162" s="136" t="s">
        <v>822</v>
      </c>
    </row>
    <row r="163" spans="1:2">
      <c r="A163" s="136" t="s">
        <v>823</v>
      </c>
      <c r="B163" s="136" t="s">
        <v>824</v>
      </c>
    </row>
    <row r="164" spans="1:2">
      <c r="A164" s="136" t="s">
        <v>825</v>
      </c>
      <c r="B164" s="136" t="s">
        <v>826</v>
      </c>
    </row>
    <row r="165" spans="1:2">
      <c r="A165" s="136" t="s">
        <v>827</v>
      </c>
      <c r="B165" s="136" t="s">
        <v>828</v>
      </c>
    </row>
    <row r="166" spans="1:2">
      <c r="A166" s="136" t="s">
        <v>829</v>
      </c>
      <c r="B166" s="136" t="s">
        <v>830</v>
      </c>
    </row>
    <row r="167" spans="1:2">
      <c r="A167" s="136" t="s">
        <v>831</v>
      </c>
      <c r="B167" s="136" t="s">
        <v>832</v>
      </c>
    </row>
    <row r="168" spans="1:2">
      <c r="A168" s="136" t="s">
        <v>833</v>
      </c>
      <c r="B168" s="136" t="s">
        <v>834</v>
      </c>
    </row>
    <row r="169" spans="1:2">
      <c r="A169" s="136" t="s">
        <v>835</v>
      </c>
      <c r="B169" s="136" t="s">
        <v>836</v>
      </c>
    </row>
    <row r="170" spans="1:2">
      <c r="A170" s="136" t="s">
        <v>837</v>
      </c>
      <c r="B170" s="136" t="s">
        <v>838</v>
      </c>
    </row>
    <row r="171" spans="1:2">
      <c r="A171" s="136" t="s">
        <v>839</v>
      </c>
      <c r="B171" s="136" t="s">
        <v>840</v>
      </c>
    </row>
    <row r="172" spans="1:2">
      <c r="A172" s="136" t="s">
        <v>841</v>
      </c>
      <c r="B172" s="136" t="s">
        <v>842</v>
      </c>
    </row>
    <row r="173" spans="1:2">
      <c r="A173" s="136" t="s">
        <v>843</v>
      </c>
      <c r="B173" s="136" t="s">
        <v>844</v>
      </c>
    </row>
    <row r="174" spans="1:2">
      <c r="A174" s="136" t="s">
        <v>845</v>
      </c>
      <c r="B174" s="136" t="s">
        <v>846</v>
      </c>
    </row>
    <row r="175" spans="1:2">
      <c r="A175" s="136" t="s">
        <v>847</v>
      </c>
      <c r="B175" s="136" t="s">
        <v>848</v>
      </c>
    </row>
    <row r="176" spans="1:2">
      <c r="A176" s="136" t="s">
        <v>849</v>
      </c>
      <c r="B176" s="136" t="s">
        <v>850</v>
      </c>
    </row>
    <row r="177" spans="1:2">
      <c r="A177" s="136" t="s">
        <v>851</v>
      </c>
      <c r="B177" s="136" t="s">
        <v>852</v>
      </c>
    </row>
    <row r="178" spans="1:2">
      <c r="A178" s="136" t="s">
        <v>853</v>
      </c>
      <c r="B178" s="136" t="s">
        <v>854</v>
      </c>
    </row>
    <row r="179" spans="1:2">
      <c r="A179" s="136" t="s">
        <v>855</v>
      </c>
      <c r="B179" s="136" t="s">
        <v>856</v>
      </c>
    </row>
    <row r="180" spans="1:2">
      <c r="A180" s="136" t="s">
        <v>857</v>
      </c>
      <c r="B180" s="136" t="s">
        <v>858</v>
      </c>
    </row>
    <row r="181" spans="1:2">
      <c r="A181" s="136" t="s">
        <v>859</v>
      </c>
      <c r="B181" s="136" t="s">
        <v>860</v>
      </c>
    </row>
    <row r="182" spans="1:2">
      <c r="A182" s="136" t="s">
        <v>861</v>
      </c>
      <c r="B182" s="136" t="s">
        <v>862</v>
      </c>
    </row>
    <row r="183" spans="1:2">
      <c r="A183" s="136" t="s">
        <v>863</v>
      </c>
      <c r="B183" s="136" t="s">
        <v>864</v>
      </c>
    </row>
    <row r="184" spans="1:2">
      <c r="A184" s="136" t="s">
        <v>865</v>
      </c>
      <c r="B184" s="136" t="s">
        <v>866</v>
      </c>
    </row>
    <row r="185" spans="1:2">
      <c r="A185" s="136" t="s">
        <v>867</v>
      </c>
      <c r="B185" s="136" t="s">
        <v>868</v>
      </c>
    </row>
    <row r="186" spans="1:2">
      <c r="A186" s="136" t="s">
        <v>869</v>
      </c>
      <c r="B186" s="136" t="s">
        <v>870</v>
      </c>
    </row>
    <row r="187" spans="1:2">
      <c r="A187" s="136" t="s">
        <v>871</v>
      </c>
      <c r="B187" s="136" t="s">
        <v>872</v>
      </c>
    </row>
    <row r="188" spans="1:2">
      <c r="A188" s="136" t="s">
        <v>873</v>
      </c>
      <c r="B188" s="136" t="s">
        <v>874</v>
      </c>
    </row>
    <row r="189" spans="1:2">
      <c r="A189" s="136" t="s">
        <v>875</v>
      </c>
      <c r="B189" s="136" t="s">
        <v>876</v>
      </c>
    </row>
    <row r="190" spans="1:2">
      <c r="A190" s="136" t="s">
        <v>877</v>
      </c>
      <c r="B190" s="136" t="s">
        <v>878</v>
      </c>
    </row>
    <row r="191" spans="1:2">
      <c r="A191" s="136" t="s">
        <v>879</v>
      </c>
      <c r="B191" s="136" t="s">
        <v>880</v>
      </c>
    </row>
    <row r="192" spans="1:2">
      <c r="A192" s="136" t="s">
        <v>881</v>
      </c>
      <c r="B192" s="136" t="s">
        <v>882</v>
      </c>
    </row>
    <row r="193" spans="1:2">
      <c r="A193" s="136" t="s">
        <v>883</v>
      </c>
      <c r="B193" s="136" t="s">
        <v>884</v>
      </c>
    </row>
    <row r="194" spans="1:2">
      <c r="A194" s="136" t="s">
        <v>885</v>
      </c>
      <c r="B194" s="136" t="s">
        <v>886</v>
      </c>
    </row>
    <row r="195" spans="1:2">
      <c r="A195" s="136" t="s">
        <v>887</v>
      </c>
      <c r="B195" s="136" t="s">
        <v>888</v>
      </c>
    </row>
    <row r="196" spans="1:2">
      <c r="A196" s="136" t="s">
        <v>889</v>
      </c>
      <c r="B196" s="136" t="s">
        <v>890</v>
      </c>
    </row>
    <row r="197" spans="1:2">
      <c r="A197" s="136" t="s">
        <v>891</v>
      </c>
      <c r="B197" s="136" t="s">
        <v>892</v>
      </c>
    </row>
    <row r="198" spans="1:2">
      <c r="A198" s="136" t="s">
        <v>893</v>
      </c>
      <c r="B198" s="136" t="s">
        <v>894</v>
      </c>
    </row>
    <row r="199" spans="1:2">
      <c r="A199" s="136" t="s">
        <v>895</v>
      </c>
      <c r="B199" s="136" t="s">
        <v>896</v>
      </c>
    </row>
    <row r="200" spans="1:2">
      <c r="A200" s="136" t="s">
        <v>897</v>
      </c>
      <c r="B200" s="136" t="s">
        <v>898</v>
      </c>
    </row>
    <row r="201" spans="1:2">
      <c r="A201" s="136" t="s">
        <v>899</v>
      </c>
      <c r="B201" s="136" t="s">
        <v>900</v>
      </c>
    </row>
    <row r="202" spans="1:2">
      <c r="A202" s="136" t="s">
        <v>901</v>
      </c>
      <c r="B202" s="136" t="s">
        <v>902</v>
      </c>
    </row>
    <row r="203" spans="1:2">
      <c r="A203" s="136" t="s">
        <v>903</v>
      </c>
      <c r="B203" s="136" t="s">
        <v>904</v>
      </c>
    </row>
    <row r="204" spans="1:2">
      <c r="A204" s="136" t="s">
        <v>905</v>
      </c>
      <c r="B204" s="136" t="s">
        <v>906</v>
      </c>
    </row>
    <row r="205" spans="1:2">
      <c r="A205" s="136" t="s">
        <v>907</v>
      </c>
      <c r="B205" s="136" t="s">
        <v>908</v>
      </c>
    </row>
    <row r="206" spans="1:2">
      <c r="A206" s="136" t="s">
        <v>909</v>
      </c>
      <c r="B206" s="136" t="s">
        <v>910</v>
      </c>
    </row>
    <row r="207" spans="1:2">
      <c r="A207" s="136" t="s">
        <v>911</v>
      </c>
      <c r="B207" s="136" t="s">
        <v>912</v>
      </c>
    </row>
    <row r="208" spans="1:2">
      <c r="A208" s="136" t="s">
        <v>913</v>
      </c>
      <c r="B208" s="136" t="s">
        <v>914</v>
      </c>
    </row>
    <row r="209" spans="1:2">
      <c r="A209" s="136" t="s">
        <v>915</v>
      </c>
      <c r="B209" s="136" t="s">
        <v>916</v>
      </c>
    </row>
    <row r="210" spans="1:2">
      <c r="A210" s="136" t="s">
        <v>917</v>
      </c>
      <c r="B210" s="136" t="s">
        <v>918</v>
      </c>
    </row>
    <row r="211" spans="1:2">
      <c r="A211" s="136" t="s">
        <v>919</v>
      </c>
      <c r="B211" s="136" t="s">
        <v>920</v>
      </c>
    </row>
    <row r="212" spans="1:2">
      <c r="A212" s="136" t="s">
        <v>921</v>
      </c>
      <c r="B212" s="136" t="s">
        <v>922</v>
      </c>
    </row>
    <row r="213" spans="1:2">
      <c r="A213" s="136" t="s">
        <v>923</v>
      </c>
      <c r="B213" s="136" t="s">
        <v>924</v>
      </c>
    </row>
    <row r="214" spans="1:2">
      <c r="A214" s="136" t="s">
        <v>925</v>
      </c>
      <c r="B214" s="136" t="s">
        <v>926</v>
      </c>
    </row>
    <row r="215" spans="1:2">
      <c r="A215" s="136" t="s">
        <v>927</v>
      </c>
      <c r="B215" s="136" t="s">
        <v>928</v>
      </c>
    </row>
    <row r="216" spans="1:2">
      <c r="A216" s="136" t="s">
        <v>929</v>
      </c>
      <c r="B216" s="136" t="s">
        <v>930</v>
      </c>
    </row>
    <row r="217" spans="1:2">
      <c r="A217" s="136" t="s">
        <v>931</v>
      </c>
      <c r="B217" s="136" t="s">
        <v>932</v>
      </c>
    </row>
    <row r="218" spans="1:2">
      <c r="A218" s="136" t="s">
        <v>933</v>
      </c>
      <c r="B218" s="136" t="s">
        <v>934</v>
      </c>
    </row>
    <row r="219" spans="1:2">
      <c r="A219" s="136" t="s">
        <v>935</v>
      </c>
      <c r="B219" s="136" t="s">
        <v>936</v>
      </c>
    </row>
    <row r="220" spans="1:2">
      <c r="A220" s="136" t="s">
        <v>937</v>
      </c>
      <c r="B220" s="136" t="s">
        <v>938</v>
      </c>
    </row>
    <row r="221" spans="1:2">
      <c r="A221" s="136" t="s">
        <v>939</v>
      </c>
      <c r="B221" s="136" t="s">
        <v>940</v>
      </c>
    </row>
    <row r="222" spans="1:2">
      <c r="A222" s="136" t="s">
        <v>941</v>
      </c>
      <c r="B222" s="136" t="s">
        <v>942</v>
      </c>
    </row>
    <row r="223" spans="1:2">
      <c r="A223" s="136" t="s">
        <v>943</v>
      </c>
      <c r="B223" s="136" t="s">
        <v>944</v>
      </c>
    </row>
    <row r="224" spans="1:2">
      <c r="A224" s="136" t="s">
        <v>945</v>
      </c>
      <c r="B224" s="136" t="s">
        <v>946</v>
      </c>
    </row>
    <row r="225" spans="1:2">
      <c r="A225" s="136" t="s">
        <v>947</v>
      </c>
      <c r="B225" s="136" t="s">
        <v>948</v>
      </c>
    </row>
    <row r="226" spans="1:2">
      <c r="A226" s="136" t="s">
        <v>949</v>
      </c>
      <c r="B226" s="136" t="s">
        <v>950</v>
      </c>
    </row>
    <row r="227" spans="1:2">
      <c r="A227" s="136" t="s">
        <v>951</v>
      </c>
      <c r="B227" s="136" t="s">
        <v>952</v>
      </c>
    </row>
    <row r="228" spans="1:2">
      <c r="A228" s="136" t="s">
        <v>953</v>
      </c>
      <c r="B228" s="136" t="s">
        <v>954</v>
      </c>
    </row>
    <row r="229" spans="1:2">
      <c r="A229" s="136" t="s">
        <v>955</v>
      </c>
      <c r="B229" s="136" t="s">
        <v>956</v>
      </c>
    </row>
    <row r="230" spans="1:2">
      <c r="A230" s="136" t="s">
        <v>957</v>
      </c>
      <c r="B230" s="136" t="s">
        <v>958</v>
      </c>
    </row>
    <row r="231" spans="1:2">
      <c r="A231" s="136" t="s">
        <v>959</v>
      </c>
      <c r="B231" s="136" t="s">
        <v>960</v>
      </c>
    </row>
    <row r="232" spans="1:2">
      <c r="A232" s="136" t="s">
        <v>961</v>
      </c>
      <c r="B232" s="136" t="s">
        <v>962</v>
      </c>
    </row>
    <row r="233" spans="1:2">
      <c r="A233" s="136" t="s">
        <v>963</v>
      </c>
      <c r="B233" s="136" t="s">
        <v>964</v>
      </c>
    </row>
    <row r="234" spans="1:2">
      <c r="A234" s="136" t="s">
        <v>965</v>
      </c>
      <c r="B234" s="136" t="s">
        <v>966</v>
      </c>
    </row>
    <row r="235" spans="1:2">
      <c r="A235" s="136" t="s">
        <v>967</v>
      </c>
      <c r="B235" s="136" t="s">
        <v>968</v>
      </c>
    </row>
    <row r="236" spans="1:2">
      <c r="A236" s="136" t="s">
        <v>969</v>
      </c>
      <c r="B236" s="136" t="s">
        <v>970</v>
      </c>
    </row>
    <row r="237" spans="1:2">
      <c r="A237" s="136" t="s">
        <v>971</v>
      </c>
      <c r="B237" s="136" t="s">
        <v>972</v>
      </c>
    </row>
    <row r="238" spans="1:2">
      <c r="A238" s="136" t="s">
        <v>973</v>
      </c>
      <c r="B238" s="136" t="s">
        <v>974</v>
      </c>
    </row>
    <row r="239" spans="1:2">
      <c r="A239" s="136" t="s">
        <v>975</v>
      </c>
      <c r="B239" s="136" t="s">
        <v>976</v>
      </c>
    </row>
    <row r="240" spans="1:2">
      <c r="A240" s="136" t="s">
        <v>977</v>
      </c>
      <c r="B240" s="136" t="s">
        <v>978</v>
      </c>
    </row>
    <row r="241" spans="1:2">
      <c r="A241" s="136" t="s">
        <v>979</v>
      </c>
      <c r="B241" s="136" t="s">
        <v>980</v>
      </c>
    </row>
    <row r="242" spans="1:2">
      <c r="A242" s="136" t="s">
        <v>981</v>
      </c>
      <c r="B242" s="136" t="s">
        <v>982</v>
      </c>
    </row>
    <row r="243" spans="1:2">
      <c r="A243" s="136" t="s">
        <v>983</v>
      </c>
      <c r="B243" s="136" t="s">
        <v>984</v>
      </c>
    </row>
    <row r="244" spans="1:2">
      <c r="A244" s="136" t="s">
        <v>985</v>
      </c>
      <c r="B244" s="136" t="s">
        <v>986</v>
      </c>
    </row>
    <row r="245" spans="1:2">
      <c r="A245" s="136" t="s">
        <v>987</v>
      </c>
      <c r="B245" s="136" t="s">
        <v>988</v>
      </c>
    </row>
    <row r="246" spans="1:2">
      <c r="A246" s="136" t="s">
        <v>989</v>
      </c>
      <c r="B246" s="136" t="s">
        <v>990</v>
      </c>
    </row>
    <row r="247" spans="1:2">
      <c r="A247" s="136" t="s">
        <v>991</v>
      </c>
      <c r="B247" s="136" t="s">
        <v>992</v>
      </c>
    </row>
    <row r="248" spans="1:2">
      <c r="A248" s="136" t="s">
        <v>993</v>
      </c>
      <c r="B248" s="136" t="s">
        <v>994</v>
      </c>
    </row>
    <row r="249" spans="1:2">
      <c r="A249" s="136" t="s">
        <v>995</v>
      </c>
      <c r="B249" s="136" t="s">
        <v>996</v>
      </c>
    </row>
    <row r="250" spans="1:2">
      <c r="A250" s="136" t="s">
        <v>997</v>
      </c>
      <c r="B250" s="136" t="s">
        <v>998</v>
      </c>
    </row>
    <row r="251" spans="1:2">
      <c r="A251" s="136" t="s">
        <v>999</v>
      </c>
      <c r="B251" s="136" t="s">
        <v>1000</v>
      </c>
    </row>
    <row r="252" spans="1:2">
      <c r="A252" s="136" t="s">
        <v>1001</v>
      </c>
      <c r="B252" s="136" t="s">
        <v>1002</v>
      </c>
    </row>
    <row r="253" spans="1:2">
      <c r="A253" s="136" t="s">
        <v>1003</v>
      </c>
      <c r="B253" s="136" t="s">
        <v>1004</v>
      </c>
    </row>
    <row r="254" spans="1:2">
      <c r="A254" s="136" t="s">
        <v>1005</v>
      </c>
      <c r="B254" s="136" t="s">
        <v>1006</v>
      </c>
    </row>
    <row r="255" spans="1:2">
      <c r="A255" s="136" t="s">
        <v>1007</v>
      </c>
      <c r="B255" s="136" t="s">
        <v>1008</v>
      </c>
    </row>
    <row r="256" spans="1:2">
      <c r="A256" s="136" t="s">
        <v>1009</v>
      </c>
      <c r="B256" s="136" t="s">
        <v>1010</v>
      </c>
    </row>
    <row r="257" spans="1:2">
      <c r="A257" s="136" t="s">
        <v>1011</v>
      </c>
      <c r="B257" s="136" t="s">
        <v>1012</v>
      </c>
    </row>
    <row r="258" spans="1:2">
      <c r="A258" s="136" t="s">
        <v>1013</v>
      </c>
      <c r="B258" s="136" t="s">
        <v>1014</v>
      </c>
    </row>
    <row r="259" spans="1:2">
      <c r="A259" s="136" t="s">
        <v>1015</v>
      </c>
      <c r="B259" s="136" t="s">
        <v>1016</v>
      </c>
    </row>
    <row r="260" spans="1:2">
      <c r="A260" s="136" t="s">
        <v>1017</v>
      </c>
      <c r="B260" s="136" t="s">
        <v>1018</v>
      </c>
    </row>
    <row r="261" spans="1:2">
      <c r="A261" s="136" t="s">
        <v>664</v>
      </c>
      <c r="B261" s="136" t="s">
        <v>303</v>
      </c>
    </row>
    <row r="262" spans="1:2">
      <c r="A262" s="136" t="s">
        <v>665</v>
      </c>
      <c r="B262" s="136" t="s">
        <v>302</v>
      </c>
    </row>
    <row r="263" spans="1:2">
      <c r="A263" s="136" t="s">
        <v>666</v>
      </c>
      <c r="B263" s="136" t="s">
        <v>301</v>
      </c>
    </row>
    <row r="264" spans="1:2">
      <c r="A264" s="136" t="s">
        <v>667</v>
      </c>
      <c r="B264" s="136" t="s">
        <v>300</v>
      </c>
    </row>
    <row r="265" spans="1:2">
      <c r="A265" s="136" t="s">
        <v>668</v>
      </c>
      <c r="B265" s="136" t="s">
        <v>669</v>
      </c>
    </row>
    <row r="266" spans="1:2">
      <c r="A266" s="136" t="s">
        <v>670</v>
      </c>
      <c r="B266" s="136" t="s">
        <v>671</v>
      </c>
    </row>
    <row r="267" spans="1:2">
      <c r="A267" s="136" t="s">
        <v>672</v>
      </c>
      <c r="B267" s="136" t="s">
        <v>673</v>
      </c>
    </row>
    <row r="268" spans="1:2">
      <c r="A268" s="136" t="s">
        <v>674</v>
      </c>
      <c r="B268" s="136" t="s">
        <v>675</v>
      </c>
    </row>
    <row r="269" spans="1:2">
      <c r="A269" s="136" t="s">
        <v>676</v>
      </c>
      <c r="B269" s="136" t="s">
        <v>306</v>
      </c>
    </row>
    <row r="270" spans="1:2">
      <c r="A270" s="136" t="s">
        <v>677</v>
      </c>
      <c r="B270" s="136" t="s">
        <v>305</v>
      </c>
    </row>
    <row r="271" spans="1:2">
      <c r="A271" s="136" t="s">
        <v>678</v>
      </c>
      <c r="B271" s="136" t="s">
        <v>304</v>
      </c>
    </row>
    <row r="272" spans="1:2">
      <c r="A272" s="136" t="s">
        <v>679</v>
      </c>
      <c r="B272" s="136" t="s">
        <v>298</v>
      </c>
    </row>
    <row r="273" spans="1:2">
      <c r="A273" s="136" t="s">
        <v>680</v>
      </c>
      <c r="B273" s="136" t="s">
        <v>310</v>
      </c>
    </row>
    <row r="274" spans="1:2">
      <c r="A274" s="136" t="s">
        <v>681</v>
      </c>
      <c r="B274" s="136" t="s">
        <v>309</v>
      </c>
    </row>
    <row r="275" spans="1:2">
      <c r="A275" s="136" t="s">
        <v>682</v>
      </c>
      <c r="B275" s="136" t="s">
        <v>308</v>
      </c>
    </row>
    <row r="276" spans="1:2">
      <c r="A276" s="136" t="s">
        <v>683</v>
      </c>
      <c r="B276" s="136" t="s">
        <v>307</v>
      </c>
    </row>
    <row r="277" spans="1:2">
      <c r="A277" s="136" t="s">
        <v>557</v>
      </c>
      <c r="B277" s="136" t="s">
        <v>556</v>
      </c>
    </row>
    <row r="278" spans="1:2">
      <c r="A278" s="136" t="s">
        <v>559</v>
      </c>
      <c r="B278" s="136" t="s">
        <v>558</v>
      </c>
    </row>
    <row r="279" spans="1:2">
      <c r="A279" s="136" t="s">
        <v>561</v>
      </c>
      <c r="B279" s="136" t="s">
        <v>560</v>
      </c>
    </row>
    <row r="280" spans="1:2">
      <c r="A280" s="136" t="s">
        <v>563</v>
      </c>
      <c r="B280" s="136" t="s">
        <v>562</v>
      </c>
    </row>
    <row r="281" spans="1:2">
      <c r="A281" s="136" t="s">
        <v>557</v>
      </c>
      <c r="B281" s="136" t="s">
        <v>564</v>
      </c>
    </row>
    <row r="282" spans="1:2">
      <c r="A282" s="136" t="s">
        <v>559</v>
      </c>
      <c r="B282" s="136" t="s">
        <v>565</v>
      </c>
    </row>
    <row r="283" spans="1:2">
      <c r="A283" s="136" t="s">
        <v>561</v>
      </c>
      <c r="B283" s="136" t="s">
        <v>566</v>
      </c>
    </row>
    <row r="284" spans="1:2">
      <c r="A284" s="136" t="s">
        <v>563</v>
      </c>
      <c r="B284" s="136" t="s">
        <v>567</v>
      </c>
    </row>
    <row r="285" spans="1:2">
      <c r="A285" s="136" t="s">
        <v>569</v>
      </c>
      <c r="B285" s="136" t="s">
        <v>568</v>
      </c>
    </row>
    <row r="286" spans="1:2">
      <c r="A286" s="136" t="s">
        <v>571</v>
      </c>
      <c r="B286" s="136" t="s">
        <v>570</v>
      </c>
    </row>
    <row r="287" spans="1:2">
      <c r="A287" s="136" t="s">
        <v>573</v>
      </c>
      <c r="B287" s="136" t="s">
        <v>572</v>
      </c>
    </row>
    <row r="288" spans="1:2">
      <c r="A288" s="136" t="s">
        <v>575</v>
      </c>
      <c r="B288" s="136" t="s">
        <v>574</v>
      </c>
    </row>
    <row r="289" spans="1:2">
      <c r="A289" s="136" t="s">
        <v>569</v>
      </c>
      <c r="B289" s="136" t="s">
        <v>576</v>
      </c>
    </row>
    <row r="290" spans="1:2">
      <c r="A290" s="136" t="s">
        <v>571</v>
      </c>
      <c r="B290" s="136" t="s">
        <v>577</v>
      </c>
    </row>
    <row r="291" spans="1:2">
      <c r="A291" s="136" t="s">
        <v>573</v>
      </c>
      <c r="B291" s="136" t="s">
        <v>578</v>
      </c>
    </row>
    <row r="292" spans="1:2">
      <c r="A292" s="136" t="s">
        <v>575</v>
      </c>
      <c r="B292" s="136" t="s">
        <v>579</v>
      </c>
    </row>
    <row r="293" spans="1:2">
      <c r="A293" s="136" t="s">
        <v>581</v>
      </c>
      <c r="B293" s="136" t="s">
        <v>580</v>
      </c>
    </row>
    <row r="294" spans="1:2">
      <c r="A294" s="136" t="s">
        <v>583</v>
      </c>
      <c r="B294" s="136" t="s">
        <v>582</v>
      </c>
    </row>
    <row r="295" spans="1:2">
      <c r="A295" s="136" t="s">
        <v>585</v>
      </c>
      <c r="B295" s="136" t="s">
        <v>584</v>
      </c>
    </row>
    <row r="296" spans="1:2">
      <c r="A296" s="136" t="s">
        <v>587</v>
      </c>
      <c r="B296" s="136" t="s">
        <v>586</v>
      </c>
    </row>
    <row r="297" spans="1:2">
      <c r="A297" s="136" t="s">
        <v>581</v>
      </c>
      <c r="B297" s="136" t="s">
        <v>588</v>
      </c>
    </row>
    <row r="298" spans="1:2">
      <c r="A298" s="136" t="s">
        <v>583</v>
      </c>
      <c r="B298" s="136" t="s">
        <v>589</v>
      </c>
    </row>
    <row r="299" spans="1:2">
      <c r="A299" s="136" t="s">
        <v>585</v>
      </c>
      <c r="B299" s="136" t="s">
        <v>590</v>
      </c>
    </row>
    <row r="300" spans="1:2">
      <c r="A300" s="136" t="s">
        <v>587</v>
      </c>
      <c r="B300" s="136" t="s">
        <v>591</v>
      </c>
    </row>
    <row r="301" spans="1:2">
      <c r="A301" s="136" t="s">
        <v>593</v>
      </c>
      <c r="B301" s="136" t="s">
        <v>592</v>
      </c>
    </row>
    <row r="302" spans="1:2">
      <c r="A302" s="136" t="s">
        <v>595</v>
      </c>
      <c r="B302" s="136" t="s">
        <v>594</v>
      </c>
    </row>
    <row r="303" spans="1:2">
      <c r="A303" s="136" t="s">
        <v>597</v>
      </c>
      <c r="B303" s="136" t="s">
        <v>596</v>
      </c>
    </row>
    <row r="304" spans="1:2">
      <c r="A304" s="136" t="s">
        <v>599</v>
      </c>
      <c r="B304" s="136" t="s">
        <v>598</v>
      </c>
    </row>
    <row r="305" spans="1:2">
      <c r="A305" s="137" t="s">
        <v>601</v>
      </c>
      <c r="B305" s="137" t="s">
        <v>600</v>
      </c>
    </row>
    <row r="306" spans="1:2">
      <c r="A306" s="137" t="s">
        <v>603</v>
      </c>
      <c r="B306" s="137" t="s">
        <v>602</v>
      </c>
    </row>
    <row r="307" spans="1:2">
      <c r="A307" s="137" t="s">
        <v>605</v>
      </c>
      <c r="B307" s="137" t="s">
        <v>604</v>
      </c>
    </row>
    <row r="308" spans="1:2">
      <c r="A308" s="137" t="s">
        <v>607</v>
      </c>
      <c r="B308" s="137" t="s">
        <v>606</v>
      </c>
    </row>
    <row r="309" spans="1:2">
      <c r="A309" s="137" t="s">
        <v>609</v>
      </c>
      <c r="B309" s="137" t="s">
        <v>608</v>
      </c>
    </row>
    <row r="310" spans="1:2">
      <c r="A310" s="137" t="s">
        <v>611</v>
      </c>
      <c r="B310" s="137" t="s">
        <v>610</v>
      </c>
    </row>
    <row r="311" spans="1:2">
      <c r="A311" s="137" t="s">
        <v>613</v>
      </c>
      <c r="B311" s="137" t="s">
        <v>612</v>
      </c>
    </row>
    <row r="312" spans="1:2">
      <c r="A312" s="137" t="s">
        <v>615</v>
      </c>
      <c r="B312" s="137" t="s">
        <v>614</v>
      </c>
    </row>
    <row r="313" spans="1:2">
      <c r="A313" s="137" t="s">
        <v>617</v>
      </c>
      <c r="B313" s="137" t="s">
        <v>616</v>
      </c>
    </row>
    <row r="314" spans="1:2">
      <c r="A314" s="137" t="s">
        <v>619</v>
      </c>
      <c r="B314" s="137" t="s">
        <v>618</v>
      </c>
    </row>
    <row r="315" spans="1:2">
      <c r="A315" s="137" t="s">
        <v>621</v>
      </c>
      <c r="B315" s="137" t="s">
        <v>620</v>
      </c>
    </row>
    <row r="316" spans="1:2">
      <c r="A316" s="137" t="s">
        <v>623</v>
      </c>
      <c r="B316" s="137" t="s">
        <v>622</v>
      </c>
    </row>
    <row r="317" spans="1:2">
      <c r="A317" s="136" t="s">
        <v>625</v>
      </c>
      <c r="B317" s="136" t="s">
        <v>624</v>
      </c>
    </row>
    <row r="318" spans="1:2">
      <c r="A318" s="136" t="s">
        <v>627</v>
      </c>
      <c r="B318" s="136" t="s">
        <v>626</v>
      </c>
    </row>
    <row r="319" spans="1:2">
      <c r="A319" s="136" t="s">
        <v>629</v>
      </c>
      <c r="B319" s="136" t="s">
        <v>628</v>
      </c>
    </row>
    <row r="320" spans="1:2">
      <c r="A320" s="136" t="s">
        <v>631</v>
      </c>
      <c r="B320" s="136" t="s">
        <v>630</v>
      </c>
    </row>
    <row r="321" spans="1:2">
      <c r="A321" s="136" t="s">
        <v>625</v>
      </c>
      <c r="B321" s="136" t="s">
        <v>632</v>
      </c>
    </row>
    <row r="322" spans="1:2">
      <c r="A322" s="136" t="s">
        <v>627</v>
      </c>
      <c r="B322" s="136" t="s">
        <v>633</v>
      </c>
    </row>
    <row r="323" spans="1:2">
      <c r="A323" s="136" t="s">
        <v>629</v>
      </c>
      <c r="B323" s="136" t="s">
        <v>634</v>
      </c>
    </row>
    <row r="324" spans="1:2">
      <c r="A324" s="136" t="s">
        <v>631</v>
      </c>
      <c r="B324" s="136" t="s">
        <v>635</v>
      </c>
    </row>
    <row r="325" spans="1:2">
      <c r="A325" s="136" t="s">
        <v>637</v>
      </c>
      <c r="B325" s="136" t="s">
        <v>636</v>
      </c>
    </row>
    <row r="326" spans="1:2">
      <c r="A326" s="136" t="s">
        <v>639</v>
      </c>
      <c r="B326" s="136" t="s">
        <v>638</v>
      </c>
    </row>
    <row r="327" spans="1:2">
      <c r="A327" s="136" t="s">
        <v>641</v>
      </c>
      <c r="B327" s="136" t="s">
        <v>640</v>
      </c>
    </row>
    <row r="328" spans="1:2">
      <c r="A328" s="136" t="s">
        <v>643</v>
      </c>
      <c r="B328" s="136" t="s">
        <v>642</v>
      </c>
    </row>
    <row r="329" spans="1:2">
      <c r="A329" s="136" t="s">
        <v>637</v>
      </c>
      <c r="B329" s="136" t="s">
        <v>644</v>
      </c>
    </row>
    <row r="330" spans="1:2">
      <c r="A330" s="136" t="s">
        <v>639</v>
      </c>
      <c r="B330" s="136" t="s">
        <v>645</v>
      </c>
    </row>
    <row r="331" spans="1:2">
      <c r="A331" s="136" t="s">
        <v>641</v>
      </c>
      <c r="B331" s="136" t="s">
        <v>646</v>
      </c>
    </row>
    <row r="332" spans="1:2">
      <c r="A332" s="136" t="s">
        <v>643</v>
      </c>
      <c r="B332" s="136" t="s">
        <v>647</v>
      </c>
    </row>
    <row r="333" spans="1:2">
      <c r="A333" s="136" t="s">
        <v>649</v>
      </c>
      <c r="B333" s="136" t="s">
        <v>648</v>
      </c>
    </row>
    <row r="334" spans="1:2">
      <c r="A334" s="136" t="s">
        <v>651</v>
      </c>
      <c r="B334" s="136" t="s">
        <v>650</v>
      </c>
    </row>
    <row r="335" spans="1:2">
      <c r="A335" s="136" t="s">
        <v>653</v>
      </c>
      <c r="B335" s="136" t="s">
        <v>652</v>
      </c>
    </row>
    <row r="336" spans="1:2">
      <c r="A336" s="136" t="s">
        <v>655</v>
      </c>
      <c r="B336" s="136" t="s">
        <v>654</v>
      </c>
    </row>
    <row r="337" spans="1:2">
      <c r="A337" s="136" t="s">
        <v>657</v>
      </c>
      <c r="B337" s="136" t="s">
        <v>656</v>
      </c>
    </row>
    <row r="338" spans="1:2">
      <c r="A338" s="136" t="s">
        <v>659</v>
      </c>
      <c r="B338" s="136" t="s">
        <v>658</v>
      </c>
    </row>
    <row r="339" spans="1:2">
      <c r="A339" s="136" t="s">
        <v>661</v>
      </c>
      <c r="B339" s="136" t="s">
        <v>660</v>
      </c>
    </row>
    <row r="340" spans="1:2">
      <c r="A340" s="136" t="s">
        <v>663</v>
      </c>
      <c r="B340" s="136" t="s">
        <v>662</v>
      </c>
    </row>
    <row r="341" spans="1:2">
      <c r="A341" s="136" t="s">
        <v>303</v>
      </c>
      <c r="B341" s="136" t="s">
        <v>664</v>
      </c>
    </row>
    <row r="342" spans="1:2">
      <c r="A342" s="136" t="s">
        <v>302</v>
      </c>
      <c r="B342" s="136" t="s">
        <v>665</v>
      </c>
    </row>
    <row r="343" spans="1:2">
      <c r="A343" s="136" t="s">
        <v>301</v>
      </c>
      <c r="B343" s="136" t="s">
        <v>666</v>
      </c>
    </row>
    <row r="344" spans="1:2">
      <c r="A344" s="136" t="s">
        <v>300</v>
      </c>
      <c r="B344" s="136" t="s">
        <v>667</v>
      </c>
    </row>
    <row r="345" spans="1:2">
      <c r="A345" s="136" t="s">
        <v>669</v>
      </c>
      <c r="B345" s="136" t="s">
        <v>668</v>
      </c>
    </row>
    <row r="346" spans="1:2">
      <c r="A346" s="136" t="s">
        <v>671</v>
      </c>
      <c r="B346" s="136" t="s">
        <v>670</v>
      </c>
    </row>
    <row r="347" spans="1:2">
      <c r="A347" s="136" t="s">
        <v>673</v>
      </c>
      <c r="B347" s="136" t="s">
        <v>672</v>
      </c>
    </row>
    <row r="348" spans="1:2">
      <c r="A348" s="136" t="s">
        <v>675</v>
      </c>
      <c r="B348" s="136" t="s">
        <v>674</v>
      </c>
    </row>
    <row r="349" spans="1:2">
      <c r="A349" s="136" t="s">
        <v>306</v>
      </c>
      <c r="B349" s="136" t="s">
        <v>676</v>
      </c>
    </row>
    <row r="350" spans="1:2">
      <c r="A350" s="136" t="s">
        <v>305</v>
      </c>
      <c r="B350" s="136" t="s">
        <v>677</v>
      </c>
    </row>
    <row r="351" spans="1:2">
      <c r="A351" s="136" t="s">
        <v>304</v>
      </c>
      <c r="B351" s="136" t="s">
        <v>678</v>
      </c>
    </row>
    <row r="352" spans="1:2">
      <c r="A352" s="136" t="s">
        <v>298</v>
      </c>
      <c r="B352" s="136" t="s">
        <v>679</v>
      </c>
    </row>
    <row r="353" spans="1:2">
      <c r="A353" s="136" t="s">
        <v>310</v>
      </c>
      <c r="B353" s="136" t="s">
        <v>680</v>
      </c>
    </row>
    <row r="354" spans="1:2">
      <c r="A354" s="136" t="s">
        <v>309</v>
      </c>
      <c r="B354" s="136" t="s">
        <v>681</v>
      </c>
    </row>
    <row r="355" spans="1:2">
      <c r="A355" s="136" t="s">
        <v>308</v>
      </c>
      <c r="B355" s="136" t="s">
        <v>682</v>
      </c>
    </row>
    <row r="356" spans="1:2">
      <c r="A356" s="136" t="s">
        <v>307</v>
      </c>
      <c r="B356" s="136" t="s">
        <v>683</v>
      </c>
    </row>
    <row r="357" spans="1:2">
      <c r="A357" s="138" t="s">
        <v>685</v>
      </c>
      <c r="B357" s="138" t="s">
        <v>684</v>
      </c>
    </row>
    <row r="358" spans="1:2">
      <c r="A358" s="138" t="s">
        <v>687</v>
      </c>
      <c r="B358" s="138" t="s">
        <v>686</v>
      </c>
    </row>
    <row r="359" spans="1:2">
      <c r="A359" s="138" t="s">
        <v>689</v>
      </c>
      <c r="B359" s="138" t="s">
        <v>688</v>
      </c>
    </row>
    <row r="360" spans="1:2">
      <c r="A360" s="138" t="s">
        <v>691</v>
      </c>
      <c r="B360" s="138" t="s">
        <v>690</v>
      </c>
    </row>
    <row r="361" spans="1:2">
      <c r="A361" s="138" t="s">
        <v>693</v>
      </c>
      <c r="B361" s="138" t="s">
        <v>692</v>
      </c>
    </row>
    <row r="362" spans="1:2">
      <c r="A362" s="138" t="s">
        <v>695</v>
      </c>
      <c r="B362" s="138" t="s">
        <v>694</v>
      </c>
    </row>
    <row r="363" spans="1:2">
      <c r="A363" s="138" t="s">
        <v>697</v>
      </c>
      <c r="B363" s="138" t="s">
        <v>696</v>
      </c>
    </row>
    <row r="364" spans="1:2">
      <c r="A364" s="138" t="s">
        <v>699</v>
      </c>
      <c r="B364" s="138" t="s">
        <v>698</v>
      </c>
    </row>
    <row r="365" spans="1:2">
      <c r="A365" s="138" t="s">
        <v>701</v>
      </c>
      <c r="B365" s="138" t="s">
        <v>700</v>
      </c>
    </row>
    <row r="366" spans="1:2">
      <c r="A366" s="138" t="s">
        <v>703</v>
      </c>
      <c r="B366" s="138" t="s">
        <v>702</v>
      </c>
    </row>
    <row r="367" spans="1:2">
      <c r="A367" s="138" t="s">
        <v>705</v>
      </c>
      <c r="B367" s="138" t="s">
        <v>704</v>
      </c>
    </row>
    <row r="368" spans="1:2">
      <c r="A368" s="138" t="s">
        <v>707</v>
      </c>
      <c r="B368" s="138" t="s">
        <v>706</v>
      </c>
    </row>
    <row r="369" spans="1:2">
      <c r="A369" s="138" t="s">
        <v>709</v>
      </c>
      <c r="B369" s="138" t="s">
        <v>708</v>
      </c>
    </row>
    <row r="370" spans="1:2">
      <c r="A370" s="138" t="s">
        <v>711</v>
      </c>
      <c r="B370" s="138" t="s">
        <v>710</v>
      </c>
    </row>
    <row r="371" spans="1:2">
      <c r="A371" s="138" t="s">
        <v>713</v>
      </c>
      <c r="B371" s="138" t="s">
        <v>712</v>
      </c>
    </row>
    <row r="372" spans="1:2">
      <c r="A372" s="138" t="s">
        <v>715</v>
      </c>
      <c r="B372" s="138" t="s">
        <v>714</v>
      </c>
    </row>
    <row r="373" spans="1:2">
      <c r="A373" s="138" t="s">
        <v>717</v>
      </c>
      <c r="B373" s="138" t="s">
        <v>716</v>
      </c>
    </row>
    <row r="374" spans="1:2">
      <c r="A374" s="138" t="s">
        <v>719</v>
      </c>
      <c r="B374" s="138" t="s">
        <v>718</v>
      </c>
    </row>
    <row r="375" spans="1:2">
      <c r="A375" s="138" t="s">
        <v>721</v>
      </c>
      <c r="B375" s="138" t="s">
        <v>720</v>
      </c>
    </row>
    <row r="376" spans="1:2">
      <c r="A376" s="138" t="s">
        <v>723</v>
      </c>
      <c r="B376" s="138" t="s">
        <v>722</v>
      </c>
    </row>
    <row r="377" spans="1:2">
      <c r="A377" s="138" t="s">
        <v>725</v>
      </c>
      <c r="B377" s="138" t="s">
        <v>724</v>
      </c>
    </row>
    <row r="378" spans="1:2">
      <c r="A378" s="138" t="s">
        <v>727</v>
      </c>
      <c r="B378" s="138" t="s">
        <v>726</v>
      </c>
    </row>
    <row r="379" spans="1:2">
      <c r="A379" s="138" t="s">
        <v>729</v>
      </c>
      <c r="B379" s="138" t="s">
        <v>728</v>
      </c>
    </row>
    <row r="380" spans="1:2">
      <c r="A380" s="138" t="s">
        <v>731</v>
      </c>
      <c r="B380" s="138" t="s">
        <v>730</v>
      </c>
    </row>
    <row r="381" spans="1:2">
      <c r="A381" s="138" t="s">
        <v>234</v>
      </c>
      <c r="B381" s="138" t="s">
        <v>241</v>
      </c>
    </row>
    <row r="382" spans="1:2">
      <c r="A382" s="138" t="s">
        <v>203</v>
      </c>
      <c r="B382" s="138" t="s">
        <v>732</v>
      </c>
    </row>
    <row r="383" spans="1:2">
      <c r="A383" s="138" t="s">
        <v>192</v>
      </c>
      <c r="B383" s="138" t="s">
        <v>733</v>
      </c>
    </row>
    <row r="384" spans="1:2">
      <c r="A384" s="138" t="s">
        <v>218</v>
      </c>
      <c r="B384" s="138" t="s">
        <v>734</v>
      </c>
    </row>
    <row r="385" spans="1:2">
      <c r="A385" s="138" t="s">
        <v>206</v>
      </c>
      <c r="B385" s="138" t="s">
        <v>735</v>
      </c>
    </row>
    <row r="386" spans="1:2">
      <c r="A386" s="138" t="s">
        <v>196</v>
      </c>
      <c r="B386" s="138" t="s">
        <v>736</v>
      </c>
    </row>
    <row r="387" spans="1:2">
      <c r="A387" s="138" t="s">
        <v>221</v>
      </c>
      <c r="B387" s="138" t="s">
        <v>737</v>
      </c>
    </row>
    <row r="388" spans="1:2">
      <c r="A388" s="138" t="s">
        <v>739</v>
      </c>
      <c r="B388" s="138" t="s">
        <v>738</v>
      </c>
    </row>
    <row r="389" spans="1:2">
      <c r="A389" s="138" t="s">
        <v>741</v>
      </c>
      <c r="B389" s="138" t="s">
        <v>740</v>
      </c>
    </row>
    <row r="390" spans="1:2">
      <c r="A390" s="138" t="s">
        <v>743</v>
      </c>
      <c r="B390" s="138" t="s">
        <v>742</v>
      </c>
    </row>
    <row r="391" spans="1:2">
      <c r="A391" s="138" t="s">
        <v>292</v>
      </c>
      <c r="B391" s="138" t="s">
        <v>744</v>
      </c>
    </row>
    <row r="392" spans="1:2">
      <c r="A392" s="138" t="s">
        <v>746</v>
      </c>
      <c r="B392" s="138" t="s">
        <v>745</v>
      </c>
    </row>
    <row r="393" spans="1:2">
      <c r="A393" s="138" t="s">
        <v>54</v>
      </c>
      <c r="B393" s="138" t="s">
        <v>394</v>
      </c>
    </row>
    <row r="394" spans="1:2">
      <c r="A394" s="138" t="s">
        <v>124</v>
      </c>
      <c r="B394" s="138" t="s">
        <v>747</v>
      </c>
    </row>
    <row r="395" spans="1:2">
      <c r="A395" s="138" t="s">
        <v>749</v>
      </c>
      <c r="B395" s="138" t="s">
        <v>748</v>
      </c>
    </row>
    <row r="396" spans="1:2">
      <c r="A396" s="138" t="s">
        <v>751</v>
      </c>
      <c r="B396" s="138" t="s">
        <v>750</v>
      </c>
    </row>
    <row r="397" spans="1:2">
      <c r="A397" s="138" t="s">
        <v>753</v>
      </c>
      <c r="B397" s="138" t="s">
        <v>752</v>
      </c>
    </row>
    <row r="398" spans="1:2">
      <c r="A398" s="138" t="s">
        <v>755</v>
      </c>
      <c r="B398" s="138" t="s">
        <v>754</v>
      </c>
    </row>
    <row r="399" spans="1:2">
      <c r="A399" s="138" t="s">
        <v>215</v>
      </c>
      <c r="B399" s="138" t="s">
        <v>756</v>
      </c>
    </row>
    <row r="400" spans="1:2">
      <c r="A400" s="138" t="s">
        <v>758</v>
      </c>
      <c r="B400" s="138" t="s">
        <v>757</v>
      </c>
    </row>
    <row r="401" spans="1:2">
      <c r="A401" s="138" t="s">
        <v>760</v>
      </c>
      <c r="B401" s="138" t="s">
        <v>759</v>
      </c>
    </row>
    <row r="402" spans="1:2">
      <c r="A402" s="138" t="s">
        <v>762</v>
      </c>
      <c r="B402" s="138" t="s">
        <v>761</v>
      </c>
    </row>
    <row r="403" spans="1:2">
      <c r="A403" s="138" t="s">
        <v>764</v>
      </c>
      <c r="B403" s="138" t="s">
        <v>763</v>
      </c>
    </row>
    <row r="404" spans="1:2">
      <c r="A404" s="138" t="s">
        <v>213</v>
      </c>
      <c r="B404" s="138" t="s">
        <v>765</v>
      </c>
    </row>
    <row r="405" spans="1:2">
      <c r="A405" s="138" t="s">
        <v>767</v>
      </c>
      <c r="B405" s="138" t="s">
        <v>766</v>
      </c>
    </row>
    <row r="406" spans="1:2">
      <c r="A406" s="138" t="s">
        <v>769</v>
      </c>
      <c r="B406" s="138" t="s">
        <v>768</v>
      </c>
    </row>
    <row r="407" spans="1:2">
      <c r="A407" s="138" t="s">
        <v>771</v>
      </c>
      <c r="B407" s="138" t="s">
        <v>770</v>
      </c>
    </row>
    <row r="408" spans="1:2">
      <c r="A408" s="138" t="s">
        <v>773</v>
      </c>
      <c r="B408" s="138" t="s">
        <v>772</v>
      </c>
    </row>
    <row r="409" spans="1:2">
      <c r="A409" s="138" t="s">
        <v>775</v>
      </c>
      <c r="B409" s="138" t="s">
        <v>774</v>
      </c>
    </row>
    <row r="410" spans="1:2">
      <c r="A410" s="138" t="s">
        <v>777</v>
      </c>
      <c r="B410" s="138" t="s">
        <v>776</v>
      </c>
    </row>
    <row r="411" spans="1:2">
      <c r="A411" s="138" t="s">
        <v>779</v>
      </c>
      <c r="B411" s="138" t="s">
        <v>778</v>
      </c>
    </row>
    <row r="412" spans="1:2">
      <c r="A412" s="138" t="s">
        <v>781</v>
      </c>
      <c r="B412" s="138" t="s">
        <v>780</v>
      </c>
    </row>
    <row r="413" spans="1:2">
      <c r="A413" s="138" t="s">
        <v>783</v>
      </c>
      <c r="B413" s="138" t="s">
        <v>782</v>
      </c>
    </row>
    <row r="414" spans="1:2">
      <c r="A414" s="138" t="s">
        <v>785</v>
      </c>
      <c r="B414" s="138" t="s">
        <v>784</v>
      </c>
    </row>
    <row r="415" spans="1:2">
      <c r="A415" s="138" t="s">
        <v>200</v>
      </c>
      <c r="B415" s="138" t="s">
        <v>786</v>
      </c>
    </row>
    <row r="416" spans="1:2">
      <c r="A416" s="138" t="s">
        <v>788</v>
      </c>
      <c r="B416" s="138" t="s">
        <v>787</v>
      </c>
    </row>
    <row r="417" spans="1:2">
      <c r="A417" s="138" t="s">
        <v>197</v>
      </c>
      <c r="B417" s="138" t="s">
        <v>789</v>
      </c>
    </row>
    <row r="418" spans="1:2">
      <c r="A418" s="138" t="s">
        <v>791</v>
      </c>
      <c r="B418" s="138" t="s">
        <v>790</v>
      </c>
    </row>
    <row r="419" spans="1:2">
      <c r="A419" s="138" t="s">
        <v>793</v>
      </c>
      <c r="B419" s="138" t="s">
        <v>792</v>
      </c>
    </row>
    <row r="420" spans="1:2">
      <c r="A420" s="138" t="s">
        <v>795</v>
      </c>
      <c r="B420" s="138" t="s">
        <v>794</v>
      </c>
    </row>
    <row r="421" spans="1:2">
      <c r="A421" s="138" t="s">
        <v>55</v>
      </c>
      <c r="B421" s="138" t="s">
        <v>252</v>
      </c>
    </row>
    <row r="422" spans="1:2">
      <c r="A422" s="138" t="s">
        <v>797</v>
      </c>
      <c r="B422" s="138" t="s">
        <v>796</v>
      </c>
    </row>
    <row r="423" spans="1:2">
      <c r="A423" s="138" t="s">
        <v>799</v>
      </c>
      <c r="B423" s="138" t="s">
        <v>798</v>
      </c>
    </row>
    <row r="424" spans="1:2">
      <c r="A424" s="138" t="s">
        <v>801</v>
      </c>
      <c r="B424" s="138" t="s">
        <v>800</v>
      </c>
    </row>
    <row r="425" spans="1:2">
      <c r="A425" s="138" t="s">
        <v>803</v>
      </c>
      <c r="B425" s="138" t="s">
        <v>802</v>
      </c>
    </row>
    <row r="426" spans="1:2">
      <c r="A426" s="138" t="s">
        <v>217</v>
      </c>
      <c r="B426" s="138" t="s">
        <v>804</v>
      </c>
    </row>
    <row r="427" spans="1:2">
      <c r="A427" s="138" t="s">
        <v>806</v>
      </c>
      <c r="B427" s="138" t="s">
        <v>805</v>
      </c>
    </row>
    <row r="428" spans="1:2">
      <c r="A428" s="138" t="s">
        <v>808</v>
      </c>
      <c r="B428" s="138" t="s">
        <v>807</v>
      </c>
    </row>
    <row r="429" spans="1:2">
      <c r="A429" s="138" t="s">
        <v>202</v>
      </c>
      <c r="B429" s="138" t="s">
        <v>809</v>
      </c>
    </row>
    <row r="430" spans="1:2">
      <c r="A430" s="138" t="s">
        <v>811</v>
      </c>
      <c r="B430" s="138" t="s">
        <v>810</v>
      </c>
    </row>
    <row r="431" spans="1:2">
      <c r="A431" s="138" t="s">
        <v>199</v>
      </c>
      <c r="B431" s="138" t="s">
        <v>812</v>
      </c>
    </row>
    <row r="432" spans="1:2">
      <c r="A432" s="138" t="s">
        <v>814</v>
      </c>
      <c r="B432" s="138" t="s">
        <v>813</v>
      </c>
    </row>
    <row r="433" spans="1:2">
      <c r="A433" s="138" t="s">
        <v>816</v>
      </c>
      <c r="B433" s="138" t="s">
        <v>815</v>
      </c>
    </row>
    <row r="434" spans="1:2">
      <c r="A434" s="138" t="s">
        <v>818</v>
      </c>
      <c r="B434" s="138" t="s">
        <v>817</v>
      </c>
    </row>
    <row r="435" spans="1:2">
      <c r="A435" s="138" t="s">
        <v>66</v>
      </c>
      <c r="B435" s="138" t="s">
        <v>369</v>
      </c>
    </row>
    <row r="436" spans="1:2">
      <c r="A436" s="136" t="s">
        <v>820</v>
      </c>
      <c r="B436" s="136" t="s">
        <v>819</v>
      </c>
    </row>
    <row r="437" spans="1:2">
      <c r="A437" s="136" t="s">
        <v>822</v>
      </c>
      <c r="B437" s="136" t="s">
        <v>821</v>
      </c>
    </row>
    <row r="438" spans="1:2">
      <c r="A438" s="136" t="s">
        <v>824</v>
      </c>
      <c r="B438" s="136" t="s">
        <v>823</v>
      </c>
    </row>
    <row r="439" spans="1:2">
      <c r="A439" s="136" t="s">
        <v>826</v>
      </c>
      <c r="B439" s="136" t="s">
        <v>825</v>
      </c>
    </row>
    <row r="440" spans="1:2">
      <c r="A440" s="136" t="s">
        <v>828</v>
      </c>
      <c r="B440" s="136" t="s">
        <v>827</v>
      </c>
    </row>
    <row r="441" spans="1:2">
      <c r="A441" s="136" t="s">
        <v>830</v>
      </c>
      <c r="B441" s="136" t="s">
        <v>829</v>
      </c>
    </row>
    <row r="442" spans="1:2">
      <c r="A442" s="136" t="s">
        <v>832</v>
      </c>
      <c r="B442" s="136" t="s">
        <v>831</v>
      </c>
    </row>
    <row r="443" spans="1:2">
      <c r="A443" s="136" t="s">
        <v>834</v>
      </c>
      <c r="B443" s="136" t="s">
        <v>833</v>
      </c>
    </row>
    <row r="444" spans="1:2">
      <c r="A444" s="136" t="s">
        <v>836</v>
      </c>
      <c r="B444" s="136" t="s">
        <v>835</v>
      </c>
    </row>
    <row r="445" spans="1:2">
      <c r="A445" s="136" t="s">
        <v>838</v>
      </c>
      <c r="B445" s="136" t="s">
        <v>837</v>
      </c>
    </row>
    <row r="446" spans="1:2">
      <c r="A446" s="136" t="s">
        <v>840</v>
      </c>
      <c r="B446" s="136" t="s">
        <v>839</v>
      </c>
    </row>
    <row r="447" spans="1:2">
      <c r="A447" s="136" t="s">
        <v>842</v>
      </c>
      <c r="B447" s="136" t="s">
        <v>841</v>
      </c>
    </row>
    <row r="448" spans="1:2">
      <c r="A448" s="136" t="s">
        <v>844</v>
      </c>
      <c r="B448" s="136" t="s">
        <v>843</v>
      </c>
    </row>
    <row r="449" spans="1:2">
      <c r="A449" s="136" t="s">
        <v>846</v>
      </c>
      <c r="B449" s="136" t="s">
        <v>845</v>
      </c>
    </row>
    <row r="450" spans="1:2">
      <c r="A450" s="136" t="s">
        <v>848</v>
      </c>
      <c r="B450" s="136" t="s">
        <v>847</v>
      </c>
    </row>
    <row r="451" spans="1:2">
      <c r="A451" s="136" t="s">
        <v>850</v>
      </c>
      <c r="B451" s="136" t="s">
        <v>849</v>
      </c>
    </row>
    <row r="452" spans="1:2">
      <c r="A452" s="136" t="s">
        <v>852</v>
      </c>
      <c r="B452" s="136" t="s">
        <v>851</v>
      </c>
    </row>
    <row r="453" spans="1:2">
      <c r="A453" s="136" t="s">
        <v>854</v>
      </c>
      <c r="B453" s="136" t="s">
        <v>853</v>
      </c>
    </row>
    <row r="454" spans="1:2">
      <c r="A454" s="136" t="s">
        <v>856</v>
      </c>
      <c r="B454" s="136" t="s">
        <v>855</v>
      </c>
    </row>
    <row r="455" spans="1:2">
      <c r="A455" s="136" t="s">
        <v>858</v>
      </c>
      <c r="B455" s="136" t="s">
        <v>857</v>
      </c>
    </row>
    <row r="456" spans="1:2">
      <c r="A456" s="136" t="s">
        <v>860</v>
      </c>
      <c r="B456" s="136" t="s">
        <v>859</v>
      </c>
    </row>
    <row r="457" spans="1:2">
      <c r="A457" s="136" t="s">
        <v>862</v>
      </c>
      <c r="B457" s="136" t="s">
        <v>861</v>
      </c>
    </row>
    <row r="458" spans="1:2">
      <c r="A458" s="136" t="s">
        <v>864</v>
      </c>
      <c r="B458" s="136" t="s">
        <v>863</v>
      </c>
    </row>
    <row r="459" spans="1:2">
      <c r="A459" s="136" t="s">
        <v>866</v>
      </c>
      <c r="B459" s="136" t="s">
        <v>865</v>
      </c>
    </row>
    <row r="460" spans="1:2">
      <c r="A460" s="136" t="s">
        <v>868</v>
      </c>
      <c r="B460" s="136" t="s">
        <v>867</v>
      </c>
    </row>
    <row r="461" spans="1:2">
      <c r="A461" s="136" t="s">
        <v>870</v>
      </c>
      <c r="B461" s="136" t="s">
        <v>869</v>
      </c>
    </row>
    <row r="462" spans="1:2">
      <c r="A462" s="136" t="s">
        <v>872</v>
      </c>
      <c r="B462" s="136" t="s">
        <v>871</v>
      </c>
    </row>
    <row r="463" spans="1:2">
      <c r="A463" s="136" t="s">
        <v>874</v>
      </c>
      <c r="B463" s="136" t="s">
        <v>873</v>
      </c>
    </row>
    <row r="464" spans="1:2">
      <c r="A464" s="136" t="s">
        <v>876</v>
      </c>
      <c r="B464" s="136" t="s">
        <v>875</v>
      </c>
    </row>
    <row r="465" spans="1:2">
      <c r="A465" s="136" t="s">
        <v>878</v>
      </c>
      <c r="B465" s="136" t="s">
        <v>877</v>
      </c>
    </row>
    <row r="466" spans="1:2">
      <c r="A466" s="136" t="s">
        <v>880</v>
      </c>
      <c r="B466" s="136" t="s">
        <v>879</v>
      </c>
    </row>
    <row r="467" spans="1:2">
      <c r="A467" s="136" t="s">
        <v>882</v>
      </c>
      <c r="B467" s="136" t="s">
        <v>881</v>
      </c>
    </row>
    <row r="468" spans="1:2">
      <c r="A468" s="136" t="s">
        <v>884</v>
      </c>
      <c r="B468" s="136" t="s">
        <v>883</v>
      </c>
    </row>
    <row r="469" spans="1:2">
      <c r="A469" s="136" t="s">
        <v>886</v>
      </c>
      <c r="B469" s="136" t="s">
        <v>885</v>
      </c>
    </row>
    <row r="470" spans="1:2">
      <c r="A470" s="136" t="s">
        <v>888</v>
      </c>
      <c r="B470" s="136" t="s">
        <v>887</v>
      </c>
    </row>
    <row r="471" spans="1:2">
      <c r="A471" s="136" t="s">
        <v>890</v>
      </c>
      <c r="B471" s="136" t="s">
        <v>889</v>
      </c>
    </row>
    <row r="472" spans="1:2">
      <c r="A472" s="136" t="s">
        <v>892</v>
      </c>
      <c r="B472" s="136" t="s">
        <v>891</v>
      </c>
    </row>
    <row r="473" spans="1:2">
      <c r="A473" s="136" t="s">
        <v>894</v>
      </c>
      <c r="B473" s="136" t="s">
        <v>893</v>
      </c>
    </row>
    <row r="474" spans="1:2">
      <c r="A474" s="136" t="s">
        <v>896</v>
      </c>
      <c r="B474" s="136" t="s">
        <v>895</v>
      </c>
    </row>
    <row r="475" spans="1:2">
      <c r="A475" s="136" t="s">
        <v>898</v>
      </c>
      <c r="B475" s="136" t="s">
        <v>897</v>
      </c>
    </row>
    <row r="476" spans="1:2">
      <c r="A476" s="136" t="s">
        <v>900</v>
      </c>
      <c r="B476" s="136" t="s">
        <v>899</v>
      </c>
    </row>
    <row r="477" spans="1:2">
      <c r="A477" s="136" t="s">
        <v>902</v>
      </c>
      <c r="B477" s="136" t="s">
        <v>901</v>
      </c>
    </row>
    <row r="478" spans="1:2">
      <c r="A478" s="136" t="s">
        <v>904</v>
      </c>
      <c r="B478" s="136" t="s">
        <v>903</v>
      </c>
    </row>
    <row r="479" spans="1:2">
      <c r="A479" s="136" t="s">
        <v>906</v>
      </c>
      <c r="B479" s="136" t="s">
        <v>905</v>
      </c>
    </row>
    <row r="480" spans="1:2">
      <c r="A480" s="136" t="s">
        <v>908</v>
      </c>
      <c r="B480" s="136" t="s">
        <v>907</v>
      </c>
    </row>
    <row r="481" spans="1:2">
      <c r="A481" s="136" t="s">
        <v>910</v>
      </c>
      <c r="B481" s="136" t="s">
        <v>909</v>
      </c>
    </row>
    <row r="482" spans="1:2">
      <c r="A482" s="136" t="s">
        <v>912</v>
      </c>
      <c r="B482" s="136" t="s">
        <v>911</v>
      </c>
    </row>
    <row r="483" spans="1:2">
      <c r="A483" s="136" t="s">
        <v>914</v>
      </c>
      <c r="B483" s="136" t="s">
        <v>913</v>
      </c>
    </row>
    <row r="484" spans="1:2">
      <c r="A484" s="136" t="s">
        <v>916</v>
      </c>
      <c r="B484" s="136" t="s">
        <v>915</v>
      </c>
    </row>
    <row r="485" spans="1:2">
      <c r="A485" s="136" t="s">
        <v>918</v>
      </c>
      <c r="B485" s="136" t="s">
        <v>917</v>
      </c>
    </row>
    <row r="486" spans="1:2">
      <c r="A486" s="136" t="s">
        <v>920</v>
      </c>
      <c r="B486" s="136" t="s">
        <v>919</v>
      </c>
    </row>
    <row r="487" spans="1:2">
      <c r="A487" s="136" t="s">
        <v>922</v>
      </c>
      <c r="B487" s="136" t="s">
        <v>921</v>
      </c>
    </row>
    <row r="488" spans="1:2">
      <c r="A488" s="136" t="s">
        <v>924</v>
      </c>
      <c r="B488" s="136" t="s">
        <v>923</v>
      </c>
    </row>
    <row r="489" spans="1:2">
      <c r="A489" s="136" t="s">
        <v>926</v>
      </c>
      <c r="B489" s="136" t="s">
        <v>925</v>
      </c>
    </row>
    <row r="490" spans="1:2">
      <c r="A490" s="136" t="s">
        <v>928</v>
      </c>
      <c r="B490" s="136" t="s">
        <v>927</v>
      </c>
    </row>
    <row r="491" spans="1:2">
      <c r="A491" s="136" t="s">
        <v>930</v>
      </c>
      <c r="B491" s="136" t="s">
        <v>929</v>
      </c>
    </row>
    <row r="492" spans="1:2">
      <c r="A492" s="136" t="s">
        <v>932</v>
      </c>
      <c r="B492" s="136" t="s">
        <v>931</v>
      </c>
    </row>
    <row r="493" spans="1:2">
      <c r="A493" s="136" t="s">
        <v>934</v>
      </c>
      <c r="B493" s="136" t="s">
        <v>933</v>
      </c>
    </row>
    <row r="494" spans="1:2">
      <c r="A494" s="136" t="s">
        <v>936</v>
      </c>
      <c r="B494" s="136" t="s">
        <v>935</v>
      </c>
    </row>
    <row r="495" spans="1:2">
      <c r="A495" s="136" t="s">
        <v>938</v>
      </c>
      <c r="B495" s="136" t="s">
        <v>937</v>
      </c>
    </row>
    <row r="496" spans="1:2">
      <c r="A496" s="136" t="s">
        <v>940</v>
      </c>
      <c r="B496" s="136" t="s">
        <v>939</v>
      </c>
    </row>
    <row r="497" spans="1:2">
      <c r="A497" s="136" t="s">
        <v>942</v>
      </c>
      <c r="B497" s="136" t="s">
        <v>941</v>
      </c>
    </row>
    <row r="498" spans="1:2">
      <c r="A498" s="136" t="s">
        <v>944</v>
      </c>
      <c r="B498" s="136" t="s">
        <v>943</v>
      </c>
    </row>
    <row r="499" spans="1:2">
      <c r="A499" s="136" t="s">
        <v>946</v>
      </c>
      <c r="B499" s="136" t="s">
        <v>945</v>
      </c>
    </row>
    <row r="500" spans="1:2">
      <c r="A500" s="136" t="s">
        <v>948</v>
      </c>
      <c r="B500" s="136" t="s">
        <v>947</v>
      </c>
    </row>
    <row r="501" spans="1:2">
      <c r="A501" s="136" t="s">
        <v>950</v>
      </c>
      <c r="B501" s="136" t="s">
        <v>949</v>
      </c>
    </row>
    <row r="502" spans="1:2">
      <c r="A502" s="136" t="s">
        <v>952</v>
      </c>
      <c r="B502" s="136" t="s">
        <v>951</v>
      </c>
    </row>
    <row r="503" spans="1:2">
      <c r="A503" s="136" t="s">
        <v>954</v>
      </c>
      <c r="B503" s="136" t="s">
        <v>953</v>
      </c>
    </row>
    <row r="504" spans="1:2">
      <c r="A504" s="136" t="s">
        <v>956</v>
      </c>
      <c r="B504" s="136" t="s">
        <v>955</v>
      </c>
    </row>
    <row r="505" spans="1:2">
      <c r="A505" s="136" t="s">
        <v>958</v>
      </c>
      <c r="B505" s="136" t="s">
        <v>957</v>
      </c>
    </row>
    <row r="506" spans="1:2">
      <c r="A506" s="136" t="s">
        <v>960</v>
      </c>
      <c r="B506" s="136" t="s">
        <v>959</v>
      </c>
    </row>
    <row r="507" spans="1:2">
      <c r="A507" s="136" t="s">
        <v>962</v>
      </c>
      <c r="B507" s="136" t="s">
        <v>961</v>
      </c>
    </row>
    <row r="508" spans="1:2">
      <c r="A508" s="136" t="s">
        <v>964</v>
      </c>
      <c r="B508" s="136" t="s">
        <v>963</v>
      </c>
    </row>
    <row r="509" spans="1:2">
      <c r="A509" s="136" t="s">
        <v>966</v>
      </c>
      <c r="B509" s="136" t="s">
        <v>965</v>
      </c>
    </row>
    <row r="510" spans="1:2">
      <c r="A510" s="136" t="s">
        <v>968</v>
      </c>
      <c r="B510" s="136" t="s">
        <v>967</v>
      </c>
    </row>
    <row r="511" spans="1:2">
      <c r="A511" s="136" t="s">
        <v>970</v>
      </c>
      <c r="B511" s="136" t="s">
        <v>969</v>
      </c>
    </row>
    <row r="512" spans="1:2">
      <c r="A512" s="136" t="s">
        <v>972</v>
      </c>
      <c r="B512" s="136" t="s">
        <v>971</v>
      </c>
    </row>
    <row r="513" spans="1:2">
      <c r="A513" s="136" t="s">
        <v>974</v>
      </c>
      <c r="B513" s="136" t="s">
        <v>973</v>
      </c>
    </row>
    <row r="514" spans="1:2">
      <c r="A514" s="136" t="s">
        <v>976</v>
      </c>
      <c r="B514" s="136" t="s">
        <v>975</v>
      </c>
    </row>
    <row r="515" spans="1:2">
      <c r="A515" s="136" t="s">
        <v>978</v>
      </c>
      <c r="B515" s="136" t="s">
        <v>977</v>
      </c>
    </row>
    <row r="516" spans="1:2">
      <c r="A516" s="136" t="s">
        <v>980</v>
      </c>
      <c r="B516" s="136" t="s">
        <v>979</v>
      </c>
    </row>
    <row r="517" spans="1:2">
      <c r="A517" s="136" t="s">
        <v>982</v>
      </c>
      <c r="B517" s="136" t="s">
        <v>981</v>
      </c>
    </row>
    <row r="518" spans="1:2">
      <c r="A518" s="136" t="s">
        <v>984</v>
      </c>
      <c r="B518" s="136" t="s">
        <v>983</v>
      </c>
    </row>
    <row r="519" spans="1:2">
      <c r="A519" s="136" t="s">
        <v>986</v>
      </c>
      <c r="B519" s="136" t="s">
        <v>985</v>
      </c>
    </row>
    <row r="520" spans="1:2">
      <c r="A520" s="136" t="s">
        <v>988</v>
      </c>
      <c r="B520" s="136" t="s">
        <v>987</v>
      </c>
    </row>
    <row r="521" spans="1:2">
      <c r="A521" s="136" t="s">
        <v>990</v>
      </c>
      <c r="B521" s="136" t="s">
        <v>989</v>
      </c>
    </row>
    <row r="522" spans="1:2">
      <c r="A522" s="136" t="s">
        <v>992</v>
      </c>
      <c r="B522" s="136" t="s">
        <v>991</v>
      </c>
    </row>
    <row r="523" spans="1:2">
      <c r="A523" s="136" t="s">
        <v>994</v>
      </c>
      <c r="B523" s="136" t="s">
        <v>993</v>
      </c>
    </row>
    <row r="524" spans="1:2">
      <c r="A524" s="136" t="s">
        <v>996</v>
      </c>
      <c r="B524" s="136" t="s">
        <v>995</v>
      </c>
    </row>
    <row r="525" spans="1:2">
      <c r="A525" s="136" t="s">
        <v>998</v>
      </c>
      <c r="B525" s="136" t="s">
        <v>997</v>
      </c>
    </row>
    <row r="526" spans="1:2">
      <c r="A526" s="136" t="s">
        <v>1000</v>
      </c>
      <c r="B526" s="136" t="s">
        <v>999</v>
      </c>
    </row>
    <row r="527" spans="1:2">
      <c r="A527" s="136" t="s">
        <v>1002</v>
      </c>
      <c r="B527" s="136" t="s">
        <v>1001</v>
      </c>
    </row>
    <row r="528" spans="1:2">
      <c r="A528" s="136" t="s">
        <v>1004</v>
      </c>
      <c r="B528" s="136" t="s">
        <v>1003</v>
      </c>
    </row>
    <row r="529" spans="1:2">
      <c r="A529" s="136" t="s">
        <v>1006</v>
      </c>
      <c r="B529" s="136" t="s">
        <v>1005</v>
      </c>
    </row>
    <row r="530" spans="1:2">
      <c r="A530" s="136" t="s">
        <v>1008</v>
      </c>
      <c r="B530" s="136" t="s">
        <v>1007</v>
      </c>
    </row>
    <row r="531" spans="1:2">
      <c r="A531" s="136" t="s">
        <v>1010</v>
      </c>
      <c r="B531" s="136" t="s">
        <v>1009</v>
      </c>
    </row>
    <row r="532" spans="1:2">
      <c r="A532" s="136" t="s">
        <v>1012</v>
      </c>
      <c r="B532" s="136" t="s">
        <v>1011</v>
      </c>
    </row>
    <row r="533" spans="1:2">
      <c r="A533" s="136" t="s">
        <v>1014</v>
      </c>
      <c r="B533" s="136" t="s">
        <v>1013</v>
      </c>
    </row>
    <row r="534" spans="1:2">
      <c r="A534" s="136" t="s">
        <v>1016</v>
      </c>
      <c r="B534" s="136" t="s">
        <v>1015</v>
      </c>
    </row>
    <row r="535" spans="1:2">
      <c r="A535" s="136" t="s">
        <v>1018</v>
      </c>
      <c r="B535" s="136" t="s">
        <v>1017</v>
      </c>
    </row>
    <row r="536" spans="1:2">
      <c r="A536" s="136" t="s">
        <v>303</v>
      </c>
      <c r="B536" s="136" t="s">
        <v>664</v>
      </c>
    </row>
    <row r="537" spans="1:2">
      <c r="A537" s="136" t="s">
        <v>302</v>
      </c>
      <c r="B537" s="136" t="s">
        <v>665</v>
      </c>
    </row>
    <row r="538" spans="1:2">
      <c r="A538" s="136" t="s">
        <v>301</v>
      </c>
      <c r="B538" s="136" t="s">
        <v>666</v>
      </c>
    </row>
    <row r="539" spans="1:2">
      <c r="A539" s="136" t="s">
        <v>300</v>
      </c>
      <c r="B539" s="136" t="s">
        <v>667</v>
      </c>
    </row>
    <row r="540" spans="1:2">
      <c r="A540" s="136" t="s">
        <v>669</v>
      </c>
      <c r="B540" s="136" t="s">
        <v>668</v>
      </c>
    </row>
    <row r="541" spans="1:2">
      <c r="A541" s="136" t="s">
        <v>671</v>
      </c>
      <c r="B541" s="136" t="s">
        <v>670</v>
      </c>
    </row>
    <row r="542" spans="1:2">
      <c r="A542" s="136" t="s">
        <v>673</v>
      </c>
      <c r="B542" s="136" t="s">
        <v>672</v>
      </c>
    </row>
    <row r="543" spans="1:2">
      <c r="A543" s="136" t="s">
        <v>675</v>
      </c>
      <c r="B543" s="136" t="s">
        <v>674</v>
      </c>
    </row>
    <row r="544" spans="1:2">
      <c r="A544" s="136" t="s">
        <v>306</v>
      </c>
      <c r="B544" s="136" t="s">
        <v>676</v>
      </c>
    </row>
    <row r="545" spans="1:2">
      <c r="A545" s="136" t="s">
        <v>305</v>
      </c>
      <c r="B545" s="136" t="s">
        <v>677</v>
      </c>
    </row>
    <row r="546" spans="1:2">
      <c r="A546" s="136" t="s">
        <v>304</v>
      </c>
      <c r="B546" s="136" t="s">
        <v>678</v>
      </c>
    </row>
    <row r="547" spans="1:2">
      <c r="A547" s="136" t="s">
        <v>298</v>
      </c>
      <c r="B547" s="136" t="s">
        <v>679</v>
      </c>
    </row>
    <row r="548" spans="1:2">
      <c r="A548" s="136" t="s">
        <v>310</v>
      </c>
      <c r="B548" s="136" t="s">
        <v>680</v>
      </c>
    </row>
    <row r="549" spans="1:2">
      <c r="A549" s="136" t="s">
        <v>309</v>
      </c>
      <c r="B549" s="136" t="s">
        <v>681</v>
      </c>
    </row>
    <row r="550" spans="1:2">
      <c r="A550" s="136" t="s">
        <v>308</v>
      </c>
      <c r="B550" s="136" t="s">
        <v>682</v>
      </c>
    </row>
    <row r="551" spans="1:2">
      <c r="A551" s="136" t="s">
        <v>307</v>
      </c>
      <c r="B551" s="136" t="s">
        <v>683</v>
      </c>
    </row>
  </sheetData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Essential XlsIO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selim</dc:creator>
  <dcterms:created xsi:type="dcterms:W3CDTF">2026-03-18T04:46:57Z</dcterms:created>
  <dcterms:modified xsi:type="dcterms:W3CDTF">2026-03-18T04:46:57Z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