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오민상P\2025\★얼음정수기__RWP90F\도면이력\260305_1767C 길이변경\"/>
    </mc:Choice>
  </mc:AlternateContent>
  <xr:revisionPtr revIDLastSave="0" documentId="13_ncr:1_{6ED73698-1B22-4E88-A9ED-5DA61F286D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절압지도서" sheetId="30" r:id="rId1"/>
    <sheet name="PT" sheetId="33" r:id="rId2"/>
    <sheet name="DATA(STRIP LENGTH)" sheetId="21" r:id="rId3"/>
    <sheet name="인장력" sheetId="25" r:id="rId4"/>
    <sheet name="이원화" sheetId="22" r:id="rId5"/>
  </sheets>
  <externalReferences>
    <externalReference r:id="rId6"/>
    <externalReference r:id="rId7"/>
  </externalReferences>
  <definedNames>
    <definedName name="_xlnm._FilterDatabase" localSheetId="1" hidden="1">PT!$A$3:$M$21</definedName>
    <definedName name="_xlnm._FilterDatabase" localSheetId="0" hidden="1">절압지도서!$A$27:$W$82</definedName>
    <definedName name="_xlnm.Print_Area" localSheetId="1">PT!$A$1:$K$21</definedName>
    <definedName name="_xlnm.Print_Area" localSheetId="0">절압지도서!$B$1:$N$83</definedName>
    <definedName name="_xlnm.Print_Titles" localSheetId="0">절압지도서!$25:$27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30" l="1"/>
  <c r="F56" i="30"/>
  <c r="F55" i="30"/>
  <c r="F57" i="30"/>
  <c r="F68" i="30"/>
  <c r="F62" i="30"/>
  <c r="F40" i="30"/>
  <c r="F38" i="30"/>
  <c r="T32" i="30"/>
  <c r="F32" i="30"/>
  <c r="F50" i="30"/>
  <c r="F45" i="30"/>
  <c r="F34" i="30" l="1"/>
  <c r="F35" i="30" l="1"/>
  <c r="F36" i="30"/>
  <c r="F37" i="30"/>
  <c r="F30" i="30"/>
  <c r="F31" i="30"/>
  <c r="F29" i="30"/>
  <c r="F28" i="30"/>
  <c r="F72" i="30" l="1"/>
  <c r="V40" i="30"/>
  <c r="U40" i="30"/>
  <c r="T40" i="30"/>
  <c r="J40" i="30" s="1"/>
  <c r="S40" i="30"/>
  <c r="H40" i="30" s="1"/>
  <c r="K40" i="30"/>
  <c r="I40" i="30"/>
  <c r="L18" i="33"/>
  <c r="K18" i="33"/>
  <c r="C18" i="33" s="1"/>
  <c r="J18" i="33"/>
  <c r="B18" i="33" s="1"/>
  <c r="A18" i="33"/>
  <c r="L7" i="33"/>
  <c r="K7" i="33"/>
  <c r="C7" i="33" s="1"/>
  <c r="J7" i="33"/>
  <c r="B7" i="33" s="1"/>
  <c r="A7" i="33"/>
  <c r="F77" i="30"/>
  <c r="F80" i="30"/>
  <c r="F70" i="30"/>
  <c r="L22" i="33"/>
  <c r="K22" i="33"/>
  <c r="J22" i="33"/>
  <c r="A17" i="33"/>
  <c r="J17" i="33"/>
  <c r="B17" i="33" s="1"/>
  <c r="K17" i="33"/>
  <c r="C17" i="33" s="1"/>
  <c r="L17" i="33"/>
  <c r="W44" i="30"/>
  <c r="W45" i="30" s="1"/>
  <c r="W46" i="30" s="1"/>
  <c r="W47" i="30" s="1"/>
  <c r="W48" i="30" s="1"/>
  <c r="W49" i="30" s="1"/>
  <c r="W50" i="30" s="1"/>
  <c r="W51" i="30" s="1"/>
  <c r="W52" i="30" s="1"/>
  <c r="W53" i="30" s="1"/>
  <c r="W54" i="30" s="1"/>
  <c r="W55" i="30" s="1"/>
  <c r="W56" i="30" s="1"/>
  <c r="W57" i="30" s="1"/>
  <c r="W58" i="30" s="1"/>
  <c r="W59" i="30" s="1"/>
  <c r="W60" i="30" s="1"/>
  <c r="W61" i="30" s="1"/>
  <c r="W62" i="30" s="1"/>
  <c r="W63" i="30" s="1"/>
  <c r="W64" i="30" s="1"/>
  <c r="W65" i="30" s="1"/>
  <c r="W66" i="30" s="1"/>
  <c r="W67" i="30" s="1"/>
  <c r="W68" i="30" s="1"/>
  <c r="W69" i="30"/>
  <c r="W72" i="30" s="1"/>
  <c r="W73" i="30" s="1"/>
  <c r="W74" i="30" s="1"/>
  <c r="W75" i="30" s="1"/>
  <c r="W76" i="30" s="1"/>
  <c r="W77" i="30" s="1"/>
  <c r="W78" i="30" s="1"/>
  <c r="W79" i="30" s="1"/>
  <c r="W80" i="30" s="1"/>
  <c r="W81" i="30" s="1"/>
  <c r="W82" i="30" s="1"/>
  <c r="W70" i="30" s="1"/>
  <c r="W71" i="30" s="1"/>
  <c r="I44" i="30" l="1"/>
  <c r="K44" i="30"/>
  <c r="S44" i="30"/>
  <c r="H44" i="30" s="1"/>
  <c r="T44" i="30"/>
  <c r="J44" i="30" s="1"/>
  <c r="U44" i="30"/>
  <c r="V44" i="30"/>
  <c r="I29" i="30"/>
  <c r="K29" i="30"/>
  <c r="S29" i="30"/>
  <c r="H29" i="30" s="1"/>
  <c r="T29" i="30"/>
  <c r="J29" i="30" s="1"/>
  <c r="U29" i="30"/>
  <c r="V29" i="30"/>
  <c r="I32" i="30"/>
  <c r="K32" i="30"/>
  <c r="S32" i="30"/>
  <c r="H32" i="30" s="1"/>
  <c r="J32" i="30"/>
  <c r="U32" i="30"/>
  <c r="V32" i="30"/>
  <c r="I33" i="30"/>
  <c r="K33" i="30"/>
  <c r="S33" i="30"/>
  <c r="H33" i="30" s="1"/>
  <c r="T33" i="30"/>
  <c r="J33" i="30" s="1"/>
  <c r="U33" i="30"/>
  <c r="V33" i="30"/>
  <c r="I34" i="30"/>
  <c r="K34" i="30"/>
  <c r="S34" i="30"/>
  <c r="H34" i="30" s="1"/>
  <c r="T34" i="30"/>
  <c r="J34" i="30" s="1"/>
  <c r="U34" i="30"/>
  <c r="V34" i="30"/>
  <c r="I35" i="30"/>
  <c r="K35" i="30"/>
  <c r="S35" i="30"/>
  <c r="H35" i="30" s="1"/>
  <c r="T35" i="30"/>
  <c r="J35" i="30" s="1"/>
  <c r="U35" i="30"/>
  <c r="V35" i="30"/>
  <c r="I36" i="30"/>
  <c r="K36" i="30"/>
  <c r="S36" i="30"/>
  <c r="H36" i="30" s="1"/>
  <c r="T36" i="30"/>
  <c r="J36" i="30" s="1"/>
  <c r="U36" i="30"/>
  <c r="V36" i="30"/>
  <c r="I37" i="30"/>
  <c r="K37" i="30"/>
  <c r="S37" i="30"/>
  <c r="H37" i="30" s="1"/>
  <c r="T37" i="30"/>
  <c r="J37" i="30" s="1"/>
  <c r="U37" i="30"/>
  <c r="V37" i="30"/>
  <c r="I45" i="30"/>
  <c r="K45" i="30"/>
  <c r="S45" i="30"/>
  <c r="H45" i="30" s="1"/>
  <c r="T45" i="30"/>
  <c r="J45" i="30" s="1"/>
  <c r="U45" i="30"/>
  <c r="V45" i="30"/>
  <c r="I46" i="30"/>
  <c r="K46" i="30"/>
  <c r="S46" i="30"/>
  <c r="H46" i="30" s="1"/>
  <c r="T46" i="30"/>
  <c r="J46" i="30" s="1"/>
  <c r="U46" i="30"/>
  <c r="V46" i="30"/>
  <c r="I47" i="30"/>
  <c r="K47" i="30"/>
  <c r="S47" i="30"/>
  <c r="H47" i="30" s="1"/>
  <c r="T47" i="30"/>
  <c r="J47" i="30" s="1"/>
  <c r="U47" i="30"/>
  <c r="V47" i="30"/>
  <c r="I48" i="30"/>
  <c r="K48" i="30"/>
  <c r="S48" i="30"/>
  <c r="H48" i="30" s="1"/>
  <c r="T48" i="30"/>
  <c r="J48" i="30" s="1"/>
  <c r="U48" i="30"/>
  <c r="V48" i="30"/>
  <c r="I49" i="30"/>
  <c r="K49" i="30"/>
  <c r="S49" i="30"/>
  <c r="H49" i="30" s="1"/>
  <c r="T49" i="30"/>
  <c r="J49" i="30" s="1"/>
  <c r="U49" i="30"/>
  <c r="V49" i="30"/>
  <c r="I50" i="30"/>
  <c r="K50" i="30"/>
  <c r="S50" i="30"/>
  <c r="H50" i="30" s="1"/>
  <c r="T50" i="30"/>
  <c r="J50" i="30" s="1"/>
  <c r="U50" i="30"/>
  <c r="V50" i="30"/>
  <c r="I51" i="30"/>
  <c r="K51" i="30"/>
  <c r="S51" i="30"/>
  <c r="H51" i="30" s="1"/>
  <c r="T51" i="30"/>
  <c r="J51" i="30" s="1"/>
  <c r="U51" i="30"/>
  <c r="V51" i="30"/>
  <c r="I52" i="30"/>
  <c r="K52" i="30"/>
  <c r="S52" i="30"/>
  <c r="H52" i="30" s="1"/>
  <c r="T52" i="30"/>
  <c r="J52" i="30" s="1"/>
  <c r="U52" i="30"/>
  <c r="V52" i="30"/>
  <c r="I53" i="30"/>
  <c r="K53" i="30"/>
  <c r="S53" i="30"/>
  <c r="H53" i="30" s="1"/>
  <c r="T53" i="30"/>
  <c r="J53" i="30" s="1"/>
  <c r="U53" i="30"/>
  <c r="V53" i="30"/>
  <c r="I54" i="30"/>
  <c r="K54" i="30"/>
  <c r="S54" i="30"/>
  <c r="H54" i="30" s="1"/>
  <c r="T54" i="30"/>
  <c r="J54" i="30" s="1"/>
  <c r="U54" i="30"/>
  <c r="V54" i="30"/>
  <c r="I55" i="30"/>
  <c r="K55" i="30"/>
  <c r="S55" i="30"/>
  <c r="H55" i="30" s="1"/>
  <c r="T55" i="30"/>
  <c r="J55" i="30" s="1"/>
  <c r="U55" i="30"/>
  <c r="V55" i="30"/>
  <c r="I56" i="30"/>
  <c r="K56" i="30"/>
  <c r="S56" i="30"/>
  <c r="H56" i="30" s="1"/>
  <c r="T56" i="30"/>
  <c r="J56" i="30" s="1"/>
  <c r="U56" i="30"/>
  <c r="V56" i="30"/>
  <c r="I57" i="30"/>
  <c r="K57" i="30"/>
  <c r="S57" i="30"/>
  <c r="H57" i="30" s="1"/>
  <c r="T57" i="30"/>
  <c r="J57" i="30" s="1"/>
  <c r="U57" i="30"/>
  <c r="V57" i="30"/>
  <c r="I58" i="30"/>
  <c r="K58" i="30"/>
  <c r="S58" i="30"/>
  <c r="H58" i="30" s="1"/>
  <c r="T58" i="30"/>
  <c r="J58" i="30" s="1"/>
  <c r="U58" i="30"/>
  <c r="V58" i="30"/>
  <c r="I59" i="30"/>
  <c r="K59" i="30"/>
  <c r="S59" i="30"/>
  <c r="H59" i="30" s="1"/>
  <c r="T59" i="30"/>
  <c r="J59" i="30" s="1"/>
  <c r="U59" i="30"/>
  <c r="V59" i="30"/>
  <c r="I60" i="30"/>
  <c r="K60" i="30"/>
  <c r="S60" i="30"/>
  <c r="H60" i="30" s="1"/>
  <c r="T60" i="30"/>
  <c r="J60" i="30" s="1"/>
  <c r="U60" i="30"/>
  <c r="V60" i="30"/>
  <c r="I61" i="30"/>
  <c r="K61" i="30"/>
  <c r="S61" i="30"/>
  <c r="H61" i="30" s="1"/>
  <c r="T61" i="30"/>
  <c r="J61" i="30" s="1"/>
  <c r="U61" i="30"/>
  <c r="V61" i="30"/>
  <c r="I62" i="30"/>
  <c r="K62" i="30"/>
  <c r="S62" i="30"/>
  <c r="H62" i="30" s="1"/>
  <c r="T62" i="30"/>
  <c r="J62" i="30" s="1"/>
  <c r="U62" i="30"/>
  <c r="V62" i="30"/>
  <c r="I63" i="30"/>
  <c r="K63" i="30"/>
  <c r="S63" i="30"/>
  <c r="H63" i="30" s="1"/>
  <c r="T63" i="30"/>
  <c r="J63" i="30" s="1"/>
  <c r="U63" i="30"/>
  <c r="V63" i="30"/>
  <c r="I64" i="30"/>
  <c r="K64" i="30"/>
  <c r="S64" i="30"/>
  <c r="H64" i="30" s="1"/>
  <c r="T64" i="30"/>
  <c r="J64" i="30" s="1"/>
  <c r="U64" i="30"/>
  <c r="V64" i="30"/>
  <c r="I65" i="30"/>
  <c r="K65" i="30"/>
  <c r="S65" i="30"/>
  <c r="H65" i="30" s="1"/>
  <c r="T65" i="30"/>
  <c r="J65" i="30" s="1"/>
  <c r="U65" i="30"/>
  <c r="V65" i="30"/>
  <c r="I66" i="30"/>
  <c r="K66" i="30"/>
  <c r="S66" i="30"/>
  <c r="H66" i="30" s="1"/>
  <c r="T66" i="30"/>
  <c r="J66" i="30" s="1"/>
  <c r="U66" i="30"/>
  <c r="V66" i="30"/>
  <c r="I67" i="30"/>
  <c r="K67" i="30"/>
  <c r="S67" i="30"/>
  <c r="H67" i="30" s="1"/>
  <c r="T67" i="30"/>
  <c r="J67" i="30" s="1"/>
  <c r="U67" i="30"/>
  <c r="V67" i="30"/>
  <c r="I68" i="30"/>
  <c r="K68" i="30"/>
  <c r="S68" i="30"/>
  <c r="H68" i="30" s="1"/>
  <c r="T68" i="30"/>
  <c r="J68" i="30" s="1"/>
  <c r="U68" i="30"/>
  <c r="V68" i="30"/>
  <c r="I72" i="30"/>
  <c r="K72" i="30"/>
  <c r="S72" i="30"/>
  <c r="H72" i="30" s="1"/>
  <c r="T72" i="30"/>
  <c r="J72" i="30" s="1"/>
  <c r="U72" i="30"/>
  <c r="V72" i="30"/>
  <c r="I73" i="30"/>
  <c r="K73" i="30"/>
  <c r="S73" i="30"/>
  <c r="H73" i="30" s="1"/>
  <c r="T73" i="30"/>
  <c r="J73" i="30" s="1"/>
  <c r="U73" i="30"/>
  <c r="V73" i="30"/>
  <c r="I74" i="30"/>
  <c r="K74" i="30"/>
  <c r="S74" i="30"/>
  <c r="H74" i="30" s="1"/>
  <c r="T74" i="30"/>
  <c r="J74" i="30" s="1"/>
  <c r="U74" i="30"/>
  <c r="V74" i="30"/>
  <c r="I75" i="30"/>
  <c r="K75" i="30"/>
  <c r="S75" i="30"/>
  <c r="H75" i="30" s="1"/>
  <c r="T75" i="30"/>
  <c r="J75" i="30" s="1"/>
  <c r="U75" i="30"/>
  <c r="V75" i="30"/>
  <c r="I76" i="30"/>
  <c r="K76" i="30"/>
  <c r="S76" i="30"/>
  <c r="H76" i="30" s="1"/>
  <c r="T76" i="30"/>
  <c r="J76" i="30" s="1"/>
  <c r="U76" i="30"/>
  <c r="V76" i="30"/>
  <c r="I77" i="30"/>
  <c r="K77" i="30"/>
  <c r="S77" i="30"/>
  <c r="H77" i="30" s="1"/>
  <c r="T77" i="30"/>
  <c r="J77" i="30" s="1"/>
  <c r="U77" i="30"/>
  <c r="V77" i="30"/>
  <c r="I78" i="30"/>
  <c r="K78" i="30"/>
  <c r="S78" i="30"/>
  <c r="H78" i="30" s="1"/>
  <c r="T78" i="30"/>
  <c r="J78" i="30" s="1"/>
  <c r="U78" i="30"/>
  <c r="V78" i="30"/>
  <c r="I79" i="30"/>
  <c r="K79" i="30"/>
  <c r="S79" i="30"/>
  <c r="H79" i="30" s="1"/>
  <c r="T79" i="30"/>
  <c r="J79" i="30" s="1"/>
  <c r="U79" i="30"/>
  <c r="V79" i="30"/>
  <c r="I70" i="30"/>
  <c r="K70" i="30"/>
  <c r="S70" i="30"/>
  <c r="H70" i="30" s="1"/>
  <c r="T70" i="30"/>
  <c r="J70" i="30" s="1"/>
  <c r="U70" i="30"/>
  <c r="V70" i="30"/>
  <c r="I71" i="30"/>
  <c r="K71" i="30"/>
  <c r="S71" i="30"/>
  <c r="H71" i="30" s="1"/>
  <c r="T71" i="30"/>
  <c r="J71" i="30" s="1"/>
  <c r="U71" i="30"/>
  <c r="V71" i="30"/>
  <c r="I41" i="30"/>
  <c r="K41" i="30"/>
  <c r="S41" i="30"/>
  <c r="H41" i="30" s="1"/>
  <c r="T41" i="30"/>
  <c r="J41" i="30" s="1"/>
  <c r="U41" i="30"/>
  <c r="V41" i="30"/>
  <c r="I42" i="30"/>
  <c r="K42" i="30"/>
  <c r="S42" i="30"/>
  <c r="H42" i="30" s="1"/>
  <c r="T42" i="30"/>
  <c r="J42" i="30" s="1"/>
  <c r="U42" i="30"/>
  <c r="V42" i="30"/>
  <c r="I43" i="30"/>
  <c r="K43" i="30"/>
  <c r="S43" i="30"/>
  <c r="H43" i="30" s="1"/>
  <c r="T43" i="30"/>
  <c r="J43" i="30" s="1"/>
  <c r="U43" i="30"/>
  <c r="V43" i="30"/>
  <c r="I38" i="30"/>
  <c r="K38" i="30"/>
  <c r="S38" i="30"/>
  <c r="H38" i="30" s="1"/>
  <c r="T38" i="30"/>
  <c r="J38" i="30" s="1"/>
  <c r="U38" i="30"/>
  <c r="V38" i="30"/>
  <c r="I39" i="30"/>
  <c r="K39" i="30"/>
  <c r="S39" i="30"/>
  <c r="H39" i="30" s="1"/>
  <c r="T39" i="30"/>
  <c r="J39" i="30" s="1"/>
  <c r="U39" i="30"/>
  <c r="V39" i="30"/>
  <c r="I30" i="30"/>
  <c r="K30" i="30"/>
  <c r="S30" i="30"/>
  <c r="H30" i="30" s="1"/>
  <c r="T30" i="30"/>
  <c r="J30" i="30" s="1"/>
  <c r="U30" i="30"/>
  <c r="V30" i="30"/>
  <c r="I31" i="30"/>
  <c r="K31" i="30"/>
  <c r="S31" i="30"/>
  <c r="H31" i="30" s="1"/>
  <c r="T31" i="30"/>
  <c r="J31" i="30" s="1"/>
  <c r="U31" i="30"/>
  <c r="V31" i="30"/>
  <c r="I80" i="30"/>
  <c r="K80" i="30"/>
  <c r="S80" i="30"/>
  <c r="H80" i="30" s="1"/>
  <c r="T80" i="30"/>
  <c r="J80" i="30" s="1"/>
  <c r="U80" i="30"/>
  <c r="V80" i="30"/>
  <c r="I81" i="30"/>
  <c r="K81" i="30"/>
  <c r="S81" i="30"/>
  <c r="H81" i="30" s="1"/>
  <c r="T81" i="30"/>
  <c r="J81" i="30" s="1"/>
  <c r="U81" i="30"/>
  <c r="V81" i="30"/>
  <c r="I82" i="30"/>
  <c r="K82" i="30"/>
  <c r="S82" i="30"/>
  <c r="H82" i="30" s="1"/>
  <c r="T82" i="30"/>
  <c r="J82" i="30" s="1"/>
  <c r="U82" i="30"/>
  <c r="V82" i="30"/>
  <c r="L88" i="33"/>
  <c r="K88" i="33"/>
  <c r="C88" i="33" s="1"/>
  <c r="J88" i="33"/>
  <c r="B88" i="33" s="1"/>
  <c r="A88" i="33"/>
  <c r="L87" i="33"/>
  <c r="K87" i="33"/>
  <c r="C87" i="33" s="1"/>
  <c r="J87" i="33"/>
  <c r="B87" i="33" s="1"/>
  <c r="A87" i="33"/>
  <c r="L86" i="33"/>
  <c r="K86" i="33"/>
  <c r="C86" i="33" s="1"/>
  <c r="J86" i="33"/>
  <c r="B86" i="33" s="1"/>
  <c r="A86" i="33"/>
  <c r="L85" i="33"/>
  <c r="K85" i="33"/>
  <c r="C85" i="33" s="1"/>
  <c r="J85" i="33"/>
  <c r="B85" i="33" s="1"/>
  <c r="A85" i="33"/>
  <c r="L84" i="33"/>
  <c r="K84" i="33"/>
  <c r="C84" i="33" s="1"/>
  <c r="J84" i="33"/>
  <c r="B84" i="33" s="1"/>
  <c r="A84" i="33"/>
  <c r="L83" i="33"/>
  <c r="K83" i="33"/>
  <c r="C83" i="33" s="1"/>
  <c r="J83" i="33"/>
  <c r="B83" i="33" s="1"/>
  <c r="A83" i="33"/>
  <c r="L82" i="33"/>
  <c r="K82" i="33"/>
  <c r="C82" i="33" s="1"/>
  <c r="J82" i="33"/>
  <c r="B82" i="33" s="1"/>
  <c r="A82" i="33"/>
  <c r="L81" i="33"/>
  <c r="K81" i="33"/>
  <c r="C81" i="33" s="1"/>
  <c r="J81" i="33"/>
  <c r="B81" i="33" s="1"/>
  <c r="A81" i="33"/>
  <c r="L80" i="33"/>
  <c r="K80" i="33"/>
  <c r="C80" i="33" s="1"/>
  <c r="J80" i="33"/>
  <c r="B80" i="33" s="1"/>
  <c r="A80" i="33"/>
  <c r="L79" i="33"/>
  <c r="K79" i="33"/>
  <c r="C79" i="33" s="1"/>
  <c r="J79" i="33"/>
  <c r="B79" i="33" s="1"/>
  <c r="A79" i="33"/>
  <c r="L78" i="33"/>
  <c r="K78" i="33"/>
  <c r="C78" i="33" s="1"/>
  <c r="J78" i="33"/>
  <c r="B78" i="33" s="1"/>
  <c r="A78" i="33"/>
  <c r="L77" i="33"/>
  <c r="K77" i="33"/>
  <c r="C77" i="33" s="1"/>
  <c r="J77" i="33"/>
  <c r="B77" i="33" s="1"/>
  <c r="A77" i="33"/>
  <c r="L76" i="33"/>
  <c r="K76" i="33"/>
  <c r="C76" i="33" s="1"/>
  <c r="J76" i="33"/>
  <c r="B76" i="33" s="1"/>
  <c r="A76" i="33"/>
  <c r="L75" i="33"/>
  <c r="K75" i="33"/>
  <c r="C75" i="33" s="1"/>
  <c r="J75" i="33"/>
  <c r="B75" i="33" s="1"/>
  <c r="A75" i="33"/>
  <c r="L74" i="33"/>
  <c r="K74" i="33"/>
  <c r="C74" i="33" s="1"/>
  <c r="J74" i="33"/>
  <c r="B74" i="33" s="1"/>
  <c r="A74" i="33"/>
  <c r="L73" i="33"/>
  <c r="K73" i="33"/>
  <c r="C73" i="33" s="1"/>
  <c r="J73" i="33"/>
  <c r="B73" i="33" s="1"/>
  <c r="A73" i="33"/>
  <c r="L72" i="33"/>
  <c r="K72" i="33"/>
  <c r="C72" i="33" s="1"/>
  <c r="J72" i="33"/>
  <c r="B72" i="33" s="1"/>
  <c r="A72" i="33"/>
  <c r="L71" i="33"/>
  <c r="K71" i="33"/>
  <c r="C71" i="33" s="1"/>
  <c r="J71" i="33"/>
  <c r="B71" i="33" s="1"/>
  <c r="A71" i="33"/>
  <c r="L70" i="33"/>
  <c r="K70" i="33"/>
  <c r="C70" i="33" s="1"/>
  <c r="J70" i="33"/>
  <c r="B70" i="33" s="1"/>
  <c r="A70" i="33"/>
  <c r="L69" i="33"/>
  <c r="K69" i="33"/>
  <c r="C69" i="33" s="1"/>
  <c r="J69" i="33"/>
  <c r="B69" i="33" s="1"/>
  <c r="A69" i="33"/>
  <c r="L68" i="33"/>
  <c r="K68" i="33"/>
  <c r="C68" i="33" s="1"/>
  <c r="J68" i="33"/>
  <c r="B68" i="33" s="1"/>
  <c r="A68" i="33"/>
  <c r="L67" i="33"/>
  <c r="K67" i="33"/>
  <c r="C67" i="33" s="1"/>
  <c r="J67" i="33"/>
  <c r="B67" i="33" s="1"/>
  <c r="A67" i="33"/>
  <c r="L66" i="33"/>
  <c r="K66" i="33"/>
  <c r="C66" i="33" s="1"/>
  <c r="J66" i="33"/>
  <c r="B66" i="33" s="1"/>
  <c r="A66" i="33"/>
  <c r="L65" i="33"/>
  <c r="K65" i="33"/>
  <c r="C65" i="33" s="1"/>
  <c r="J65" i="33"/>
  <c r="B65" i="33" s="1"/>
  <c r="A65" i="33"/>
  <c r="L64" i="33"/>
  <c r="K64" i="33"/>
  <c r="C64" i="33" s="1"/>
  <c r="J64" i="33"/>
  <c r="B64" i="33" s="1"/>
  <c r="A64" i="33"/>
  <c r="L63" i="33"/>
  <c r="K63" i="33"/>
  <c r="C63" i="33" s="1"/>
  <c r="J63" i="33"/>
  <c r="B63" i="33" s="1"/>
  <c r="A63" i="33"/>
  <c r="L62" i="33"/>
  <c r="K62" i="33"/>
  <c r="C62" i="33" s="1"/>
  <c r="J62" i="33"/>
  <c r="B62" i="33" s="1"/>
  <c r="A62" i="33"/>
  <c r="L61" i="33"/>
  <c r="K61" i="33"/>
  <c r="C61" i="33" s="1"/>
  <c r="J61" i="33"/>
  <c r="B61" i="33" s="1"/>
  <c r="A61" i="33"/>
  <c r="L60" i="33"/>
  <c r="K60" i="33"/>
  <c r="C60" i="33" s="1"/>
  <c r="J60" i="33"/>
  <c r="B60" i="33" s="1"/>
  <c r="A60" i="33"/>
  <c r="L59" i="33"/>
  <c r="K59" i="33"/>
  <c r="C59" i="33" s="1"/>
  <c r="J59" i="33"/>
  <c r="B59" i="33" s="1"/>
  <c r="A59" i="33"/>
  <c r="L58" i="33"/>
  <c r="K58" i="33"/>
  <c r="C58" i="33" s="1"/>
  <c r="J58" i="33"/>
  <c r="B58" i="33" s="1"/>
  <c r="A58" i="33"/>
  <c r="L57" i="33"/>
  <c r="K57" i="33"/>
  <c r="C57" i="33" s="1"/>
  <c r="J57" i="33"/>
  <c r="B57" i="33" s="1"/>
  <c r="A57" i="33"/>
  <c r="L56" i="33"/>
  <c r="K56" i="33"/>
  <c r="C56" i="33" s="1"/>
  <c r="J56" i="33"/>
  <c r="B56" i="33" s="1"/>
  <c r="A56" i="33"/>
  <c r="L55" i="33"/>
  <c r="K55" i="33"/>
  <c r="C55" i="33" s="1"/>
  <c r="J55" i="33"/>
  <c r="B55" i="33" s="1"/>
  <c r="A55" i="33"/>
  <c r="L54" i="33"/>
  <c r="K54" i="33"/>
  <c r="C54" i="33" s="1"/>
  <c r="J54" i="33"/>
  <c r="B54" i="33" s="1"/>
  <c r="A54" i="33"/>
  <c r="L53" i="33"/>
  <c r="K53" i="33"/>
  <c r="C53" i="33" s="1"/>
  <c r="J53" i="33"/>
  <c r="B53" i="33" s="1"/>
  <c r="A53" i="33"/>
  <c r="L52" i="33"/>
  <c r="K52" i="33"/>
  <c r="C52" i="33" s="1"/>
  <c r="J52" i="33"/>
  <c r="B52" i="33" s="1"/>
  <c r="A52" i="33"/>
  <c r="L51" i="33"/>
  <c r="K51" i="33"/>
  <c r="C51" i="33" s="1"/>
  <c r="J51" i="33"/>
  <c r="B51" i="33" s="1"/>
  <c r="A51" i="33"/>
  <c r="L50" i="33"/>
  <c r="K50" i="33"/>
  <c r="C50" i="33" s="1"/>
  <c r="J50" i="33"/>
  <c r="B50" i="33" s="1"/>
  <c r="A50" i="33"/>
  <c r="L49" i="33"/>
  <c r="K49" i="33"/>
  <c r="C49" i="33" s="1"/>
  <c r="J49" i="33"/>
  <c r="B49" i="33" s="1"/>
  <c r="A49" i="33"/>
  <c r="L48" i="33"/>
  <c r="K48" i="33"/>
  <c r="C48" i="33" s="1"/>
  <c r="J48" i="33"/>
  <c r="B48" i="33" s="1"/>
  <c r="A48" i="33"/>
  <c r="L47" i="33"/>
  <c r="K47" i="33"/>
  <c r="C47" i="33" s="1"/>
  <c r="J47" i="33"/>
  <c r="B47" i="33" s="1"/>
  <c r="A47" i="33"/>
  <c r="L46" i="33"/>
  <c r="K46" i="33"/>
  <c r="C46" i="33" s="1"/>
  <c r="J46" i="33"/>
  <c r="B46" i="33" s="1"/>
  <c r="A46" i="33"/>
  <c r="L45" i="33"/>
  <c r="K45" i="33"/>
  <c r="C45" i="33" s="1"/>
  <c r="J45" i="33"/>
  <c r="B45" i="33" s="1"/>
  <c r="A45" i="33"/>
  <c r="L44" i="33"/>
  <c r="K44" i="33"/>
  <c r="C44" i="33" s="1"/>
  <c r="J44" i="33"/>
  <c r="B44" i="33" s="1"/>
  <c r="A44" i="33"/>
  <c r="L43" i="33"/>
  <c r="K43" i="33"/>
  <c r="C43" i="33" s="1"/>
  <c r="J43" i="33"/>
  <c r="B43" i="33" s="1"/>
  <c r="A43" i="33"/>
  <c r="L42" i="33"/>
  <c r="K42" i="33"/>
  <c r="C42" i="33" s="1"/>
  <c r="J42" i="33"/>
  <c r="B42" i="33" s="1"/>
  <c r="A42" i="33"/>
  <c r="L41" i="33"/>
  <c r="K41" i="33"/>
  <c r="C41" i="33" s="1"/>
  <c r="J41" i="33"/>
  <c r="B41" i="33" s="1"/>
  <c r="A41" i="33"/>
  <c r="L40" i="33"/>
  <c r="K40" i="33"/>
  <c r="C40" i="33" s="1"/>
  <c r="J40" i="33"/>
  <c r="B40" i="33" s="1"/>
  <c r="A40" i="33"/>
  <c r="L39" i="33"/>
  <c r="K39" i="33"/>
  <c r="C39" i="33" s="1"/>
  <c r="J39" i="33"/>
  <c r="B39" i="33" s="1"/>
  <c r="A39" i="33"/>
  <c r="L38" i="33"/>
  <c r="K38" i="33"/>
  <c r="C38" i="33" s="1"/>
  <c r="J38" i="33"/>
  <c r="B38" i="33" s="1"/>
  <c r="A38" i="33"/>
  <c r="L37" i="33"/>
  <c r="K37" i="33"/>
  <c r="C37" i="33" s="1"/>
  <c r="J37" i="33"/>
  <c r="B37" i="33" s="1"/>
  <c r="A37" i="33"/>
  <c r="L36" i="33"/>
  <c r="K36" i="33"/>
  <c r="C36" i="33" s="1"/>
  <c r="J36" i="33"/>
  <c r="B36" i="33" s="1"/>
  <c r="A36" i="33"/>
  <c r="L35" i="33"/>
  <c r="K35" i="33"/>
  <c r="C35" i="33" s="1"/>
  <c r="J35" i="33"/>
  <c r="B35" i="33" s="1"/>
  <c r="A35" i="33"/>
  <c r="L34" i="33"/>
  <c r="K34" i="33"/>
  <c r="C34" i="33" s="1"/>
  <c r="J34" i="33"/>
  <c r="B34" i="33" s="1"/>
  <c r="A34" i="33"/>
  <c r="L33" i="33"/>
  <c r="K33" i="33"/>
  <c r="C33" i="33" s="1"/>
  <c r="J33" i="33"/>
  <c r="B33" i="33" s="1"/>
  <c r="A33" i="33"/>
  <c r="L32" i="33"/>
  <c r="K32" i="33"/>
  <c r="C32" i="33" s="1"/>
  <c r="J32" i="33"/>
  <c r="B32" i="33" s="1"/>
  <c r="A32" i="33"/>
  <c r="L31" i="33"/>
  <c r="K31" i="33"/>
  <c r="C31" i="33" s="1"/>
  <c r="J31" i="33"/>
  <c r="B31" i="33" s="1"/>
  <c r="A31" i="33"/>
  <c r="L30" i="33"/>
  <c r="K30" i="33"/>
  <c r="C30" i="33" s="1"/>
  <c r="J30" i="33"/>
  <c r="B30" i="33" s="1"/>
  <c r="A30" i="33"/>
  <c r="L29" i="33"/>
  <c r="K29" i="33"/>
  <c r="C29" i="33" s="1"/>
  <c r="J29" i="33"/>
  <c r="B29" i="33" s="1"/>
  <c r="A29" i="33"/>
  <c r="L28" i="33"/>
  <c r="K28" i="33"/>
  <c r="C28" i="33" s="1"/>
  <c r="J28" i="33"/>
  <c r="B28" i="33" s="1"/>
  <c r="A28" i="33"/>
  <c r="L27" i="33"/>
  <c r="K27" i="33"/>
  <c r="C27" i="33" s="1"/>
  <c r="J27" i="33"/>
  <c r="B27" i="33" s="1"/>
  <c r="A27" i="33"/>
  <c r="L26" i="33"/>
  <c r="K26" i="33"/>
  <c r="C26" i="33" s="1"/>
  <c r="J26" i="33"/>
  <c r="B26" i="33" s="1"/>
  <c r="A26" i="33"/>
  <c r="L25" i="33"/>
  <c r="K25" i="33"/>
  <c r="J25" i="33"/>
  <c r="A25" i="33"/>
  <c r="L24" i="33"/>
  <c r="K24" i="33"/>
  <c r="C24" i="33" s="1"/>
  <c r="J24" i="33"/>
  <c r="B24" i="33" s="1"/>
  <c r="A24" i="33"/>
  <c r="L23" i="33"/>
  <c r="K23" i="33"/>
  <c r="C23" i="33" s="1"/>
  <c r="J23" i="33"/>
  <c r="B23" i="33" s="1"/>
  <c r="A23" i="33"/>
  <c r="L6" i="33"/>
  <c r="K6" i="33"/>
  <c r="C6" i="33" s="1"/>
  <c r="J6" i="33"/>
  <c r="B6" i="33" s="1"/>
  <c r="A6" i="33"/>
  <c r="L9" i="33"/>
  <c r="K9" i="33"/>
  <c r="C9" i="33" s="1"/>
  <c r="J9" i="33"/>
  <c r="B9" i="33" s="1"/>
  <c r="A9" i="33"/>
  <c r="L8" i="33"/>
  <c r="K8" i="33"/>
  <c r="C8" i="33" s="1"/>
  <c r="J8" i="33"/>
  <c r="B8" i="33" s="1"/>
  <c r="A8" i="33"/>
  <c r="L16" i="33"/>
  <c r="K16" i="33"/>
  <c r="C16" i="33" s="1"/>
  <c r="J16" i="33"/>
  <c r="B16" i="33" s="1"/>
  <c r="A16" i="33"/>
  <c r="L15" i="33"/>
  <c r="K15" i="33"/>
  <c r="J15" i="33"/>
  <c r="A15" i="33"/>
  <c r="L12" i="33" l="1"/>
  <c r="L4" i="33"/>
  <c r="L5" i="33"/>
  <c r="L20" i="33"/>
  <c r="L21" i="33"/>
  <c r="L13" i="33"/>
  <c r="L14" i="33"/>
  <c r="A12" i="33"/>
  <c r="A4" i="33"/>
  <c r="A5" i="33"/>
  <c r="A20" i="33"/>
  <c r="A21" i="33"/>
  <c r="A13" i="33"/>
  <c r="A14" i="33"/>
  <c r="A11" i="33"/>
  <c r="K14" i="33"/>
  <c r="C14" i="33" s="1"/>
  <c r="J14" i="33"/>
  <c r="B14" i="33" s="1"/>
  <c r="K13" i="33"/>
  <c r="J13" i="33"/>
  <c r="K21" i="33"/>
  <c r="C21" i="33" s="1"/>
  <c r="J21" i="33"/>
  <c r="B21" i="33" s="1"/>
  <c r="K20" i="33"/>
  <c r="C20" i="33" s="1"/>
  <c r="J20" i="33"/>
  <c r="B20" i="33" s="1"/>
  <c r="K5" i="33"/>
  <c r="C5" i="33" s="1"/>
  <c r="J5" i="33"/>
  <c r="B5" i="33" s="1"/>
  <c r="K4" i="33"/>
  <c r="C4" i="33" s="1"/>
  <c r="J4" i="33"/>
  <c r="B4" i="33" s="1"/>
  <c r="K12" i="33"/>
  <c r="C12" i="33" s="1"/>
  <c r="J12" i="33"/>
  <c r="B12" i="33" s="1"/>
  <c r="L11" i="33"/>
  <c r="K11" i="33"/>
  <c r="C11" i="33" s="1"/>
  <c r="J11" i="33"/>
  <c r="B11" i="33" s="1"/>
  <c r="W28" i="30" l="1"/>
  <c r="W29" i="30" s="1"/>
  <c r="W32" i="30" s="1"/>
  <c r="W33" i="30" s="1"/>
  <c r="W34" i="30" s="1"/>
  <c r="W35" i="30" s="1"/>
  <c r="W36" i="30" s="1"/>
  <c r="W37" i="30" s="1"/>
  <c r="W38" i="30" s="1"/>
  <c r="W39" i="30" s="1"/>
  <c r="V28" i="30"/>
  <c r="U28" i="30"/>
  <c r="T28" i="30"/>
  <c r="J28" i="30" s="1"/>
  <c r="S28" i="30"/>
  <c r="K28" i="30"/>
  <c r="I28" i="30"/>
  <c r="W41" i="30" l="1"/>
  <c r="W42" i="30" s="1"/>
  <c r="W43" i="30" s="1"/>
  <c r="W30" i="30" s="1"/>
  <c r="W31" i="30" s="1"/>
  <c r="W40" i="30"/>
  <c r="H28" i="30"/>
</calcChain>
</file>

<file path=xl/sharedStrings.xml><?xml version="1.0" encoding="utf-8"?>
<sst xmlns="http://schemas.openxmlformats.org/spreadsheetml/2006/main" count="2141" uniqueCount="1088">
  <si>
    <t>NO</t>
  </si>
  <si>
    <t>A</t>
  </si>
  <si>
    <t>B</t>
  </si>
  <si>
    <t>규    격</t>
  </si>
  <si>
    <t>색상</t>
  </si>
  <si>
    <t>길이</t>
  </si>
  <si>
    <t>방법</t>
  </si>
  <si>
    <t>PJT</t>
    <phoneticPr fontId="12" type="noConversion"/>
  </si>
  <si>
    <t>CODE</t>
    <phoneticPr fontId="12" type="noConversion"/>
  </si>
  <si>
    <t>NO</t>
    <phoneticPr fontId="12" type="noConversion"/>
  </si>
  <si>
    <t>A</t>
    <phoneticPr fontId="12" type="noConversion"/>
  </si>
  <si>
    <t>㈜세림전자 (SerimElectronics)</t>
    <phoneticPr fontId="12" type="noConversion"/>
  </si>
  <si>
    <t>제품(PRODUCT)</t>
    <phoneticPr fontId="12" type="noConversion"/>
  </si>
  <si>
    <t>일 자
(Date)</t>
    <phoneticPr fontId="12" type="noConversion"/>
  </si>
  <si>
    <t>개정 내용
(Revised content)</t>
    <phoneticPr fontId="12" type="noConversion"/>
  </si>
  <si>
    <t>비      고
(Bignoran)</t>
    <phoneticPr fontId="12" type="noConversion"/>
  </si>
  <si>
    <t>품 질 POINT
(Quality POINT)</t>
    <phoneticPr fontId="12" type="noConversion"/>
  </si>
  <si>
    <t>측정 주기
(Measurement cycle)</t>
    <phoneticPr fontId="12" type="noConversion"/>
  </si>
  <si>
    <t>단        자
(Terminal)</t>
    <phoneticPr fontId="13" type="noConversion"/>
  </si>
  <si>
    <t>품 명
(Product name)</t>
    <phoneticPr fontId="12" type="noConversion"/>
  </si>
  <si>
    <t>초, 중, 종물</t>
    <phoneticPr fontId="12" type="noConversion"/>
  </si>
  <si>
    <t>측정 값
(Measured value)</t>
    <phoneticPr fontId="12" type="noConversion"/>
  </si>
  <si>
    <t>B</t>
    <phoneticPr fontId="13" type="noConversion"/>
  </si>
  <si>
    <t>원수</t>
    <phoneticPr fontId="12" type="noConversion"/>
  </si>
  <si>
    <t>ST741084-3</t>
  </si>
  <si>
    <t>ST710489-3</t>
  </si>
  <si>
    <t>2468#26 5C (BLK/WHT)</t>
  </si>
  <si>
    <t>2468#26 3C (ORG/WHT)</t>
  </si>
  <si>
    <t>UL1015#20/A</t>
  </si>
  <si>
    <t>UL1015#22/A</t>
  </si>
  <si>
    <t>2468#26 2C (ORG/WHT)</t>
  </si>
  <si>
    <t>2468#26 2C (BLK/WHT)</t>
  </si>
  <si>
    <t>2468#26 4C (ORG/WHT)</t>
  </si>
  <si>
    <t>YT396C-RT(S)</t>
  </si>
  <si>
    <t>5-170063-2</t>
  </si>
  <si>
    <t>YST025L3</t>
  </si>
  <si>
    <t>ST740690-3</t>
  </si>
  <si>
    <t>YT396C-RT</t>
  </si>
  <si>
    <t>YST200-CRT</t>
  </si>
  <si>
    <t>SC42205-005A</t>
  </si>
  <si>
    <t>35745-0410</t>
  </si>
  <si>
    <t>35747-0410</t>
  </si>
  <si>
    <t>35746-0410</t>
  </si>
  <si>
    <t>35745-0110</t>
  </si>
  <si>
    <t>35746-0310</t>
  </si>
  <si>
    <t>35747-0110</t>
  </si>
  <si>
    <t>SELIM</t>
    <phoneticPr fontId="69" type="noConversion"/>
  </si>
  <si>
    <t>SXA-001T-P0.6</t>
  </si>
  <si>
    <t>ST731594-3T</t>
  </si>
  <si>
    <t>1.3~1.6</t>
    <phoneticPr fontId="75" type="noConversion"/>
  </si>
  <si>
    <t>20003TS</t>
    <phoneticPr fontId="75" type="noConversion"/>
  </si>
  <si>
    <t>1.5~2</t>
    <phoneticPr fontId="75" type="noConversion"/>
  </si>
  <si>
    <t>20003TS(L)</t>
    <phoneticPr fontId="75" type="noConversion"/>
  </si>
  <si>
    <t>YST200-H3</t>
  </si>
  <si>
    <t>1.5~2.0</t>
    <phoneticPr fontId="75" type="noConversion"/>
  </si>
  <si>
    <t>ST731454-3SS</t>
  </si>
  <si>
    <t>1.7~1.9</t>
    <phoneticPr fontId="75" type="noConversion"/>
  </si>
  <si>
    <t>ST731509-3S</t>
  </si>
  <si>
    <t>ST731509-3T</t>
  </si>
  <si>
    <t>ST741476-3S</t>
  </si>
  <si>
    <t>1.8~2.1</t>
    <phoneticPr fontId="75" type="noConversion"/>
  </si>
  <si>
    <t>ST741476-3T</t>
  </si>
  <si>
    <t>SXM-001T-P0.6</t>
  </si>
  <si>
    <t>1.9~2.4</t>
    <phoneticPr fontId="75" type="noConversion"/>
  </si>
  <si>
    <t>YDT200</t>
  </si>
  <si>
    <t>2.0~2.5</t>
    <phoneticPr fontId="75" type="noConversion"/>
  </si>
  <si>
    <t>YDT200-C</t>
  </si>
  <si>
    <t>2.2~2.7</t>
    <phoneticPr fontId="75" type="noConversion"/>
  </si>
  <si>
    <t>ST731504-3S</t>
  </si>
  <si>
    <t>2.5~2.7</t>
    <phoneticPr fontId="75" type="noConversion"/>
  </si>
  <si>
    <t>ST750293-3</t>
  </si>
  <si>
    <t>2.5~3.0</t>
    <phoneticPr fontId="75" type="noConversion"/>
  </si>
  <si>
    <t>YDT236(M)SB</t>
  </si>
  <si>
    <t>ST741388-3T</t>
  </si>
  <si>
    <t>2.6~2.8</t>
    <phoneticPr fontId="75" type="noConversion"/>
  </si>
  <si>
    <t>ST731082-3</t>
  </si>
  <si>
    <t>2.7~3.2</t>
    <phoneticPr fontId="75" type="noConversion"/>
  </si>
  <si>
    <t>ST731083-3</t>
  </si>
  <si>
    <t>ST741085-3</t>
  </si>
  <si>
    <t>ST741086-3</t>
  </si>
  <si>
    <t>ST741388-3S</t>
  </si>
  <si>
    <t>2.8~3.2</t>
    <phoneticPr fontId="75" type="noConversion"/>
  </si>
  <si>
    <t>YT396P</t>
  </si>
  <si>
    <t>2.9~3.4</t>
    <phoneticPr fontId="75" type="noConversion"/>
  </si>
  <si>
    <t>2.9~3.5</t>
    <phoneticPr fontId="75" type="noConversion"/>
  </si>
  <si>
    <t>SSM-01T-P1.4</t>
  </si>
  <si>
    <t>3.0(±0.5)</t>
    <phoneticPr fontId="75" type="noConversion"/>
  </si>
  <si>
    <t>SYF-01T-P0.5A</t>
    <phoneticPr fontId="75" type="noConversion"/>
  </si>
  <si>
    <t>SYM-01T-P0.5A</t>
  </si>
  <si>
    <t>SYM-41T-P0.5A</t>
  </si>
  <si>
    <t>SYF-01T-P0.5A
SYM-01T-P0.5A</t>
    <phoneticPr fontId="75" type="noConversion"/>
  </si>
  <si>
    <t>SSF-01T-P1.4AB</t>
  </si>
  <si>
    <t>3.0~3.5</t>
    <phoneticPr fontId="75" type="noConversion"/>
  </si>
  <si>
    <t>SSF-21T-P1.4AB</t>
  </si>
  <si>
    <t>SSM-21T-P1.4</t>
  </si>
  <si>
    <t>SYF-41T-P0.5A</t>
  </si>
  <si>
    <t>ST731177-3</t>
  </si>
  <si>
    <t>ST731307-3</t>
    <phoneticPr fontId="75" type="noConversion"/>
  </si>
  <si>
    <t>ST731081-3</t>
  </si>
  <si>
    <t>1743728-1</t>
  </si>
  <si>
    <t>3.5 ±0.5</t>
    <phoneticPr fontId="75" type="noConversion"/>
  </si>
  <si>
    <t>ST731506-3M</t>
    <phoneticPr fontId="75" type="noConversion"/>
  </si>
  <si>
    <t>3.8~4.0</t>
    <phoneticPr fontId="75" type="noConversion"/>
  </si>
  <si>
    <t>ST730649-3S</t>
  </si>
  <si>
    <t>3.9~4.1</t>
    <phoneticPr fontId="75" type="noConversion"/>
  </si>
  <si>
    <t>WW45A-51109</t>
  </si>
  <si>
    <t>3~4.1</t>
    <phoneticPr fontId="75" type="noConversion"/>
  </si>
  <si>
    <t>ST741435-3DW</t>
  </si>
  <si>
    <t>4.0~4.4</t>
    <phoneticPr fontId="75" type="noConversion"/>
  </si>
  <si>
    <t>ST731433-3DW</t>
  </si>
  <si>
    <t>ST731433-3L</t>
  </si>
  <si>
    <t>ST731433-3M</t>
  </si>
  <si>
    <t>ST731433-3S</t>
  </si>
  <si>
    <t>ST741435-3L</t>
  </si>
  <si>
    <t>ST741435-3M</t>
  </si>
  <si>
    <t>ST741435-3S</t>
  </si>
  <si>
    <t>ST741436-3DW</t>
  </si>
  <si>
    <t>ST741436-3L</t>
  </si>
  <si>
    <t>ST741436-3M</t>
  </si>
  <si>
    <t>ST741436-3S</t>
  </si>
  <si>
    <t>ST730948-3</t>
  </si>
  <si>
    <t>4.0~4.5</t>
    <phoneticPr fontId="75" type="noConversion"/>
  </si>
  <si>
    <t>ST730993-3</t>
  </si>
  <si>
    <t>ST731031-3</t>
  </si>
  <si>
    <t>ST731079-3</t>
  </si>
  <si>
    <t>ST731228-3</t>
  </si>
  <si>
    <t>ST741296-3</t>
  </si>
  <si>
    <t>ST730567-3</t>
  </si>
  <si>
    <t>4.0~5.0</t>
    <phoneticPr fontId="75" type="noConversion"/>
  </si>
  <si>
    <t>ST730568-3</t>
  </si>
  <si>
    <t>ST730948-3T</t>
  </si>
  <si>
    <t>4.2~4.5</t>
    <phoneticPr fontId="75" type="noConversion"/>
  </si>
  <si>
    <t>ST780242-2</t>
  </si>
  <si>
    <t>ST731386-3</t>
  </si>
  <si>
    <t>4.4~4.6</t>
    <phoneticPr fontId="75" type="noConversion"/>
  </si>
  <si>
    <t>ST741351-3</t>
  </si>
  <si>
    <t>ST710945-3</t>
  </si>
  <si>
    <t>4.5~5.0</t>
    <phoneticPr fontId="75" type="noConversion"/>
  </si>
  <si>
    <t>ST730245-2</t>
  </si>
  <si>
    <t>ST730694-3</t>
    <phoneticPr fontId="75" type="noConversion"/>
  </si>
  <si>
    <t>ST730825-3</t>
  </si>
  <si>
    <t>ST740634-3</t>
  </si>
  <si>
    <t>ST740815-3</t>
  </si>
  <si>
    <t>ST731394-3M</t>
  </si>
  <si>
    <t>4.8~5.3</t>
    <phoneticPr fontId="75" type="noConversion"/>
  </si>
  <si>
    <t>ST731394-3T</t>
  </si>
  <si>
    <t>ST740871-3</t>
  </si>
  <si>
    <t>ST710944-3</t>
  </si>
  <si>
    <t>5.0~5.5</t>
    <phoneticPr fontId="75" type="noConversion"/>
  </si>
  <si>
    <t>ST730190-2</t>
  </si>
  <si>
    <t>ST730571-3</t>
  </si>
  <si>
    <t>ST730620-3</t>
  </si>
  <si>
    <t>ST730638-3</t>
  </si>
  <si>
    <t>ST730649-3</t>
    <phoneticPr fontId="75" type="noConversion"/>
  </si>
  <si>
    <t>ST730837-3</t>
  </si>
  <si>
    <t>ST731016-3</t>
  </si>
  <si>
    <t>ST740254-3</t>
  </si>
  <si>
    <t>YRT250-B(M)E</t>
  </si>
  <si>
    <t>5.1~5.6</t>
    <phoneticPr fontId="75" type="noConversion"/>
  </si>
  <si>
    <t>ST730191-2</t>
  </si>
  <si>
    <t>5.5~6.0</t>
    <phoneticPr fontId="75" type="noConversion"/>
  </si>
  <si>
    <t>ST760320-1</t>
  </si>
  <si>
    <t>6.5~7.5</t>
    <phoneticPr fontId="75" type="noConversion"/>
  </si>
  <si>
    <t>ST760145-1</t>
  </si>
  <si>
    <t>7.5~8.5</t>
    <phoneticPr fontId="75" type="noConversion"/>
  </si>
  <si>
    <t>ST760149-1</t>
  </si>
  <si>
    <t>ST760149-2</t>
  </si>
  <si>
    <t>ST760299-1</t>
  </si>
  <si>
    <t>ST760320-2</t>
  </si>
  <si>
    <t>0039000454(5558T2-A)</t>
  </si>
  <si>
    <t>39000040(5558T)</t>
  </si>
  <si>
    <t>SC41202-005A</t>
  </si>
  <si>
    <t>2.8 ~ 3.3</t>
    <phoneticPr fontId="75" type="noConversion"/>
  </si>
  <si>
    <t>25045TP</t>
  </si>
  <si>
    <t>2.6~3.1</t>
    <phoneticPr fontId="75" type="noConversion"/>
  </si>
  <si>
    <t>Terminal</t>
    <phoneticPr fontId="69" type="noConversion"/>
  </si>
  <si>
    <t>Strip Length</t>
    <phoneticPr fontId="13" type="noConversion"/>
  </si>
  <si>
    <t>A</t>
    <phoneticPr fontId="13" type="noConversion"/>
  </si>
  <si>
    <t>탈피 길이,인장력
(Strip Length, tensile strength)</t>
    <phoneticPr fontId="12" type="noConversion"/>
  </si>
  <si>
    <t>WIRE SPEC
(mm)</t>
    <phoneticPr fontId="12" type="noConversion"/>
  </si>
  <si>
    <t>Wire Strip Length
(mm)</t>
    <phoneticPr fontId="13" type="noConversion"/>
  </si>
  <si>
    <t>Tensile strength
(kgf)</t>
    <phoneticPr fontId="13" type="noConversion"/>
  </si>
  <si>
    <r>
      <rPr>
        <b/>
        <sz val="9"/>
        <rFont val="굴림"/>
        <family val="3"/>
        <charset val="129"/>
      </rPr>
      <t xml:space="preserve"> 심선절단 (A core wire cutting)</t>
    </r>
    <r>
      <rPr>
        <sz val="9"/>
        <rFont val="굴림"/>
        <family val="3"/>
        <charset val="129"/>
      </rPr>
      <t xml:space="preserve">
  - 절연피복 STRIP시 심선에 흠 또는 그로인한 심선의 끊어짐이 없도록 할 것. (In case of insulation STRIP, make sure that the core is not damaged or broken.)
 </t>
    </r>
    <r>
      <rPr>
        <b/>
        <sz val="9"/>
        <rFont val="굴림"/>
        <family val="3"/>
        <charset val="129"/>
      </rPr>
      <t>압착상태 (pressed condition)</t>
    </r>
    <r>
      <rPr>
        <sz val="9"/>
        <rFont val="굴림"/>
        <family val="3"/>
        <charset val="129"/>
      </rPr>
      <t xml:space="preserve">
  - 심선압착부 내측에 유지류 또는 기타 이물질이 없을 것. (Core apchakppu inner will not be fat and oils or other debris.)
  - 압착시 심선 압착부의 이음매에 심선의 일부가빠져 나오지 말 것. (Do not remove any part of the heart from the seam of the heart's compression section when)
  - 절연 피복의 일부가 심선 압착부에 들어가지 말 것. (Do not allow any part of the insulation to enter the core compression section.)
  - 압착부 절연피복은 절연피복 압착부에 고정될 것. (The insulation of the compression part shall be fixed to the insulation compression part.)
 </t>
    </r>
    <r>
      <rPr>
        <b/>
        <sz val="9"/>
        <rFont val="굴림"/>
        <family val="3"/>
        <charset val="129"/>
      </rPr>
      <t>외 관 (The external appearance)</t>
    </r>
    <r>
      <rPr>
        <sz val="9"/>
        <rFont val="굴림"/>
        <family val="3"/>
        <charset val="129"/>
      </rPr>
      <t xml:space="preserve">
  - 사용상 문제가 없을 것. (No problem in use.)</t>
    </r>
    <phoneticPr fontId="12" type="noConversion"/>
  </si>
  <si>
    <t>Strip Length
(커넥터 제조사 규격)</t>
    <phoneticPr fontId="69" type="noConversion"/>
  </si>
  <si>
    <t>WIRE SPEC</t>
    <phoneticPr fontId="69" type="noConversion"/>
  </si>
  <si>
    <t>인장력</t>
    <phoneticPr fontId="69" type="noConversion"/>
  </si>
  <si>
    <t>2.5kgf</t>
  </si>
  <si>
    <t>UL1007#26</t>
    <phoneticPr fontId="64" type="noConversion"/>
  </si>
  <si>
    <t>UL1007#26/A</t>
    <phoneticPr fontId="64" type="noConversion"/>
  </si>
  <si>
    <t>UL1007#24</t>
    <phoneticPr fontId="64" type="noConversion"/>
  </si>
  <si>
    <t>UL1007#24/A</t>
    <phoneticPr fontId="64" type="noConversion"/>
  </si>
  <si>
    <t>3kgf</t>
    <phoneticPr fontId="64" type="noConversion"/>
  </si>
  <si>
    <t>UL1007#22</t>
    <phoneticPr fontId="64" type="noConversion"/>
  </si>
  <si>
    <t>UL1007#22/A</t>
    <phoneticPr fontId="64" type="noConversion"/>
  </si>
  <si>
    <t>4.5kgf</t>
    <phoneticPr fontId="64" type="noConversion"/>
  </si>
  <si>
    <t>UL1007#20</t>
    <phoneticPr fontId="64" type="noConversion"/>
  </si>
  <si>
    <t>UL1007#20/A</t>
    <phoneticPr fontId="64" type="noConversion"/>
  </si>
  <si>
    <t>8kgf</t>
    <phoneticPr fontId="64" type="noConversion"/>
  </si>
  <si>
    <t>UL1015#24</t>
  </si>
  <si>
    <t>UL1015#24/A</t>
  </si>
  <si>
    <t>UL1015#22</t>
  </si>
  <si>
    <t>UL1015#20</t>
  </si>
  <si>
    <t>UL1015#18</t>
    <phoneticPr fontId="64" type="noConversion"/>
  </si>
  <si>
    <t>UL1015#18/A</t>
    <phoneticPr fontId="64" type="noConversion"/>
  </si>
  <si>
    <t>1007#26</t>
  </si>
  <si>
    <t>1007#26/A</t>
  </si>
  <si>
    <t>1007#24</t>
  </si>
  <si>
    <t>1007#24/A</t>
  </si>
  <si>
    <t>1007#22</t>
  </si>
  <si>
    <t>1007#22/A</t>
  </si>
  <si>
    <t>1007#20</t>
  </si>
  <si>
    <t>1007#20/A</t>
  </si>
  <si>
    <t>1015#24</t>
  </si>
  <si>
    <t>1015#24/A</t>
  </si>
  <si>
    <t>1015#22</t>
  </si>
  <si>
    <t>1015#22/A</t>
  </si>
  <si>
    <t>1015#20</t>
  </si>
  <si>
    <t>1015#20/A</t>
  </si>
  <si>
    <t>1015#18</t>
  </si>
  <si>
    <t>1015#18/A</t>
  </si>
  <si>
    <t>IEC080.75SQ</t>
    <phoneticPr fontId="64" type="noConversion"/>
  </si>
  <si>
    <t>IEC080.5SQ</t>
    <phoneticPr fontId="64" type="noConversion"/>
  </si>
  <si>
    <t>10125#28</t>
    <phoneticPr fontId="64" type="noConversion"/>
  </si>
  <si>
    <t>10125#26</t>
    <phoneticPr fontId="64" type="noConversion"/>
  </si>
  <si>
    <t>2kgf</t>
    <phoneticPr fontId="64" type="noConversion"/>
  </si>
  <si>
    <t>2468#26 2C (YEL/WHT)</t>
  </si>
  <si>
    <t>2468#26 5C (ORG/WHT)</t>
  </si>
  <si>
    <t>2468#26 6C (ORG/WHT)</t>
  </si>
  <si>
    <t>2468#26 2C (RED/WHT)</t>
  </si>
  <si>
    <t>2468#26 3C (BLU/WHT)</t>
  </si>
  <si>
    <t xml:space="preserve">                          절 단  및  압 착 (Cut and Crimp)</t>
    <phoneticPr fontId="12" type="noConversion"/>
  </si>
  <si>
    <t>작  업  지  도  서 ( Work Sheet)</t>
    <phoneticPr fontId="12" type="noConversion"/>
  </si>
  <si>
    <t>이원화 자재</t>
    <phoneticPr fontId="13" type="noConversion"/>
  </si>
  <si>
    <t>형명 (색상별 구분 작성)</t>
    <phoneticPr fontId="75" type="noConversion"/>
  </si>
  <si>
    <t>35965-0200</t>
    <phoneticPr fontId="75" type="noConversion"/>
  </si>
  <si>
    <t>MG615695-002</t>
    <phoneticPr fontId="75" type="noConversion"/>
  </si>
  <si>
    <t>35965-0202</t>
    <phoneticPr fontId="75" type="noConversion"/>
  </si>
  <si>
    <t>MG615695-102</t>
    <phoneticPr fontId="75" type="noConversion"/>
  </si>
  <si>
    <t>35965-0203</t>
    <phoneticPr fontId="75" type="noConversion"/>
  </si>
  <si>
    <t>MG615695-302</t>
    <phoneticPr fontId="75" type="noConversion"/>
  </si>
  <si>
    <t>35965-0204</t>
    <phoneticPr fontId="75" type="noConversion"/>
  </si>
  <si>
    <t>MG615695-202</t>
    <phoneticPr fontId="75" type="noConversion"/>
  </si>
  <si>
    <t>35965-9200</t>
    <phoneticPr fontId="75" type="noConversion"/>
  </si>
  <si>
    <t>35965-9202</t>
    <phoneticPr fontId="75" type="noConversion"/>
  </si>
  <si>
    <t>35965-9203</t>
    <phoneticPr fontId="75" type="noConversion"/>
  </si>
  <si>
    <t>35965-9204</t>
    <phoneticPr fontId="75" type="noConversion"/>
  </si>
  <si>
    <t>35965-0210</t>
    <phoneticPr fontId="75" type="noConversion"/>
  </si>
  <si>
    <t>MG615696-002</t>
  </si>
  <si>
    <t>35965-0212</t>
    <phoneticPr fontId="75" type="noConversion"/>
  </si>
  <si>
    <t>MG615696-102</t>
  </si>
  <si>
    <t>35965-0213</t>
    <phoneticPr fontId="75" type="noConversion"/>
  </si>
  <si>
    <t>MG615696-302</t>
  </si>
  <si>
    <t>35965-0214</t>
    <phoneticPr fontId="75" type="noConversion"/>
  </si>
  <si>
    <t>MG615696-202</t>
  </si>
  <si>
    <t>35965-9210</t>
    <phoneticPr fontId="75" type="noConversion"/>
  </si>
  <si>
    <t>35965-9212</t>
    <phoneticPr fontId="75" type="noConversion"/>
  </si>
  <si>
    <t>35965-9213</t>
    <phoneticPr fontId="75" type="noConversion"/>
  </si>
  <si>
    <t>35965-9214</t>
    <phoneticPr fontId="75" type="noConversion"/>
  </si>
  <si>
    <t>35965-0220</t>
    <phoneticPr fontId="75" type="noConversion"/>
  </si>
  <si>
    <t>MG615697-002</t>
  </si>
  <si>
    <t>35965-0222</t>
    <phoneticPr fontId="75" type="noConversion"/>
  </si>
  <si>
    <t>MG615697-102</t>
  </si>
  <si>
    <t>35965-0223</t>
    <phoneticPr fontId="75" type="noConversion"/>
  </si>
  <si>
    <t>MG615697-302</t>
  </si>
  <si>
    <t>35965-0224</t>
    <phoneticPr fontId="75" type="noConversion"/>
  </si>
  <si>
    <t>MG615697-202</t>
  </si>
  <si>
    <t>35965-9220</t>
    <phoneticPr fontId="75" type="noConversion"/>
  </si>
  <si>
    <t>35965-9222</t>
    <phoneticPr fontId="75" type="noConversion"/>
  </si>
  <si>
    <t>35965-9223</t>
    <phoneticPr fontId="75" type="noConversion"/>
  </si>
  <si>
    <t>35965-9224</t>
    <phoneticPr fontId="75" type="noConversion"/>
  </si>
  <si>
    <t>35965-0290</t>
    <phoneticPr fontId="75" type="noConversion"/>
  </si>
  <si>
    <t>MG636074-002</t>
    <phoneticPr fontId="75" type="noConversion"/>
  </si>
  <si>
    <t>35965-0292</t>
    <phoneticPr fontId="75" type="noConversion"/>
  </si>
  <si>
    <t>MG636074-102</t>
    <phoneticPr fontId="75" type="noConversion"/>
  </si>
  <si>
    <t>35965-0293</t>
    <phoneticPr fontId="75" type="noConversion"/>
  </si>
  <si>
    <t>MG636074-302</t>
    <phoneticPr fontId="75" type="noConversion"/>
  </si>
  <si>
    <t>35965-0294</t>
    <phoneticPr fontId="75" type="noConversion"/>
  </si>
  <si>
    <t>MG636074-202</t>
    <phoneticPr fontId="75" type="noConversion"/>
  </si>
  <si>
    <t>104081-0280</t>
    <phoneticPr fontId="75" type="noConversion"/>
  </si>
  <si>
    <t>MG636079-002</t>
    <phoneticPr fontId="75" type="noConversion"/>
  </si>
  <si>
    <t>104081-0282</t>
    <phoneticPr fontId="75" type="noConversion"/>
  </si>
  <si>
    <t>MG636079-102</t>
    <phoneticPr fontId="75" type="noConversion"/>
  </si>
  <si>
    <t>104081-0283</t>
    <phoneticPr fontId="75" type="noConversion"/>
  </si>
  <si>
    <t>MG636079-302</t>
    <phoneticPr fontId="75" type="noConversion"/>
  </si>
  <si>
    <t>104081-0284</t>
    <phoneticPr fontId="75" type="noConversion"/>
  </si>
  <si>
    <t>MG636079-202</t>
    <phoneticPr fontId="75" type="noConversion"/>
  </si>
  <si>
    <t>49547-0390</t>
    <phoneticPr fontId="75" type="noConversion"/>
  </si>
  <si>
    <t>MG636080-003</t>
    <phoneticPr fontId="75" type="noConversion"/>
  </si>
  <si>
    <t>49547-0392</t>
    <phoneticPr fontId="75" type="noConversion"/>
  </si>
  <si>
    <t>MG636080-103</t>
    <phoneticPr fontId="75" type="noConversion"/>
  </si>
  <si>
    <t>49547-0393</t>
    <phoneticPr fontId="75" type="noConversion"/>
  </si>
  <si>
    <t>MG636080-303</t>
    <phoneticPr fontId="75" type="noConversion"/>
  </si>
  <si>
    <t>49547-0394</t>
    <phoneticPr fontId="75" type="noConversion"/>
  </si>
  <si>
    <t>MG636080-203</t>
    <phoneticPr fontId="75" type="noConversion"/>
  </si>
  <si>
    <t>49548-0390</t>
    <phoneticPr fontId="75" type="noConversion"/>
  </si>
  <si>
    <t>MG636081-003</t>
    <phoneticPr fontId="75" type="noConversion"/>
  </si>
  <si>
    <t>49548-0392</t>
    <phoneticPr fontId="75" type="noConversion"/>
  </si>
  <si>
    <t>MG636081-103</t>
    <phoneticPr fontId="75" type="noConversion"/>
  </si>
  <si>
    <t>49548-0393</t>
    <phoneticPr fontId="75" type="noConversion"/>
  </si>
  <si>
    <t>MG636081-303</t>
    <phoneticPr fontId="75" type="noConversion"/>
  </si>
  <si>
    <t>49548-0394</t>
    <phoneticPr fontId="75" type="noConversion"/>
  </si>
  <si>
    <t>MG636081-203</t>
    <phoneticPr fontId="75" type="noConversion"/>
  </si>
  <si>
    <t>35180-0400</t>
    <phoneticPr fontId="75" type="noConversion"/>
  </si>
  <si>
    <t>MG625501-004</t>
    <phoneticPr fontId="75" type="noConversion"/>
  </si>
  <si>
    <t>35180-0402</t>
    <phoneticPr fontId="75" type="noConversion"/>
  </si>
  <si>
    <t>MG625501-104</t>
    <phoneticPr fontId="75" type="noConversion"/>
  </si>
  <si>
    <t>35180-0403</t>
    <phoneticPr fontId="75" type="noConversion"/>
  </si>
  <si>
    <t>MG625501-304</t>
    <phoneticPr fontId="75" type="noConversion"/>
  </si>
  <si>
    <t>35180-0404</t>
    <phoneticPr fontId="75" type="noConversion"/>
  </si>
  <si>
    <t>MG625501-204</t>
    <phoneticPr fontId="75" type="noConversion"/>
  </si>
  <si>
    <t>35180-0409</t>
    <phoneticPr fontId="75" type="noConversion"/>
  </si>
  <si>
    <t>35180-2409</t>
    <phoneticPr fontId="75" type="noConversion"/>
  </si>
  <si>
    <t>35180-3409</t>
    <phoneticPr fontId="75" type="noConversion"/>
  </si>
  <si>
    <t>35180-4409</t>
    <phoneticPr fontId="75" type="noConversion"/>
  </si>
  <si>
    <t>35180-0600</t>
    <phoneticPr fontId="75" type="noConversion"/>
  </si>
  <si>
    <t>MG625502-006</t>
    <phoneticPr fontId="75" type="noConversion"/>
  </si>
  <si>
    <t>35180-0602</t>
    <phoneticPr fontId="75" type="noConversion"/>
  </si>
  <si>
    <t>MG625502-106</t>
    <phoneticPr fontId="75" type="noConversion"/>
  </si>
  <si>
    <t>35180-0603</t>
    <phoneticPr fontId="75" type="noConversion"/>
  </si>
  <si>
    <t>MG625502-306</t>
    <phoneticPr fontId="75" type="noConversion"/>
  </si>
  <si>
    <t>35180-0604</t>
    <phoneticPr fontId="75" type="noConversion"/>
  </si>
  <si>
    <t>MG625502-206</t>
    <phoneticPr fontId="75" type="noConversion"/>
  </si>
  <si>
    <t>35180-0609</t>
    <phoneticPr fontId="75" type="noConversion"/>
  </si>
  <si>
    <t>35180-2609</t>
    <phoneticPr fontId="75" type="noConversion"/>
  </si>
  <si>
    <t>35180-3609</t>
    <phoneticPr fontId="75" type="noConversion"/>
  </si>
  <si>
    <t>35180-4609</t>
    <phoneticPr fontId="75" type="noConversion"/>
  </si>
  <si>
    <t>35182-0290</t>
    <phoneticPr fontId="75" type="noConversion"/>
  </si>
  <si>
    <t>MG636075-002</t>
    <phoneticPr fontId="75" type="noConversion"/>
  </si>
  <si>
    <t>35182-0292</t>
    <phoneticPr fontId="75" type="noConversion"/>
  </si>
  <si>
    <t>MG636075-102</t>
    <phoneticPr fontId="75" type="noConversion"/>
  </si>
  <si>
    <t>35182-0293</t>
    <phoneticPr fontId="75" type="noConversion"/>
  </si>
  <si>
    <t>MG636075-302</t>
    <phoneticPr fontId="75" type="noConversion"/>
  </si>
  <si>
    <t>35182-0294</t>
    <phoneticPr fontId="75" type="noConversion"/>
  </si>
  <si>
    <t>MG636075-202</t>
    <phoneticPr fontId="75" type="noConversion"/>
  </si>
  <si>
    <t>35182-0390</t>
    <phoneticPr fontId="75" type="noConversion"/>
  </si>
  <si>
    <t>MG636076-003</t>
    <phoneticPr fontId="75" type="noConversion"/>
  </si>
  <si>
    <t>35182-0392</t>
    <phoneticPr fontId="75" type="noConversion"/>
  </si>
  <si>
    <t>MG636076-103</t>
    <phoneticPr fontId="75" type="noConversion"/>
  </si>
  <si>
    <t>35182-0393</t>
    <phoneticPr fontId="75" type="noConversion"/>
  </si>
  <si>
    <t>MG636076-303</t>
    <phoneticPr fontId="75" type="noConversion"/>
  </si>
  <si>
    <t>35182-0394</t>
    <phoneticPr fontId="75" type="noConversion"/>
  </si>
  <si>
    <t>MG636076-203</t>
    <phoneticPr fontId="75" type="noConversion"/>
  </si>
  <si>
    <t>ST731433-3S</t>
    <phoneticPr fontId="75" type="noConversion"/>
  </si>
  <si>
    <t>35746-0110</t>
  </si>
  <si>
    <t>ST731433-3M</t>
    <phoneticPr fontId="75" type="noConversion"/>
  </si>
  <si>
    <t>35746-0210</t>
  </si>
  <si>
    <t>ST731433-3L</t>
    <phoneticPr fontId="75" type="noConversion"/>
  </si>
  <si>
    <t>ST731433-3DW</t>
    <phoneticPr fontId="75" type="noConversion"/>
  </si>
  <si>
    <t>35748-0410</t>
  </si>
  <si>
    <t>ST731434-3S</t>
    <phoneticPr fontId="75" type="noConversion"/>
  </si>
  <si>
    <t>35748-0110</t>
  </si>
  <si>
    <t>ST731434-3M</t>
    <phoneticPr fontId="75" type="noConversion"/>
  </si>
  <si>
    <t>35748-0210</t>
  </si>
  <si>
    <t>ST731434-3L</t>
    <phoneticPr fontId="75" type="noConversion"/>
  </si>
  <si>
    <t>35748-0310</t>
  </si>
  <si>
    <t>ST731434-3DW</t>
    <phoneticPr fontId="75" type="noConversion"/>
  </si>
  <si>
    <t>ST741435-3S</t>
    <phoneticPr fontId="75" type="noConversion"/>
  </si>
  <si>
    <t>ST741435-3M</t>
    <phoneticPr fontId="75" type="noConversion"/>
  </si>
  <si>
    <t>35745-0210</t>
  </si>
  <si>
    <t>ST741435-3L</t>
    <phoneticPr fontId="75" type="noConversion"/>
  </si>
  <si>
    <t>35745-0310</t>
  </si>
  <si>
    <t>ST741435-3DW</t>
    <phoneticPr fontId="75" type="noConversion"/>
  </si>
  <si>
    <t>ST741436-3S</t>
    <phoneticPr fontId="75" type="noConversion"/>
  </si>
  <si>
    <t>35747-0110</t>
    <phoneticPr fontId="75" type="noConversion"/>
  </si>
  <si>
    <t>ST741436-3M</t>
    <phoneticPr fontId="75" type="noConversion"/>
  </si>
  <si>
    <t>35747-0210</t>
  </si>
  <si>
    <t>ST741436-3L</t>
    <phoneticPr fontId="75" type="noConversion"/>
  </si>
  <si>
    <t>35747-0310</t>
  </si>
  <si>
    <t>ST741436-3DW</t>
    <phoneticPr fontId="75" type="noConversion"/>
  </si>
  <si>
    <t>SMH200-H03H3</t>
  </si>
  <si>
    <t>MG615708-003</t>
    <phoneticPr fontId="75" type="noConversion"/>
  </si>
  <si>
    <t>SMH200-H04H3</t>
  </si>
  <si>
    <t>MG615708-004</t>
  </si>
  <si>
    <t>SMH200-H05H3</t>
  </si>
  <si>
    <t>MG615708-005</t>
  </si>
  <si>
    <t>SMH200-H06H3</t>
  </si>
  <si>
    <t>MG615708-006</t>
  </si>
  <si>
    <t>SMH200-H07H3</t>
  </si>
  <si>
    <t>MG615708-007</t>
  </si>
  <si>
    <t>SMH200-H08H3</t>
  </si>
  <si>
    <t>MG615708-008</t>
  </si>
  <si>
    <t>SMH200-H09H3</t>
  </si>
  <si>
    <t>MG615708-009</t>
  </si>
  <si>
    <t>SMH200-H10H3</t>
  </si>
  <si>
    <t>MG615708-010</t>
  </si>
  <si>
    <t>SMH200-H11H3</t>
  </si>
  <si>
    <t>MG615708-011</t>
  </si>
  <si>
    <t>SMH200-H12H3</t>
  </si>
  <si>
    <t>MG615708-012</t>
  </si>
  <si>
    <t>SMH200-H13H3</t>
  </si>
  <si>
    <t>MG615708-013</t>
  </si>
  <si>
    <t>SMH200-H14H3</t>
  </si>
  <si>
    <t>MG615708-014</t>
  </si>
  <si>
    <t>MG636089-203</t>
    <phoneticPr fontId="75" type="noConversion"/>
  </si>
  <si>
    <t>MG636089-204</t>
  </si>
  <si>
    <t>MG636089-205</t>
  </si>
  <si>
    <t>MG636089-206</t>
  </si>
  <si>
    <t>MG636089-207</t>
  </si>
  <si>
    <t>MG636089-208</t>
  </si>
  <si>
    <t>MG636089-209</t>
  </si>
  <si>
    <t>MG636089-210</t>
  </si>
  <si>
    <t>MG636089-211</t>
  </si>
  <si>
    <t>MG636089-212</t>
  </si>
  <si>
    <t>MG636089-213</t>
  </si>
  <si>
    <t>MG636089-214</t>
  </si>
  <si>
    <t>YST200-H3</t>
    <phoneticPr fontId="75" type="noConversion"/>
  </si>
  <si>
    <t>ST731594-3T</t>
    <phoneticPr fontId="75" type="noConversion"/>
  </si>
  <si>
    <t>WB20M-028-411</t>
    <phoneticPr fontId="75" type="noConversion"/>
  </si>
  <si>
    <t>MG615674-028</t>
    <phoneticPr fontId="75" type="noConversion"/>
  </si>
  <si>
    <t>WB20M-026-411</t>
    <phoneticPr fontId="75" type="noConversion"/>
  </si>
  <si>
    <t>MG615674-026</t>
    <phoneticPr fontId="75" type="noConversion"/>
  </si>
  <si>
    <t>WB20M-024-411</t>
    <phoneticPr fontId="75" type="noConversion"/>
  </si>
  <si>
    <t>MG615674-024</t>
    <phoneticPr fontId="75" type="noConversion"/>
  </si>
  <si>
    <t>WB20M-028-454</t>
    <phoneticPr fontId="75" type="noConversion"/>
  </si>
  <si>
    <t>MG635939-214</t>
  </si>
  <si>
    <t>WB20M-026-454</t>
    <phoneticPr fontId="75" type="noConversion"/>
  </si>
  <si>
    <t>MG635939-213</t>
    <phoneticPr fontId="75" type="noConversion"/>
  </si>
  <si>
    <t>WB20M-024-454</t>
    <phoneticPr fontId="75" type="noConversion"/>
  </si>
  <si>
    <t>MG635939-212</t>
    <phoneticPr fontId="75" type="noConversion"/>
  </si>
  <si>
    <t>YDH236-02(W)</t>
  </si>
  <si>
    <t>MG615653-002</t>
  </si>
  <si>
    <t>YDH236-01(W)</t>
    <phoneticPr fontId="75" type="noConversion"/>
  </si>
  <si>
    <t>MG615653-001</t>
    <phoneticPr fontId="75" type="noConversion"/>
  </si>
  <si>
    <t>YDH236-01(BL)</t>
  </si>
  <si>
    <t>MG615653-201</t>
  </si>
  <si>
    <t>YT236-(M)SB</t>
    <phoneticPr fontId="75" type="noConversion"/>
  </si>
  <si>
    <t>ST731506-3M</t>
  </si>
  <si>
    <t>YT236-(L)SB</t>
    <phoneticPr fontId="75" type="noConversion"/>
  </si>
  <si>
    <t>ST731506-3L</t>
    <phoneticPr fontId="75" type="noConversion"/>
  </si>
  <si>
    <t>WB20L-61209</t>
  </si>
  <si>
    <t>ST731509-3T</t>
    <phoneticPr fontId="75" type="noConversion"/>
  </si>
  <si>
    <t>WB20L-66209</t>
  </si>
  <si>
    <t>ST731509-3S</t>
    <phoneticPr fontId="75" type="noConversion"/>
  </si>
  <si>
    <t>25045HP-03AZ</t>
    <phoneticPr fontId="75" type="noConversion"/>
  </si>
  <si>
    <t>MG625500-003</t>
    <phoneticPr fontId="75" type="noConversion"/>
  </si>
  <si>
    <t>25045HP-04AZ</t>
  </si>
  <si>
    <t>MG625500-004</t>
  </si>
  <si>
    <t>25045HP-05AZ</t>
  </si>
  <si>
    <t>MG625500-005</t>
  </si>
  <si>
    <t>25045HP-06AZ</t>
  </si>
  <si>
    <t>MG625500-006</t>
  </si>
  <si>
    <t>25045HP-07AZ</t>
  </si>
  <si>
    <t>MG625500-007</t>
  </si>
  <si>
    <t>25045HP-08AZ</t>
  </si>
  <si>
    <t>MG625500-008</t>
  </si>
  <si>
    <t>25045HP-09AZ</t>
  </si>
  <si>
    <t>MG625500-009</t>
  </si>
  <si>
    <t>25045HP-10AZ</t>
  </si>
  <si>
    <t>MG625500-010</t>
  </si>
  <si>
    <t>25045HP-11AZ</t>
  </si>
  <si>
    <t>MG625500-011</t>
  </si>
  <si>
    <t>25045HP-12AZ</t>
  </si>
  <si>
    <t>MG625500-012</t>
  </si>
  <si>
    <t>25045HP-13AZ</t>
  </si>
  <si>
    <t>MG625500-013</t>
  </si>
  <si>
    <t>25045HP-14AZ</t>
  </si>
  <si>
    <t>MG625500-014</t>
  </si>
  <si>
    <t>25045HP-15AZ</t>
  </si>
  <si>
    <t>MG625500-015</t>
  </si>
  <si>
    <t>SMH250-03LZ</t>
    <phoneticPr fontId="75" type="noConversion"/>
  </si>
  <si>
    <t>MG615632-003</t>
    <phoneticPr fontId="75" type="noConversion"/>
  </si>
  <si>
    <t>SMH250-04LZ</t>
  </si>
  <si>
    <t>MG615632-004</t>
  </si>
  <si>
    <t>SMH250-05LZ</t>
  </si>
  <si>
    <t>MG615632-005</t>
  </si>
  <si>
    <t>SMH250-06LZ</t>
  </si>
  <si>
    <t>MG615632-006</t>
  </si>
  <si>
    <t>SMH250-07LZ</t>
  </si>
  <si>
    <t>MG615632-007</t>
  </si>
  <si>
    <t>SMH250-08LZ</t>
  </si>
  <si>
    <t>MG615632-008</t>
  </si>
  <si>
    <t>SMH250-09LZ</t>
  </si>
  <si>
    <t>MG615632-009</t>
  </si>
  <si>
    <t>SMH250-10LZ</t>
  </si>
  <si>
    <t>MG615632-010</t>
  </si>
  <si>
    <t>SMH250-11LZ</t>
  </si>
  <si>
    <t>MG615632-011</t>
  </si>
  <si>
    <t>SMH250-12LZ</t>
  </si>
  <si>
    <t>MG615632-012</t>
  </si>
  <si>
    <t>SMH250-13LZ</t>
  </si>
  <si>
    <t>MG615632-013</t>
  </si>
  <si>
    <t>SMH250-14LZ</t>
  </si>
  <si>
    <t>MG615632-014</t>
  </si>
  <si>
    <t>SMH250-15LZ</t>
  </si>
  <si>
    <t>MG615632-015</t>
  </si>
  <si>
    <t>YST025L3</t>
    <phoneticPr fontId="75" type="noConversion"/>
  </si>
  <si>
    <t>MG635826-203</t>
  </si>
  <si>
    <t>MG635826-204</t>
  </si>
  <si>
    <t>MG635826-205</t>
  </si>
  <si>
    <t>MG635826-206</t>
  </si>
  <si>
    <t>MG635826-207</t>
  </si>
  <si>
    <t>MG635826-208</t>
  </si>
  <si>
    <t>MG635826-209</t>
  </si>
  <si>
    <t>MG635826-210</t>
  </si>
  <si>
    <t>MG635826-211</t>
  </si>
  <si>
    <t>MG635826-212</t>
  </si>
  <si>
    <t>MG635826-213</t>
  </si>
  <si>
    <t>MG635826-214</t>
  </si>
  <si>
    <t>MG635826-215</t>
  </si>
  <si>
    <t>25045TP</t>
    <phoneticPr fontId="75" type="noConversion"/>
  </si>
  <si>
    <t>ST741461-3T</t>
  </si>
  <si>
    <t>35151-0210</t>
    <phoneticPr fontId="75" type="noConversion"/>
  </si>
  <si>
    <t>MG615304</t>
    <phoneticPr fontId="75" type="noConversion"/>
  </si>
  <si>
    <t>35151-0212</t>
    <phoneticPr fontId="75" type="noConversion"/>
  </si>
  <si>
    <t>MG615304-1</t>
    <phoneticPr fontId="75" type="noConversion"/>
  </si>
  <si>
    <t>35151-0213</t>
    <phoneticPr fontId="75" type="noConversion"/>
  </si>
  <si>
    <t>MG615304-3</t>
    <phoneticPr fontId="75" type="noConversion"/>
  </si>
  <si>
    <t>35151-0214</t>
    <phoneticPr fontId="75" type="noConversion"/>
  </si>
  <si>
    <t>MG615304-2</t>
    <phoneticPr fontId="75" type="noConversion"/>
  </si>
  <si>
    <t>35151-0219</t>
    <phoneticPr fontId="75" type="noConversion"/>
  </si>
  <si>
    <t>MG615304T</t>
    <phoneticPr fontId="75" type="noConversion"/>
  </si>
  <si>
    <t>35151-2219</t>
    <phoneticPr fontId="75" type="noConversion"/>
  </si>
  <si>
    <t>MG615304T-1</t>
    <phoneticPr fontId="75" type="noConversion"/>
  </si>
  <si>
    <t>35151-3219</t>
    <phoneticPr fontId="75" type="noConversion"/>
  </si>
  <si>
    <t>MG615304T-3</t>
    <phoneticPr fontId="75" type="noConversion"/>
  </si>
  <si>
    <t>35151-4219</t>
    <phoneticPr fontId="75" type="noConversion"/>
  </si>
  <si>
    <t>MG615304T-2</t>
    <phoneticPr fontId="75" type="noConversion"/>
  </si>
  <si>
    <t>35150-0210</t>
    <phoneticPr fontId="75" type="noConversion"/>
  </si>
  <si>
    <t>MG625305</t>
    <phoneticPr fontId="75" type="noConversion"/>
  </si>
  <si>
    <t>35150-0212</t>
    <phoneticPr fontId="75" type="noConversion"/>
  </si>
  <si>
    <t>MG625305-1</t>
    <phoneticPr fontId="75" type="noConversion"/>
  </si>
  <si>
    <t>35150-0213</t>
    <phoneticPr fontId="75" type="noConversion"/>
  </si>
  <si>
    <t>MG625305-3</t>
    <phoneticPr fontId="75" type="noConversion"/>
  </si>
  <si>
    <t>35150-0214</t>
    <phoneticPr fontId="75" type="noConversion"/>
  </si>
  <si>
    <t>MG625305-2</t>
    <phoneticPr fontId="75" type="noConversion"/>
  </si>
  <si>
    <t>35150-0219</t>
    <phoneticPr fontId="75" type="noConversion"/>
  </si>
  <si>
    <t>MG625305T</t>
    <phoneticPr fontId="75" type="noConversion"/>
  </si>
  <si>
    <t>35150-2219</t>
    <phoneticPr fontId="75" type="noConversion"/>
  </si>
  <si>
    <t>MG625305T-1</t>
    <phoneticPr fontId="75" type="noConversion"/>
  </si>
  <si>
    <t>35150-3219</t>
    <phoneticPr fontId="75" type="noConversion"/>
  </si>
  <si>
    <t>MG625305T-3</t>
    <phoneticPr fontId="75" type="noConversion"/>
  </si>
  <si>
    <t>35150-4219</t>
    <phoneticPr fontId="75" type="noConversion"/>
  </si>
  <si>
    <t>MG625305T-2</t>
    <phoneticPr fontId="75" type="noConversion"/>
  </si>
  <si>
    <t>35150-0200</t>
    <phoneticPr fontId="75" type="noConversion"/>
  </si>
  <si>
    <t>MG625306</t>
    <phoneticPr fontId="75" type="noConversion"/>
  </si>
  <si>
    <t>35150-0202</t>
    <phoneticPr fontId="75" type="noConversion"/>
  </si>
  <si>
    <t>MG625306-1</t>
    <phoneticPr fontId="75" type="noConversion"/>
  </si>
  <si>
    <t>35150-0203</t>
    <phoneticPr fontId="75" type="noConversion"/>
  </si>
  <si>
    <t>MG625306-3</t>
    <phoneticPr fontId="75" type="noConversion"/>
  </si>
  <si>
    <t>35150-0204</t>
    <phoneticPr fontId="75" type="noConversion"/>
  </si>
  <si>
    <t>MG625306-2</t>
    <phoneticPr fontId="75" type="noConversion"/>
  </si>
  <si>
    <t>35150-0209</t>
    <phoneticPr fontId="75" type="noConversion"/>
  </si>
  <si>
    <t>MG625306T</t>
    <phoneticPr fontId="75" type="noConversion"/>
  </si>
  <si>
    <t>35150-2209</t>
    <phoneticPr fontId="75" type="noConversion"/>
  </si>
  <si>
    <t>MG625306T-1</t>
    <phoneticPr fontId="75" type="noConversion"/>
  </si>
  <si>
    <t>35150-3209</t>
    <phoneticPr fontId="75" type="noConversion"/>
  </si>
  <si>
    <t>MG625306T-3</t>
    <phoneticPr fontId="75" type="noConversion"/>
  </si>
  <si>
    <t>35150-4209</t>
    <phoneticPr fontId="75" type="noConversion"/>
  </si>
  <si>
    <t>MG625306T-2</t>
    <phoneticPr fontId="75" type="noConversion"/>
  </si>
  <si>
    <t>35151-0310</t>
    <phoneticPr fontId="75" type="noConversion"/>
  </si>
  <si>
    <t>MG615307</t>
    <phoneticPr fontId="75" type="noConversion"/>
  </si>
  <si>
    <t>35151-0312</t>
    <phoneticPr fontId="75" type="noConversion"/>
  </si>
  <si>
    <t>MG615307-1</t>
    <phoneticPr fontId="75" type="noConversion"/>
  </si>
  <si>
    <t>35151-0313</t>
    <phoneticPr fontId="75" type="noConversion"/>
  </si>
  <si>
    <t>MG615307-3</t>
    <phoneticPr fontId="75" type="noConversion"/>
  </si>
  <si>
    <t>35151-0314</t>
    <phoneticPr fontId="75" type="noConversion"/>
  </si>
  <si>
    <t>MG615307-2</t>
    <phoneticPr fontId="75" type="noConversion"/>
  </si>
  <si>
    <t>35151-0319</t>
    <phoneticPr fontId="75" type="noConversion"/>
  </si>
  <si>
    <t>MG615307T</t>
    <phoneticPr fontId="75" type="noConversion"/>
  </si>
  <si>
    <t>35151-2319</t>
    <phoneticPr fontId="75" type="noConversion"/>
  </si>
  <si>
    <t>MG615307T-1</t>
    <phoneticPr fontId="75" type="noConversion"/>
  </si>
  <si>
    <t>35151-3319</t>
    <phoneticPr fontId="75" type="noConversion"/>
  </si>
  <si>
    <t>MG615307T-3</t>
    <phoneticPr fontId="75" type="noConversion"/>
  </si>
  <si>
    <t>35151-4319</t>
    <phoneticPr fontId="75" type="noConversion"/>
  </si>
  <si>
    <t>MG615307T-2</t>
    <phoneticPr fontId="75" type="noConversion"/>
  </si>
  <si>
    <t>35150-0310</t>
    <phoneticPr fontId="75" type="noConversion"/>
  </si>
  <si>
    <t>MG625308</t>
    <phoneticPr fontId="75" type="noConversion"/>
  </si>
  <si>
    <t>35150-0312</t>
    <phoneticPr fontId="75" type="noConversion"/>
  </si>
  <si>
    <t>MG625308-1</t>
    <phoneticPr fontId="75" type="noConversion"/>
  </si>
  <si>
    <t>35150-0313</t>
    <phoneticPr fontId="75" type="noConversion"/>
  </si>
  <si>
    <t>MG62530-3</t>
    <phoneticPr fontId="75" type="noConversion"/>
  </si>
  <si>
    <t>35150-0314</t>
    <phoneticPr fontId="75" type="noConversion"/>
  </si>
  <si>
    <t>MG625308-2</t>
    <phoneticPr fontId="75" type="noConversion"/>
  </si>
  <si>
    <t>35150-0319</t>
    <phoneticPr fontId="75" type="noConversion"/>
  </si>
  <si>
    <t>MG625308T</t>
    <phoneticPr fontId="75" type="noConversion"/>
  </si>
  <si>
    <t>35150-2319</t>
    <phoneticPr fontId="75" type="noConversion"/>
  </si>
  <si>
    <t>MG625308T-1</t>
    <phoneticPr fontId="75" type="noConversion"/>
  </si>
  <si>
    <t>35150-3319</t>
    <phoneticPr fontId="75" type="noConversion"/>
  </si>
  <si>
    <t>MG625308T-3</t>
    <phoneticPr fontId="75" type="noConversion"/>
  </si>
  <si>
    <t>35150-4319</t>
    <phoneticPr fontId="75" type="noConversion"/>
  </si>
  <si>
    <t>MG625308T-2</t>
    <phoneticPr fontId="75" type="noConversion"/>
  </si>
  <si>
    <t>35150-0300</t>
    <phoneticPr fontId="75" type="noConversion"/>
  </si>
  <si>
    <t>MG625309</t>
    <phoneticPr fontId="75" type="noConversion"/>
  </si>
  <si>
    <t>35150-0302</t>
    <phoneticPr fontId="75" type="noConversion"/>
  </si>
  <si>
    <t>MG625309-1</t>
    <phoneticPr fontId="75" type="noConversion"/>
  </si>
  <si>
    <t>35150-0303</t>
    <phoneticPr fontId="75" type="noConversion"/>
  </si>
  <si>
    <t>MG625309-3</t>
    <phoneticPr fontId="75" type="noConversion"/>
  </si>
  <si>
    <t>35150-0304</t>
    <phoneticPr fontId="75" type="noConversion"/>
  </si>
  <si>
    <t>MG625309-2</t>
    <phoneticPr fontId="75" type="noConversion"/>
  </si>
  <si>
    <t>35150-0309</t>
    <phoneticPr fontId="75" type="noConversion"/>
  </si>
  <si>
    <t>MG625309T</t>
    <phoneticPr fontId="75" type="noConversion"/>
  </si>
  <si>
    <t>35150-2309</t>
    <phoneticPr fontId="75" type="noConversion"/>
  </si>
  <si>
    <t>MG625309T-1</t>
    <phoneticPr fontId="75" type="noConversion"/>
  </si>
  <si>
    <t>35150-3309</t>
    <phoneticPr fontId="75" type="noConversion"/>
  </si>
  <si>
    <t>MG625309T-3</t>
    <phoneticPr fontId="75" type="noConversion"/>
  </si>
  <si>
    <t>35150-4309</t>
    <phoneticPr fontId="75" type="noConversion"/>
  </si>
  <si>
    <t>MG625309T-2</t>
    <phoneticPr fontId="75" type="noConversion"/>
  </si>
  <si>
    <t>35151-0410</t>
  </si>
  <si>
    <t>MG615310</t>
    <phoneticPr fontId="75" type="noConversion"/>
  </si>
  <si>
    <t>35151-0412</t>
    <phoneticPr fontId="75" type="noConversion"/>
  </si>
  <si>
    <t>MG615310-1</t>
    <phoneticPr fontId="75" type="noConversion"/>
  </si>
  <si>
    <t>35151-0413</t>
    <phoneticPr fontId="75" type="noConversion"/>
  </si>
  <si>
    <t>MG615310-3</t>
    <phoneticPr fontId="75" type="noConversion"/>
  </si>
  <si>
    <t>35151-0414</t>
    <phoneticPr fontId="75" type="noConversion"/>
  </si>
  <si>
    <t>MG615310-2</t>
    <phoneticPr fontId="75" type="noConversion"/>
  </si>
  <si>
    <t>35151-0419</t>
    <phoneticPr fontId="75" type="noConversion"/>
  </si>
  <si>
    <t>MG615310T</t>
    <phoneticPr fontId="75" type="noConversion"/>
  </si>
  <si>
    <t>35151-2419</t>
    <phoneticPr fontId="75" type="noConversion"/>
  </si>
  <si>
    <t>MG615310T-1</t>
    <phoneticPr fontId="75" type="noConversion"/>
  </si>
  <si>
    <t>35151-3419</t>
    <phoneticPr fontId="75" type="noConversion"/>
  </si>
  <si>
    <t>MG615310T-3</t>
    <phoneticPr fontId="75" type="noConversion"/>
  </si>
  <si>
    <t>35151-4419</t>
    <phoneticPr fontId="75" type="noConversion"/>
  </si>
  <si>
    <t>MG615310T-2</t>
    <phoneticPr fontId="75" type="noConversion"/>
  </si>
  <si>
    <t>35150-0410</t>
  </si>
  <si>
    <t>MG625311</t>
    <phoneticPr fontId="75" type="noConversion"/>
  </si>
  <si>
    <t>35150-0412</t>
    <phoneticPr fontId="75" type="noConversion"/>
  </si>
  <si>
    <t>MG625311-1</t>
    <phoneticPr fontId="75" type="noConversion"/>
  </si>
  <si>
    <t>35150-0413</t>
    <phoneticPr fontId="75" type="noConversion"/>
  </si>
  <si>
    <t>MG625311-3</t>
    <phoneticPr fontId="75" type="noConversion"/>
  </si>
  <si>
    <t>35150-0414</t>
    <phoneticPr fontId="75" type="noConversion"/>
  </si>
  <si>
    <t>MG625311-2</t>
    <phoneticPr fontId="75" type="noConversion"/>
  </si>
  <si>
    <t>35150-0419</t>
    <phoneticPr fontId="75" type="noConversion"/>
  </si>
  <si>
    <t>MG625311T</t>
    <phoneticPr fontId="75" type="noConversion"/>
  </si>
  <si>
    <t>35150-2419</t>
    <phoneticPr fontId="75" type="noConversion"/>
  </si>
  <si>
    <t>MG625311T-1</t>
    <phoneticPr fontId="75" type="noConversion"/>
  </si>
  <si>
    <t>35150-3419</t>
    <phoneticPr fontId="75" type="noConversion"/>
  </si>
  <si>
    <t>MG625311T-3</t>
    <phoneticPr fontId="75" type="noConversion"/>
  </si>
  <si>
    <t>35150-4419</t>
    <phoneticPr fontId="75" type="noConversion"/>
  </si>
  <si>
    <t>MG625311T-2</t>
    <phoneticPr fontId="75" type="noConversion"/>
  </si>
  <si>
    <t>35150-0400</t>
  </si>
  <si>
    <t>MG625312</t>
    <phoneticPr fontId="75" type="noConversion"/>
  </si>
  <si>
    <t>35150-0402</t>
    <phoneticPr fontId="75" type="noConversion"/>
  </si>
  <si>
    <t>MG625312-1</t>
    <phoneticPr fontId="75" type="noConversion"/>
  </si>
  <si>
    <t>35150-0403</t>
    <phoneticPr fontId="75" type="noConversion"/>
  </si>
  <si>
    <t>MG625312-3</t>
    <phoneticPr fontId="75" type="noConversion"/>
  </si>
  <si>
    <t>35150-0404</t>
    <phoneticPr fontId="75" type="noConversion"/>
  </si>
  <si>
    <t>MG625312-2</t>
    <phoneticPr fontId="75" type="noConversion"/>
  </si>
  <si>
    <t>35150-0409</t>
    <phoneticPr fontId="75" type="noConversion"/>
  </si>
  <si>
    <t>MG625312T</t>
    <phoneticPr fontId="75" type="noConversion"/>
  </si>
  <si>
    <t>35150-2409</t>
    <phoneticPr fontId="75" type="noConversion"/>
  </si>
  <si>
    <t>MG625312T-1</t>
    <phoneticPr fontId="75" type="noConversion"/>
  </si>
  <si>
    <t>35150-3409</t>
    <phoneticPr fontId="75" type="noConversion"/>
  </si>
  <si>
    <t>MG625312T-3</t>
    <phoneticPr fontId="75" type="noConversion"/>
  </si>
  <si>
    <t>35150-4409</t>
    <phoneticPr fontId="75" type="noConversion"/>
  </si>
  <si>
    <t>MG625312T-2</t>
    <phoneticPr fontId="75" type="noConversion"/>
  </si>
  <si>
    <t>35151-0610</t>
    <phoneticPr fontId="75" type="noConversion"/>
  </si>
  <si>
    <t>MG615313</t>
    <phoneticPr fontId="75" type="noConversion"/>
  </si>
  <si>
    <t>35151-0612</t>
    <phoneticPr fontId="75" type="noConversion"/>
  </si>
  <si>
    <t>MG615313-1</t>
    <phoneticPr fontId="75" type="noConversion"/>
  </si>
  <si>
    <t>35151-0613</t>
    <phoneticPr fontId="75" type="noConversion"/>
  </si>
  <si>
    <t>MG61531-3</t>
    <phoneticPr fontId="75" type="noConversion"/>
  </si>
  <si>
    <t>35151-0614</t>
    <phoneticPr fontId="75" type="noConversion"/>
  </si>
  <si>
    <t>MG615313-2</t>
    <phoneticPr fontId="75" type="noConversion"/>
  </si>
  <si>
    <t>35151-0619</t>
    <phoneticPr fontId="75" type="noConversion"/>
  </si>
  <si>
    <t>MG615313T</t>
    <phoneticPr fontId="75" type="noConversion"/>
  </si>
  <si>
    <t>35151-2619</t>
    <phoneticPr fontId="75" type="noConversion"/>
  </si>
  <si>
    <t>MG615313T-1</t>
    <phoneticPr fontId="75" type="noConversion"/>
  </si>
  <si>
    <t>35151-3619</t>
    <phoneticPr fontId="75" type="noConversion"/>
  </si>
  <si>
    <t>MG615313T-3</t>
    <phoneticPr fontId="75" type="noConversion"/>
  </si>
  <si>
    <t>35151-4619</t>
    <phoneticPr fontId="75" type="noConversion"/>
  </si>
  <si>
    <t>MG615313T-2</t>
    <phoneticPr fontId="75" type="noConversion"/>
  </si>
  <si>
    <t>35150-0610</t>
    <phoneticPr fontId="75" type="noConversion"/>
  </si>
  <si>
    <t>MG625314</t>
    <phoneticPr fontId="75" type="noConversion"/>
  </si>
  <si>
    <t>35150-0612</t>
    <phoneticPr fontId="75" type="noConversion"/>
  </si>
  <si>
    <t>MG625314-1</t>
    <phoneticPr fontId="75" type="noConversion"/>
  </si>
  <si>
    <t>35150-0613</t>
    <phoneticPr fontId="75" type="noConversion"/>
  </si>
  <si>
    <t>MG625314-3</t>
    <phoneticPr fontId="75" type="noConversion"/>
  </si>
  <si>
    <t>35150-0614</t>
    <phoneticPr fontId="75" type="noConversion"/>
  </si>
  <si>
    <t>MG625314-2</t>
    <phoneticPr fontId="75" type="noConversion"/>
  </si>
  <si>
    <t>35150-0619</t>
    <phoneticPr fontId="75" type="noConversion"/>
  </si>
  <si>
    <t>MG625314T</t>
    <phoneticPr fontId="75" type="noConversion"/>
  </si>
  <si>
    <t>35150-2619</t>
    <phoneticPr fontId="75" type="noConversion"/>
  </si>
  <si>
    <t>MG625314T-1</t>
    <phoneticPr fontId="75" type="noConversion"/>
  </si>
  <si>
    <t>35150-3619</t>
    <phoneticPr fontId="75" type="noConversion"/>
  </si>
  <si>
    <t>MG625314T-3</t>
    <phoneticPr fontId="75" type="noConversion"/>
  </si>
  <si>
    <t>35150-4619</t>
    <phoneticPr fontId="75" type="noConversion"/>
  </si>
  <si>
    <t>MG625314T-2</t>
    <phoneticPr fontId="75" type="noConversion"/>
  </si>
  <si>
    <t>35150-0600</t>
    <phoneticPr fontId="75" type="noConversion"/>
  </si>
  <si>
    <t>MG625315</t>
    <phoneticPr fontId="75" type="noConversion"/>
  </si>
  <si>
    <t>35150-0602</t>
    <phoneticPr fontId="75" type="noConversion"/>
  </si>
  <si>
    <t>MG625315-1</t>
    <phoneticPr fontId="75" type="noConversion"/>
  </si>
  <si>
    <t>35150-0603</t>
    <phoneticPr fontId="75" type="noConversion"/>
  </si>
  <si>
    <t>MG625315-3</t>
    <phoneticPr fontId="75" type="noConversion"/>
  </si>
  <si>
    <t>35150-0604</t>
    <phoneticPr fontId="75" type="noConversion"/>
  </si>
  <si>
    <t>MG625315-2</t>
    <phoneticPr fontId="75" type="noConversion"/>
  </si>
  <si>
    <t>35150-0609</t>
    <phoneticPr fontId="75" type="noConversion"/>
  </si>
  <si>
    <t>MG625315T</t>
    <phoneticPr fontId="75" type="noConversion"/>
  </si>
  <si>
    <t>35150-2609</t>
    <phoneticPr fontId="75" type="noConversion"/>
  </si>
  <si>
    <t>MG625315T-1</t>
    <phoneticPr fontId="75" type="noConversion"/>
  </si>
  <si>
    <t>35150-3609</t>
    <phoneticPr fontId="75" type="noConversion"/>
  </si>
  <si>
    <t>MG625315T-3</t>
    <phoneticPr fontId="75" type="noConversion"/>
  </si>
  <si>
    <t>35150-4609</t>
    <phoneticPr fontId="75" type="noConversion"/>
  </si>
  <si>
    <t>MG625315T-2</t>
    <phoneticPr fontId="75" type="noConversion"/>
  </si>
  <si>
    <t>35150-0290</t>
    <phoneticPr fontId="75" type="noConversion"/>
  </si>
  <si>
    <t>MG635317</t>
    <phoneticPr fontId="75" type="noConversion"/>
  </si>
  <si>
    <t>35150-0292</t>
    <phoneticPr fontId="75" type="noConversion"/>
  </si>
  <si>
    <t>MG635317-1</t>
    <phoneticPr fontId="75" type="noConversion"/>
  </si>
  <si>
    <t>35150-0390</t>
    <phoneticPr fontId="75" type="noConversion"/>
  </si>
  <si>
    <t>MG635318</t>
    <phoneticPr fontId="75" type="noConversion"/>
  </si>
  <si>
    <t>35150-0392</t>
    <phoneticPr fontId="75" type="noConversion"/>
  </si>
  <si>
    <t>MG635318-1</t>
    <phoneticPr fontId="75" type="noConversion"/>
  </si>
  <si>
    <t>자코드</t>
    <phoneticPr fontId="64" type="noConversion"/>
  </si>
  <si>
    <t>품명</t>
    <phoneticPr fontId="64" type="noConversion"/>
  </si>
  <si>
    <t>적용코드</t>
    <phoneticPr fontId="69" type="noConversion"/>
  </si>
  <si>
    <t>분류</t>
    <phoneticPr fontId="69" type="noConversion"/>
  </si>
  <si>
    <t>요청수량</t>
    <phoneticPr fontId="12" type="noConversion"/>
  </si>
  <si>
    <t>소요량</t>
    <phoneticPr fontId="69" type="noConversion"/>
  </si>
  <si>
    <t>단위</t>
    <phoneticPr fontId="69" type="noConversion"/>
  </si>
  <si>
    <t>자코드</t>
    <phoneticPr fontId="75" type="noConversion"/>
  </si>
  <si>
    <t>품      명</t>
    <phoneticPr fontId="69" type="noConversion"/>
  </si>
  <si>
    <t>NO</t>
    <phoneticPr fontId="69" type="noConversion"/>
  </si>
  <si>
    <t>이원화 자재</t>
    <phoneticPr fontId="64" type="noConversion"/>
  </si>
  <si>
    <t>SMH250J-03RT(RE)</t>
  </si>
  <si>
    <t>SMH250J-04RT(RE)</t>
  </si>
  <si>
    <t>SMH250J-05RT(RE)</t>
  </si>
  <si>
    <t>SMH250J-06RT(RE)</t>
  </si>
  <si>
    <t>SMH250J-07RT(RE)</t>
  </si>
  <si>
    <t>SMH250J-08RT(RE)</t>
  </si>
  <si>
    <t>SMH250J-09RT(RE)</t>
  </si>
  <si>
    <t>SMH250J-10RT(RE)</t>
  </si>
  <si>
    <t>SMH250J-11RT(RE)</t>
  </si>
  <si>
    <t>SMH250J-12RT(RE)</t>
  </si>
  <si>
    <t>SMH250J-13RT(RE)</t>
  </si>
  <si>
    <t>SMH250J-14RT(RE)</t>
  </si>
  <si>
    <t>SMH250J-15RT(RE)</t>
  </si>
  <si>
    <t>SMH200-04HRT(RE)</t>
  </si>
  <si>
    <t>SMH200-05HRT(RE)</t>
  </si>
  <si>
    <t>SMH200-06HRT(RE)</t>
  </si>
  <si>
    <t>SMH200-07HRT(RE)</t>
  </si>
  <si>
    <t>SMH200-08HRT(RE)</t>
  </si>
  <si>
    <t>SMH200-09HRT(RE)</t>
  </si>
  <si>
    <t>SMH200-10HRT(RE)</t>
  </si>
  <si>
    <t>SMH200-11HRT(RE)</t>
  </si>
  <si>
    <t>SMH200-12HRT(RE)</t>
  </si>
  <si>
    <t>SMH200-13HRT(RE)</t>
  </si>
  <si>
    <t>SMH200-14HRT(RE)</t>
  </si>
  <si>
    <t>SMH200-03HRT(RE)</t>
    <phoneticPr fontId="64" type="noConversion"/>
  </si>
  <si>
    <t>2468#26 14C W/BLK</t>
  </si>
  <si>
    <t>2468#26 15C (RED/WHT)</t>
  </si>
  <si>
    <t>2468#26 4C (BLK/WHT)</t>
  </si>
  <si>
    <t>2468#26 6C (BLK/WHT)</t>
  </si>
  <si>
    <t>2468#26 10C (BLK/WHT)</t>
  </si>
  <si>
    <t>2468#26 10C (RED/WHT)</t>
  </si>
  <si>
    <t>2468#26 14C (ORG/WHT)</t>
  </si>
  <si>
    <t>2468#26 7C (ORG/WHT)</t>
  </si>
  <si>
    <t>2468#26 9C (ORG/WHT)</t>
  </si>
  <si>
    <t>2468#26 12C (ORG/WHT)</t>
  </si>
  <si>
    <t>2468#26 8C (ORG/WHT)</t>
  </si>
  <si>
    <t>2468#26 10C (ORG/WHT)</t>
  </si>
  <si>
    <t>2468#26 11C (ORG/WHT)</t>
  </si>
  <si>
    <t>2468#26 13C (ORG/WHT)</t>
  </si>
  <si>
    <t>2468#26 15C (ORG/WHT)</t>
  </si>
  <si>
    <t>2468#26 11C (RED/WHT)</t>
  </si>
  <si>
    <t>2468#26 12C WHT (DOT MARKING)</t>
  </si>
  <si>
    <t>2468#26 3C (BLK/WHT)</t>
  </si>
  <si>
    <t>2468#26 5C (RED/WHT)</t>
  </si>
  <si>
    <t>2468#26 12C (RED/WHT)</t>
  </si>
  <si>
    <t>2468#26 14C (RED/WHT)</t>
  </si>
  <si>
    <t>X2468#26 10C (RED/WHT)</t>
  </si>
  <si>
    <t>2468#26 5C (BRN/BLK)</t>
  </si>
  <si>
    <t>X2468#26 5C (RED/WHT)</t>
  </si>
  <si>
    <t>2468#26 2C (BLU/WHT)</t>
  </si>
  <si>
    <t>2468#26 2C (ORG/WHT)-C</t>
  </si>
  <si>
    <t>2468#26 3C (ORG/WHT)-A</t>
  </si>
  <si>
    <t>2468#26 3C (YEL/WHT)</t>
  </si>
  <si>
    <t>2468#26 8C (RED/WHT)</t>
  </si>
  <si>
    <t>2468#26 4C (RED/WHT)</t>
  </si>
  <si>
    <t>2468#26 4C (BLU/WHT)</t>
  </si>
  <si>
    <t>2468#26 9C (BLK/WHT)</t>
  </si>
  <si>
    <t>2468#24 10C (BLK/WHT)</t>
  </si>
  <si>
    <t>2468#24 2C (BLK/WHT)</t>
  </si>
  <si>
    <t>2468#24 2C (ORG/WHT)</t>
  </si>
  <si>
    <t>2468#24 4C (ORG/WHT)</t>
  </si>
  <si>
    <t>2095#26 6C</t>
  </si>
  <si>
    <t>2095#26 13C GY</t>
  </si>
  <si>
    <t>2095#26 6C GY(BL,YL,OG,PK,RD,BN)</t>
  </si>
  <si>
    <t>2095#26 12C GRY</t>
  </si>
  <si>
    <t>2095#26 15C GRY(OG,YL,GY,BK,PK,BN,BL,VT~WH/BK)</t>
  </si>
  <si>
    <t>2095#26 10C GY(WH,GY,VT,BL,GN,YL,OG,RD,BN,BK)</t>
  </si>
  <si>
    <t>2095#26 5C GY(BL,VT,GN,WH,S/BL)</t>
  </si>
  <si>
    <t>2095#26 4C GY(RD,OG,YL,BL)</t>
  </si>
  <si>
    <t>2095#26 3C GY(BK,BN,RD)</t>
  </si>
  <si>
    <t>2095#26 9C</t>
  </si>
  <si>
    <t>2095#26 3C BK(RD,WH,BK)</t>
  </si>
  <si>
    <t>2095#26 5C GY(YL,OG,BL,PK,RD)</t>
  </si>
  <si>
    <t>2095#26 4C GY(BK,BN,RD,OG)</t>
  </si>
  <si>
    <t>2095#26 4C GY(BK,YL,BL,WH)</t>
  </si>
  <si>
    <t>2095#26 2C GY(RD,BK)</t>
  </si>
  <si>
    <t>2095#26 6C GY(OG,PK,BK,GY,YL,BN)</t>
  </si>
  <si>
    <t>2095#26 8C GY(BN,RD,OG,YL,PK,BL,WH,GN)</t>
  </si>
  <si>
    <t>2095#26 4C GRY (YEL~BLU)</t>
  </si>
  <si>
    <t>2095#26 4C GY(BL,VT,GN,WH)</t>
  </si>
  <si>
    <t>2095#26 9C GY(BK,BN,RD,OG,YL,GN,BL,VT,GY)</t>
  </si>
  <si>
    <t>2095#26 3C GY(BK,RD,OG)</t>
  </si>
  <si>
    <t>2095#26 5C GY(OG,RD,YL,BK,BL)</t>
  </si>
  <si>
    <t>2095#26 6C GY(BN,WH,RD,OG,YL,BL)</t>
  </si>
  <si>
    <t>2095#26 4C BK(BK,BN,RD,OG)</t>
  </si>
  <si>
    <t>2095#24 3C BLK(RD,BL,YL)</t>
  </si>
  <si>
    <t>2095#24 3C GY(BN,BK,RD)</t>
  </si>
  <si>
    <t>2095#24 4C</t>
  </si>
  <si>
    <t>2095#24 2C GY(BL,RD)</t>
  </si>
  <si>
    <t>2095#24 6C GRY(RD,BL,OG,YL,PK,WH)</t>
  </si>
  <si>
    <t>2095#24 5C</t>
  </si>
  <si>
    <t>2095#24 7C GY(RD,OG,YL,BL,GY,WH,PK)</t>
  </si>
  <si>
    <t>2095#24 6C GY(GN,WH,VT,BL,YL,GY)</t>
  </si>
  <si>
    <t>2095#24 6C GY(BN,PK,OG,RD,BL,YL)</t>
  </si>
  <si>
    <t>2095#24 6C GY(BN,PK,OG,YL,GY,BK)</t>
  </si>
  <si>
    <t>2095#24 6C GY(RD,PK,BL,OG,YL,BN)</t>
  </si>
  <si>
    <t>2095#24 5C BK(RD,BK,WH,YL,BL)</t>
  </si>
  <si>
    <t>2095#24 5C GY(RD,PK,BL,OG,YL)</t>
  </si>
  <si>
    <t>2095#24 2C GY</t>
  </si>
  <si>
    <t>2095#24 6C BK(GY,BK,BN,VT,BL,GN)</t>
  </si>
  <si>
    <t>2095#24 5C BK(GY,BK,BN,VT,BL)</t>
  </si>
  <si>
    <t>2095#24 4C BK(GY,BK,BN,VT)</t>
  </si>
  <si>
    <t>2095#24 4C GY(BK,BN,RD,OG)</t>
  </si>
  <si>
    <t>2095#24 4C GY(RD,BL,OG,YL)</t>
  </si>
  <si>
    <t>2095#24 4C BK(RD,BL,OG,YL)</t>
  </si>
  <si>
    <t>2095#24 2C BK(RD,BL)</t>
  </si>
  <si>
    <t>2095#24 3C GY(RD,OG,BK)</t>
  </si>
  <si>
    <t>2095#24 13C GY</t>
  </si>
  <si>
    <t>2095#24 12C GY</t>
  </si>
  <si>
    <t>2095#24 4C GY(RD,BK,BL,YL)</t>
  </si>
  <si>
    <t>2095#24 5C BK(RD,PK,BL,OG,YL)</t>
  </si>
  <si>
    <t>2095#24 2C GY(RD,BK)</t>
  </si>
  <si>
    <t>21016#28 7C (BLK/GRY)</t>
  </si>
  <si>
    <t>21016#28 5C (BLK/GRY)</t>
  </si>
  <si>
    <t>21016#28 8C (BLK/GRY)</t>
  </si>
  <si>
    <t>21016#26 7C (BLK/GRY)</t>
  </si>
  <si>
    <t>21016#28 6C (BLK/GRY)</t>
  </si>
  <si>
    <t>21016#28 3C (BLK/GRY)</t>
  </si>
  <si>
    <t>21016#28 4C (BLK/GRY)</t>
  </si>
  <si>
    <t>21296[#28*1P,#28*6C,AMESB,5.7pi,BK]</t>
  </si>
  <si>
    <t>1007#22/(L)</t>
  </si>
  <si>
    <t>1007#26/(L)</t>
  </si>
  <si>
    <t xml:space="preserve">1015#18(L) </t>
  </si>
  <si>
    <t xml:space="preserve">1015#22(L) </t>
  </si>
  <si>
    <t>UL1007#22/(L)</t>
  </si>
  <si>
    <t>UL1007#26/(L)</t>
  </si>
  <si>
    <t xml:space="preserve">UL1015#18(L) </t>
  </si>
  <si>
    <t xml:space="preserve">UL1015#22(L) </t>
  </si>
  <si>
    <t>내  용
(Content)</t>
    <phoneticPr fontId="12" type="noConversion"/>
  </si>
  <si>
    <t>작성
(DESIGN)</t>
    <phoneticPr fontId="12" type="noConversion"/>
  </si>
  <si>
    <t>검토
(CHECK)</t>
    <phoneticPr fontId="12" type="noConversion"/>
  </si>
  <si>
    <t>승인
(APPROV)</t>
    <phoneticPr fontId="12" type="noConversion"/>
  </si>
  <si>
    <t>반탈피</t>
    <phoneticPr fontId="64" type="noConversion"/>
  </si>
  <si>
    <t>길이 입력</t>
    <phoneticPr fontId="64" type="noConversion"/>
  </si>
  <si>
    <t>양식No</t>
    <phoneticPr fontId="13" type="noConversion"/>
  </si>
  <si>
    <t>SLQD-250406</t>
    <phoneticPr fontId="13" type="noConversion"/>
  </si>
  <si>
    <t>5.0~5.5</t>
    <phoneticPr fontId="64" type="noConversion"/>
  </si>
  <si>
    <t>ST761319-3</t>
  </si>
  <si>
    <t>5.5~6.0</t>
    <phoneticPr fontId="64" type="noConversion"/>
  </si>
  <si>
    <t>ST761320-3</t>
  </si>
  <si>
    <t>ST730570-3</t>
  </si>
  <si>
    <t>ST730572-3</t>
  </si>
  <si>
    <t>ST731342-3</t>
  </si>
  <si>
    <t>3.5~4.0</t>
    <phoneticPr fontId="64" type="noConversion"/>
  </si>
  <si>
    <t>ST710237-2</t>
    <phoneticPr fontId="64" type="noConversion"/>
  </si>
  <si>
    <t>6.5~7.0</t>
    <phoneticPr fontId="64" type="noConversion"/>
  </si>
  <si>
    <t>170325-1</t>
  </si>
  <si>
    <t>170326-1</t>
    <phoneticPr fontId="64" type="noConversion"/>
  </si>
  <si>
    <t>63677-1</t>
    <phoneticPr fontId="64" type="noConversion"/>
  </si>
  <si>
    <t>신규제정</t>
    <phoneticPr fontId="13" type="noConversion"/>
  </si>
  <si>
    <t>START</t>
    <phoneticPr fontId="13" type="noConversion"/>
  </si>
  <si>
    <t>END</t>
    <phoneticPr fontId="13" type="noConversion"/>
  </si>
  <si>
    <t>1569#24</t>
  </si>
  <si>
    <t>1569#18</t>
  </si>
  <si>
    <t>1015#12</t>
  </si>
  <si>
    <t>1015#14</t>
  </si>
  <si>
    <t>1015#16</t>
  </si>
  <si>
    <t>1569#22</t>
  </si>
  <si>
    <t>15kgf</t>
    <phoneticPr fontId="64" type="noConversion"/>
  </si>
  <si>
    <t>오민상</t>
    <phoneticPr fontId="13" type="noConversion"/>
  </si>
  <si>
    <t>김준범</t>
    <phoneticPr fontId="13" type="noConversion"/>
  </si>
  <si>
    <t>1569#20</t>
    <phoneticPr fontId="64" type="noConversion"/>
  </si>
  <si>
    <t>1015#18</t>
    <phoneticPr fontId="64" type="noConversion"/>
  </si>
  <si>
    <t>길이</t>
    <phoneticPr fontId="13" type="noConversion"/>
  </si>
  <si>
    <t>ST760145-2</t>
    <phoneticPr fontId="64" type="noConversion"/>
  </si>
  <si>
    <t>39000038(5556T)</t>
  </si>
  <si>
    <t>ST730268-3</t>
  </si>
  <si>
    <t>4.0~4.5</t>
    <phoneticPr fontId="64" type="noConversion"/>
  </si>
  <si>
    <t>ST730206-3</t>
    <phoneticPr fontId="64" type="noConversion"/>
  </si>
  <si>
    <t>1217039-1</t>
    <phoneticPr fontId="64" type="noConversion"/>
  </si>
  <si>
    <t>170213-2</t>
    <phoneticPr fontId="64" type="noConversion"/>
  </si>
  <si>
    <t>2232112-1</t>
    <phoneticPr fontId="64" type="noConversion"/>
  </si>
  <si>
    <t>ST740050-3</t>
    <phoneticPr fontId="64" type="noConversion"/>
  </si>
  <si>
    <t>UL1569#22</t>
  </si>
  <si>
    <t>UL1569#18</t>
    <phoneticPr fontId="13" type="noConversion"/>
  </si>
  <si>
    <t>ST731131-3</t>
    <phoneticPr fontId="64" type="noConversion"/>
  </si>
  <si>
    <t>ST730147-2</t>
    <phoneticPr fontId="64" type="noConversion"/>
  </si>
  <si>
    <t>ST731261-3S</t>
    <phoneticPr fontId="64" type="noConversion"/>
  </si>
  <si>
    <t>ST731261-3M</t>
    <phoneticPr fontId="64" type="noConversion"/>
  </si>
  <si>
    <t>4.0~5.0</t>
    <phoneticPr fontId="64" type="noConversion"/>
  </si>
  <si>
    <t>4.8~5.3</t>
    <phoneticPr fontId="64" type="noConversion"/>
  </si>
  <si>
    <t>UL1569#24</t>
  </si>
  <si>
    <t>ST731217-3</t>
    <phoneticPr fontId="64" type="noConversion"/>
  </si>
  <si>
    <t>SSF-21T-P1.4AB(W)</t>
  </si>
  <si>
    <t>2468#26 3C (RED/WHT)</t>
  </si>
  <si>
    <t>19M/MX20 (WHT)</t>
  </si>
  <si>
    <t>얼음정수기</t>
    <phoneticPr fontId="64" type="noConversion"/>
  </si>
  <si>
    <t>2651#26 3C (BLK/WHT)</t>
    <phoneticPr fontId="64" type="noConversion"/>
  </si>
  <si>
    <t>2651#26 3C (YEL/WHT)</t>
    <phoneticPr fontId="64" type="noConversion"/>
  </si>
  <si>
    <t>SXA-001T-P0.6L</t>
  </si>
  <si>
    <t>WB20L-61209</t>
    <phoneticPr fontId="64" type="noConversion"/>
  </si>
  <si>
    <t>규  격</t>
    <phoneticPr fontId="75" type="noConversion"/>
  </si>
  <si>
    <t>X2.5-09</t>
  </si>
  <si>
    <t>1007#24/A</t>
    <phoneticPr fontId="64" type="noConversion"/>
  </si>
  <si>
    <t>2468#26 2C (BLK/WHT)</t>
    <phoneticPr fontId="64" type="noConversion"/>
  </si>
  <si>
    <t>1007#26/A</t>
    <phoneticPr fontId="64" type="noConversion"/>
  </si>
  <si>
    <t>2468#26 5C (ORG/WHT)</t>
    <phoneticPr fontId="64" type="noConversion"/>
  </si>
  <si>
    <t>2468#26 5C (BLK/WHT)</t>
    <phoneticPr fontId="64" type="noConversion"/>
  </si>
  <si>
    <t>1007#22/A</t>
    <phoneticPr fontId="64" type="noConversion"/>
  </si>
  <si>
    <t>2468#26 6C (ORG/WHT)</t>
    <phoneticPr fontId="64" type="noConversion"/>
  </si>
  <si>
    <t>2468#26 3C (BLK/WHT)</t>
    <phoneticPr fontId="64" type="noConversion"/>
  </si>
  <si>
    <t>2468#26 2C (ORG/WHT)</t>
    <phoneticPr fontId="64" type="noConversion"/>
  </si>
  <si>
    <t>2468#26 3C (BLU/WHT)</t>
    <phoneticPr fontId="64" type="noConversion"/>
  </si>
  <si>
    <t>RED</t>
  </si>
  <si>
    <t>BLK</t>
  </si>
  <si>
    <t>WHT</t>
  </si>
  <si>
    <t>BLU</t>
  </si>
  <si>
    <t>ORG</t>
  </si>
  <si>
    <t>GRN</t>
  </si>
  <si>
    <t>BLK</t>
    <phoneticPr fontId="64" type="noConversion"/>
  </si>
  <si>
    <t>BLU</t>
    <phoneticPr fontId="64" type="noConversion"/>
  </si>
  <si>
    <t>WHT</t>
    <phoneticPr fontId="64" type="noConversion"/>
  </si>
  <si>
    <t>STEP VALVE JOINT #1</t>
  </si>
  <si>
    <t>STEP VALVE JOINT #2</t>
  </si>
  <si>
    <t>STEP VALVE JOINT #3</t>
  </si>
  <si>
    <t>STEP VALVE JOINT #4</t>
  </si>
  <si>
    <t>STEP VALVE JOINT #5</t>
  </si>
  <si>
    <t>STEP VALVE JOINT #6</t>
  </si>
  <si>
    <t>STEP VALVE JOINT #7</t>
  </si>
  <si>
    <t>STEP VALVE JOINT #8</t>
  </si>
  <si>
    <t>STEP VALVE JOINT #9</t>
  </si>
  <si>
    <t>STEP VALVE JOINT #10</t>
  </si>
  <si>
    <t>디스펜서 JOINT #6</t>
  </si>
  <si>
    <t>디스펜서 JOINT #7</t>
  </si>
  <si>
    <t>ASSY 제빙기 JOINT #5</t>
  </si>
  <si>
    <t>ASSY 제빙기 JOINT #6</t>
  </si>
  <si>
    <t>ASSY 제빙기 JOINT #7</t>
  </si>
  <si>
    <t>ASSY 제빙기 JOINT #8</t>
  </si>
  <si>
    <t>ASSY 제빙기 JOINT #9</t>
  </si>
  <si>
    <t>ASSY 제빙기 JOINT #10</t>
  </si>
  <si>
    <t>ASSY 제빙기 JOINT #11</t>
  </si>
  <si>
    <t>ASSY 제빙기 JOINT #12</t>
  </si>
  <si>
    <t>ASSY 제빙기 JOINT #13</t>
  </si>
  <si>
    <t>ASSY 제빙기 JOINT #14</t>
  </si>
  <si>
    <t>ASSY 제빙기 JOINT #15</t>
  </si>
  <si>
    <t>ASSY 제빙기 JOINT #16</t>
  </si>
  <si>
    <t>디스펜서 JOINT #1</t>
  </si>
  <si>
    <t>디스펜서 JOINT #2</t>
  </si>
  <si>
    <t>디스펜서 JOINT #3</t>
  </si>
  <si>
    <t>CN40 #1</t>
  </si>
  <si>
    <t>CN40 #3</t>
  </si>
  <si>
    <t>CN40 #6</t>
  </si>
  <si>
    <t>CN40 #8</t>
  </si>
  <si>
    <t>CN40 #18</t>
  </si>
  <si>
    <t>CN40 #20</t>
  </si>
  <si>
    <t>CN40 #22</t>
  </si>
  <si>
    <t>CN40 #24</t>
  </si>
  <si>
    <t>CN50 #1</t>
  </si>
  <si>
    <t>CN50 #3</t>
  </si>
  <si>
    <t>CN50 #5</t>
  </si>
  <si>
    <t>CN50 #7</t>
  </si>
  <si>
    <t>CN50 #9</t>
  </si>
  <si>
    <t>CN50 #11</t>
  </si>
  <si>
    <t>CN50 #13</t>
  </si>
  <si>
    <t>CN50 #15</t>
  </si>
  <si>
    <t>CN50 #17</t>
  </si>
  <si>
    <t>CN50 #19</t>
  </si>
  <si>
    <t>CN50 #21</t>
  </si>
  <si>
    <t>CN50 #23</t>
  </si>
  <si>
    <t>CN50 #2</t>
  </si>
  <si>
    <t>CN50 #4</t>
  </si>
  <si>
    <t>CN50 #6</t>
  </si>
  <si>
    <t>CN50 #8</t>
  </si>
  <si>
    <t>CN50 #10</t>
  </si>
  <si>
    <t>CN50 #16</t>
  </si>
  <si>
    <t>CN50 #20</t>
  </si>
  <si>
    <t>CN50 #22</t>
  </si>
  <si>
    <t>CN50 #24</t>
  </si>
  <si>
    <t>CN50 #26</t>
  </si>
  <si>
    <t>CN50 #25</t>
  </si>
  <si>
    <t>CN60 #1</t>
  </si>
  <si>
    <t>CN60 #3</t>
  </si>
  <si>
    <t>CN60 #5</t>
  </si>
  <si>
    <t>CN60 #7</t>
  </si>
  <si>
    <t>CN60 #9</t>
  </si>
  <si>
    <t>CN60 #11</t>
  </si>
  <si>
    <t>CN60 #13</t>
  </si>
  <si>
    <t>CN60 #15</t>
  </si>
  <si>
    <t>CN60 #19</t>
  </si>
  <si>
    <t>CN40 #9</t>
  </si>
  <si>
    <t>CN40 #11</t>
  </si>
  <si>
    <t>CN40 #13</t>
  </si>
  <si>
    <t>CN40 #15</t>
  </si>
  <si>
    <t>CN40 #17</t>
  </si>
  <si>
    <t>CN40 #5</t>
  </si>
  <si>
    <t>CN40 #7</t>
  </si>
  <si>
    <t>CN60 #2</t>
  </si>
  <si>
    <t>CN60 #4</t>
  </si>
  <si>
    <t>CN60 #6</t>
  </si>
  <si>
    <t>CN50 #18</t>
    <phoneticPr fontId="64" type="noConversion"/>
  </si>
  <si>
    <t>STEP VALVE JOINT #11</t>
    <phoneticPr fontId="64" type="noConversion"/>
  </si>
  <si>
    <t>STEP VALVE JOINT #12</t>
    <phoneticPr fontId="64" type="noConversion"/>
  </si>
  <si>
    <t>MG615674-024</t>
  </si>
  <si>
    <t>MG615674-026</t>
  </si>
  <si>
    <t>MG635939-212</t>
  </si>
  <si>
    <t>MG635939-213</t>
  </si>
  <si>
    <t>1</t>
    <phoneticPr fontId="64" type="noConversion"/>
  </si>
  <si>
    <t>2</t>
    <phoneticPr fontId="64" type="noConversion"/>
  </si>
  <si>
    <t>3</t>
    <phoneticPr fontId="64" type="noConversion"/>
  </si>
  <si>
    <t>5</t>
    <phoneticPr fontId="64" type="noConversion"/>
  </si>
  <si>
    <t>EA</t>
  </si>
  <si>
    <t>EA</t>
    <phoneticPr fontId="64" type="noConversion"/>
  </si>
  <si>
    <t>MG615674-028</t>
  </si>
  <si>
    <t>DA96-01767C</t>
    <phoneticPr fontId="64" type="noConversion"/>
  </si>
  <si>
    <t>M</t>
  </si>
  <si>
    <t>LABEL 20X15</t>
  </si>
  <si>
    <t>DA61-16643A</t>
    <phoneticPr fontId="64" type="noConversion"/>
  </si>
  <si>
    <t>INJ0559</t>
  </si>
  <si>
    <t>FIXER COVER</t>
    <phoneticPr fontId="64" type="noConversion"/>
  </si>
  <si>
    <t xml:space="preserve">1767C-1
</t>
    <phoneticPr fontId="64" type="noConversion"/>
  </si>
  <si>
    <t xml:space="preserve">1767C-2
</t>
    <phoneticPr fontId="12" type="noConversion"/>
  </si>
  <si>
    <t xml:space="preserve">1767C-3
</t>
    <phoneticPr fontId="12" type="noConversion"/>
  </si>
  <si>
    <t>1767C-1</t>
    <phoneticPr fontId="64" type="noConversion"/>
  </si>
  <si>
    <t>1767C-2</t>
    <phoneticPr fontId="64" type="noConversion"/>
  </si>
  <si>
    <t>1767C-3</t>
    <phoneticPr fontId="64" type="noConversion"/>
  </si>
  <si>
    <t>7</t>
    <phoneticPr fontId="64" type="noConversion"/>
  </si>
  <si>
    <t>제빙기, 디스펜서 JOINT 전선 길이 단축</t>
    <phoneticPr fontId="64" type="noConversion"/>
  </si>
  <si>
    <t>김준범</t>
    <phoneticPr fontId="64" type="noConversion"/>
  </si>
  <si>
    <t>제빙기, 디스펜서 STEP VALVE JOINT 전선 길이 변경</t>
    <phoneticPr fontId="64" type="noConversion"/>
  </si>
  <si>
    <t>W/RED</t>
    <phoneticPr fontId="64" type="noConversion"/>
  </si>
  <si>
    <t>CN40 #27</t>
    <phoneticPr fontId="64" type="noConversion"/>
  </si>
  <si>
    <t>ASSY 제빙기 JOINT #3</t>
    <phoneticPr fontId="64" type="noConversion"/>
  </si>
  <si>
    <t>1007#26/A</t>
    <phoneticPr fontId="64" type="noConversion"/>
  </si>
  <si>
    <t>하우징 사양, 전선 길이 변경, 68번 전선 추가</t>
    <phoneticPr fontId="64" type="noConversion"/>
  </si>
  <si>
    <t>ST731454-3SS</t>
    <phoneticPr fontId="64" type="noConversion"/>
  </si>
  <si>
    <t>MAIN PBA JOINT 2 #5</t>
  </si>
  <si>
    <t>MAIN PBA JOINT 2 #7</t>
  </si>
  <si>
    <t>MAIN PBA JOINT 2 #4</t>
  </si>
  <si>
    <t>MAIN PBA JOINT 2 #6</t>
  </si>
  <si>
    <t>MAIN PBA JOINT 2 #1</t>
  </si>
  <si>
    <t>MAIN PBA JOINT 2 #2</t>
  </si>
  <si>
    <t>MAIN PBA JOINT 2 #8</t>
  </si>
  <si>
    <t>MAIN PBA JOINT 2 #9</t>
  </si>
  <si>
    <t>MAIN PBA JOINT 2 #10</t>
  </si>
  <si>
    <t>MAIN PBA JOINT 2 #11</t>
  </si>
  <si>
    <t>MAIN PBA JOINT 2 #12</t>
  </si>
  <si>
    <t>MAIN PBA JOINT #9</t>
  </si>
  <si>
    <t>MAIN PBA JOINT #10</t>
  </si>
  <si>
    <t>MAIN PBA JOINT #7</t>
  </si>
  <si>
    <t>MAIN PBA JOINT #8</t>
  </si>
  <si>
    <t>MAIN PBA JOINT #1</t>
  </si>
  <si>
    <t>MAIN PBA JOINT #2</t>
  </si>
  <si>
    <t>MAIN PBA JOINT #3</t>
  </si>
  <si>
    <t>MAIN PBA JOINT #4</t>
  </si>
  <si>
    <t>MAIN PBA JOINT #5</t>
  </si>
  <si>
    <t>MAIN PBA JOINT #6</t>
  </si>
  <si>
    <t>8</t>
    <phoneticPr fontId="64" type="noConversion"/>
  </si>
  <si>
    <t>MG615632-012</t>
    <phoneticPr fontId="64" type="noConversion"/>
  </si>
  <si>
    <t>MG635826-212</t>
    <phoneticPr fontId="64" type="noConversion"/>
  </si>
  <si>
    <t>MG615632-010</t>
    <phoneticPr fontId="64" type="noConversion"/>
  </si>
  <si>
    <t>MG635826-210</t>
    <phoneticPr fontId="64" type="noConversion"/>
  </si>
  <si>
    <t>4</t>
    <phoneticPr fontId="64" type="noConversion"/>
  </si>
  <si>
    <t>6</t>
    <phoneticPr fontId="64" type="noConversion"/>
  </si>
  <si>
    <t>54,55번전선 삭제, 52번 전선 핀맵 위치 변경</t>
    <phoneticPr fontId="64" type="noConversion"/>
  </si>
  <si>
    <t>CN60 #21</t>
    <phoneticPr fontId="64" type="noConversion"/>
  </si>
  <si>
    <t>SXA-001T-P0.6L</t>
    <phoneticPr fontId="64" type="noConversion"/>
  </si>
  <si>
    <t>XMP-18VC-WGL1</t>
    <phoneticPr fontId="64" type="noConversion"/>
  </si>
  <si>
    <t>HOU2507</t>
  </si>
  <si>
    <t>HOUSING</t>
    <phoneticPr fontId="64" type="noConversion"/>
  </si>
  <si>
    <t>ASSY 제빙기 JOINT #1</t>
    <phoneticPr fontId="64" type="noConversion"/>
  </si>
  <si>
    <t>ASSY 제빙기 JOINT #2</t>
    <phoneticPr fontId="64" type="noConversion"/>
  </si>
  <si>
    <t>제빙기 커넥터 사양 변경, 전선 길이, 정형 변경</t>
    <phoneticPr fontId="64" type="noConversion"/>
  </si>
  <si>
    <t>ST741461-3T</t>
    <phoneticPr fontId="64" type="noConversion"/>
  </si>
  <si>
    <t>ST741461-3T</t>
    <phoneticPr fontId="64" type="noConversion"/>
  </si>
  <si>
    <t>ST731394-3S</t>
    <phoneticPr fontId="12" type="noConversion"/>
  </si>
  <si>
    <t>MG625500-012</t>
    <phoneticPr fontId="64" type="noConversion"/>
  </si>
  <si>
    <t>HOU2532</t>
  </si>
  <si>
    <t>HOUSING</t>
    <phoneticPr fontId="64" type="noConversion"/>
  </si>
  <si>
    <t>MG625500-007</t>
    <phoneticPr fontId="64" type="noConversion"/>
  </si>
  <si>
    <t>MG635826-207</t>
    <phoneticPr fontId="64" type="noConversion"/>
  </si>
  <si>
    <t>커넥터 변경(연호 --&gt; KET), 전선 길이 변경, PVC 튜브 추가</t>
    <phoneticPr fontId="64" type="noConversion"/>
  </si>
  <si>
    <t>M</t>
    <phoneticPr fontId="64" type="noConversion"/>
  </si>
  <si>
    <t>RWP90H</t>
    <phoneticPr fontId="64" type="noConversion"/>
  </si>
  <si>
    <t>`</t>
    <phoneticPr fontId="12" type="noConversion"/>
  </si>
  <si>
    <t>UL9.5Ø0.5T/BLKGARUM#3/8(10Ø)</t>
    <phoneticPr fontId="64" type="noConversion"/>
  </si>
  <si>
    <t>제빙기, 디스펜서 조인트 길이 단축</t>
    <phoneticPr fontId="6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</si>
</sst>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9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굴림체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굴림체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굴림체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굴림체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굴림체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굴림체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굴림체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굴림체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굴림체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굴림체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굴림체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굴림체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굴림체"/>
      <family val="3"/>
      <charset val="129"/>
    </font>
    <font>
      <sz val="9"/>
      <color indexed="8"/>
      <name val="굴림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28"/>
      <name val="맑은 고딕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9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굴림"/>
      <family val="3"/>
      <charset val="129"/>
    </font>
    <font>
      <b/>
      <sz val="9"/>
      <color indexed="8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굴림체"/>
      <family val="3"/>
      <charset val="129"/>
    </font>
    <font>
      <sz val="9"/>
      <name val="맑은 고딕"/>
      <family val="2"/>
      <charset val="129"/>
    </font>
    <font>
      <b/>
      <sz val="18"/>
      <name val="돋움"/>
      <family val="3"/>
      <charset val="129"/>
    </font>
    <font>
      <b/>
      <sz val="13"/>
      <name val="돋움"/>
      <family val="3"/>
      <charset val="129"/>
    </font>
    <font>
      <sz val="9"/>
      <color theme="1"/>
      <name val="굴림"/>
      <family val="3"/>
      <charset val="129"/>
    </font>
    <font>
      <b/>
      <sz val="15"/>
      <color indexed="8"/>
      <name val="굴림"/>
      <family val="3"/>
      <charset val="129"/>
    </font>
    <font>
      <sz val="7.6"/>
      <name val="돋움"/>
      <family val="3"/>
      <charset val="129"/>
    </font>
    <font>
      <sz val="7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73">
    <xf numFmtId="0" fontId="0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26" borderId="5" applyNumberFormat="0" applyAlignment="0" applyProtection="0">
      <alignment vertical="center"/>
    </xf>
    <xf numFmtId="0" fontId="20" fillId="26" borderId="5" applyNumberFormat="0" applyAlignment="0" applyProtection="0">
      <alignment vertical="center"/>
    </xf>
    <xf numFmtId="0" fontId="21" fillId="26" borderId="5" applyNumberFormat="0" applyAlignment="0" applyProtection="0">
      <alignment vertical="center"/>
    </xf>
    <xf numFmtId="0" fontId="20" fillId="26" borderId="5" applyNumberFormat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4" fillId="28" borderId="6" applyNumberFormat="0" applyFont="0" applyAlignment="0" applyProtection="0">
      <alignment vertical="center"/>
    </xf>
    <xf numFmtId="0" fontId="14" fillId="28" borderId="6" applyNumberFormat="0" applyFont="0" applyAlignment="0" applyProtection="0">
      <alignment vertical="center"/>
    </xf>
    <xf numFmtId="0" fontId="15" fillId="28" borderId="6" applyNumberFormat="0" applyFont="0" applyAlignment="0" applyProtection="0">
      <alignment vertical="center"/>
    </xf>
    <xf numFmtId="0" fontId="14" fillId="28" borderId="6" applyNumberFormat="0" applyFont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30" borderId="7" applyNumberFormat="0" applyAlignment="0" applyProtection="0">
      <alignment vertical="center"/>
    </xf>
    <xf numFmtId="0" fontId="28" fillId="30" borderId="7" applyNumberFormat="0" applyAlignment="0" applyProtection="0">
      <alignment vertical="center"/>
    </xf>
    <xf numFmtId="0" fontId="29" fillId="30" borderId="7" applyNumberFormat="0" applyAlignment="0" applyProtection="0">
      <alignment vertical="center"/>
    </xf>
    <xf numFmtId="0" fontId="28" fillId="30" borderId="7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4" fillId="31" borderId="5" applyNumberFormat="0" applyAlignment="0" applyProtection="0">
      <alignment vertical="center"/>
    </xf>
    <xf numFmtId="0" fontId="34" fillId="31" borderId="5" applyNumberFormat="0" applyAlignment="0" applyProtection="0">
      <alignment vertical="center"/>
    </xf>
    <xf numFmtId="0" fontId="35" fillId="31" borderId="5" applyNumberFormat="0" applyAlignment="0" applyProtection="0">
      <alignment vertical="center"/>
    </xf>
    <xf numFmtId="0" fontId="34" fillId="31" borderId="5" applyNumberFormat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26" borderId="13" applyNumberFormat="0" applyAlignment="0" applyProtection="0">
      <alignment vertical="center"/>
    </xf>
    <xf numFmtId="0" fontId="45" fillId="26" borderId="13" applyNumberFormat="0" applyAlignment="0" applyProtection="0">
      <alignment vertical="center"/>
    </xf>
    <xf numFmtId="0" fontId="46" fillId="26" borderId="13" applyNumberFormat="0" applyAlignment="0" applyProtection="0">
      <alignment vertical="center"/>
    </xf>
    <xf numFmtId="0" fontId="45" fillId="26" borderId="13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0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5" fillId="31" borderId="5" applyNumberFormat="0" applyAlignment="0" applyProtection="0">
      <alignment vertical="center"/>
    </xf>
    <xf numFmtId="0" fontId="56" fillId="26" borderId="13" applyNumberFormat="0" applyAlignment="0" applyProtection="0">
      <alignment vertical="center"/>
    </xf>
    <xf numFmtId="0" fontId="57" fillId="26" borderId="5" applyNumberFormat="0" applyAlignment="0" applyProtection="0">
      <alignment vertical="center"/>
    </xf>
    <xf numFmtId="0" fontId="58" fillId="0" borderId="8" applyNumberFormat="0" applyFill="0" applyAlignment="0" applyProtection="0">
      <alignment vertical="center"/>
    </xf>
    <xf numFmtId="0" fontId="59" fillId="30" borderId="7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6" applyNumberFormat="0" applyFon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68">
    <xf numFmtId="0" fontId="0" fillId="0" borderId="0" xfId="0">
      <alignment vertical="center"/>
    </xf>
    <xf numFmtId="0" fontId="66" fillId="33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49" fontId="71" fillId="0" borderId="1" xfId="0" applyNumberFormat="1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34" borderId="21" xfId="0" applyFont="1" applyFill="1" applyBorder="1" applyAlignment="1">
      <alignment horizontal="center" vertical="center"/>
    </xf>
    <xf numFmtId="0" fontId="8" fillId="34" borderId="22" xfId="0" applyFont="1" applyFill="1" applyBorder="1" applyAlignment="1">
      <alignment horizontal="center" vertical="center" wrapText="1"/>
    </xf>
    <xf numFmtId="0" fontId="8" fillId="35" borderId="20" xfId="0" applyFont="1" applyFill="1" applyBorder="1" applyAlignment="1">
      <alignment horizontal="center" vertical="center"/>
    </xf>
    <xf numFmtId="0" fontId="77" fillId="0" borderId="14" xfId="0" applyFont="1" applyBorder="1" applyAlignment="1">
      <alignment horizontal="center" vertical="center"/>
    </xf>
    <xf numFmtId="0" fontId="78" fillId="0" borderId="18" xfId="0" applyFont="1" applyBorder="1" applyAlignment="1">
      <alignment horizontal="center"/>
    </xf>
    <xf numFmtId="0" fontId="78" fillId="0" borderId="15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15" xfId="0" applyFont="1" applyBorder="1" applyAlignment="1">
      <alignment horizontal="center"/>
    </xf>
    <xf numFmtId="0" fontId="78" fillId="0" borderId="4" xfId="0" applyFont="1" applyBorder="1" applyAlignment="1">
      <alignment horizontal="center"/>
    </xf>
    <xf numFmtId="0" fontId="77" fillId="0" borderId="15" xfId="0" applyFont="1" applyBorder="1" applyAlignment="1">
      <alignment horizontal="center" vertical="center"/>
    </xf>
    <xf numFmtId="0" fontId="79" fillId="0" borderId="4" xfId="0" applyFont="1" applyBorder="1" applyAlignment="1">
      <alignment horizontal="center" vertical="center"/>
    </xf>
    <xf numFmtId="0" fontId="77" fillId="0" borderId="4" xfId="0" applyFont="1" applyBorder="1" applyAlignment="1">
      <alignment horizontal="center" vertical="center"/>
    </xf>
    <xf numFmtId="2" fontId="78" fillId="0" borderId="1" xfId="0" quotePrefix="1" applyNumberFormat="1" applyFont="1" applyBorder="1" applyAlignment="1">
      <alignment horizontal="center" vertical="center"/>
    </xf>
    <xf numFmtId="2" fontId="78" fillId="35" borderId="23" xfId="0" applyNumberFormat="1" applyFont="1" applyFill="1" applyBorder="1" applyAlignment="1">
      <alignment horizontal="center"/>
    </xf>
    <xf numFmtId="2" fontId="78" fillId="35" borderId="24" xfId="0" applyNumberFormat="1" applyFont="1" applyFill="1" applyBorder="1" applyAlignment="1">
      <alignment horizontal="center" vertical="center"/>
    </xf>
    <xf numFmtId="2" fontId="78" fillId="35" borderId="24" xfId="0" applyNumberFormat="1" applyFont="1" applyFill="1" applyBorder="1" applyAlignment="1">
      <alignment horizontal="center"/>
    </xf>
    <xf numFmtId="2" fontId="79" fillId="35" borderId="24" xfId="0" applyNumberFormat="1" applyFont="1" applyFill="1" applyBorder="1" applyAlignment="1">
      <alignment horizontal="center" vertical="center"/>
    </xf>
    <xf numFmtId="2" fontId="77" fillId="35" borderId="24" xfId="0" applyNumberFormat="1" applyFont="1" applyFill="1" applyBorder="1" applyAlignment="1">
      <alignment horizontal="center" vertical="center"/>
    </xf>
    <xf numFmtId="0" fontId="81" fillId="3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34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3" borderId="0" xfId="0" applyFill="1">
      <alignment vertical="center"/>
    </xf>
    <xf numFmtId="0" fontId="0" fillId="33" borderId="0" xfId="0" applyFill="1" applyAlignment="1">
      <alignment horizontal="center" vertical="center"/>
    </xf>
    <xf numFmtId="0" fontId="73" fillId="33" borderId="0" xfId="0" applyFont="1" applyFill="1">
      <alignment vertical="center"/>
    </xf>
    <xf numFmtId="0" fontId="67" fillId="33" borderId="1" xfId="0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82" fillId="0" borderId="0" xfId="220" applyFont="1" applyAlignment="1">
      <alignment horizontal="center" vertical="center"/>
    </xf>
    <xf numFmtId="0" fontId="82" fillId="0" borderId="1" xfId="220" applyFont="1" applyBorder="1" applyAlignment="1">
      <alignment horizontal="center" vertical="center"/>
    </xf>
    <xf numFmtId="0" fontId="77" fillId="0" borderId="0" xfId="0" applyFont="1">
      <alignment vertical="center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 wrapText="1"/>
    </xf>
    <xf numFmtId="0" fontId="85" fillId="0" borderId="15" xfId="0" applyFont="1" applyBorder="1" applyAlignment="1">
      <alignment horizontal="center"/>
    </xf>
    <xf numFmtId="2" fontId="85" fillId="35" borderId="24" xfId="0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49" fontId="65" fillId="33" borderId="0" xfId="0" applyNumberFormat="1" applyFont="1" applyFill="1" applyAlignment="1">
      <alignment horizontal="center" vertical="top" wrapText="1"/>
    </xf>
    <xf numFmtId="49" fontId="66" fillId="33" borderId="0" xfId="0" applyNumberFormat="1" applyFont="1" applyFill="1" applyAlignment="1">
      <alignment horizontal="center" vertical="center" wrapText="1"/>
    </xf>
    <xf numFmtId="49" fontId="67" fillId="33" borderId="0" xfId="0" applyNumberFormat="1" applyFont="1" applyFill="1" applyAlignment="1">
      <alignment horizontal="center" vertical="center" wrapText="1"/>
    </xf>
    <xf numFmtId="49" fontId="9" fillId="33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87" fillId="33" borderId="0" xfId="0" applyNumberFormat="1" applyFont="1" applyFill="1" applyAlignment="1">
      <alignment horizontal="center" vertical="center" wrapText="1"/>
    </xf>
    <xf numFmtId="49" fontId="71" fillId="33" borderId="0" xfId="0" applyNumberFormat="1" applyFont="1" applyFill="1" applyAlignment="1">
      <alignment horizontal="center" vertical="center" wrapText="1"/>
    </xf>
    <xf numFmtId="49" fontId="73" fillId="33" borderId="0" xfId="0" applyNumberFormat="1" applyFont="1" applyFill="1" applyAlignment="1">
      <alignment horizontal="center" vertical="center"/>
    </xf>
    <xf numFmtId="49" fontId="71" fillId="0" borderId="0" xfId="0" applyNumberFormat="1" applyFont="1" applyAlignment="1">
      <alignment horizontal="left" vertical="center"/>
    </xf>
    <xf numFmtId="0" fontId="32" fillId="33" borderId="0" xfId="272" applyFont="1" applyFill="1" applyAlignment="1">
      <alignment horizontal="center" vertical="center"/>
    </xf>
    <xf numFmtId="0" fontId="1" fillId="33" borderId="0" xfId="272" applyFill="1">
      <alignment vertical="center"/>
    </xf>
    <xf numFmtId="0" fontId="1" fillId="33" borderId="0" xfId="272" applyFill="1" applyAlignment="1">
      <alignment horizontal="left" vertical="center"/>
    </xf>
    <xf numFmtId="0" fontId="84" fillId="37" borderId="1" xfId="272" applyFont="1" applyFill="1" applyBorder="1" applyAlignment="1">
      <alignment horizontal="center" vertical="center"/>
    </xf>
    <xf numFmtId="49" fontId="84" fillId="37" borderId="1" xfId="272" applyNumberFormat="1" applyFont="1" applyFill="1" applyBorder="1" applyAlignment="1">
      <alignment horizontal="center" vertical="center"/>
    </xf>
    <xf numFmtId="0" fontId="84" fillId="37" borderId="0" xfId="272" applyFont="1" applyFill="1" applyAlignment="1">
      <alignment horizontal="center" vertical="center"/>
    </xf>
    <xf numFmtId="0" fontId="84" fillId="0" borderId="1" xfId="272" applyFont="1" applyBorder="1" applyAlignment="1">
      <alignment horizontal="center" vertical="center"/>
    </xf>
    <xf numFmtId="0" fontId="1" fillId="0" borderId="0" xfId="272">
      <alignment vertical="center"/>
    </xf>
    <xf numFmtId="0" fontId="1" fillId="33" borderId="0" xfId="272" applyFill="1" applyAlignment="1">
      <alignment horizontal="center" vertical="center"/>
    </xf>
    <xf numFmtId="49" fontId="1" fillId="33" borderId="0" xfId="272" applyNumberFormat="1" applyFill="1">
      <alignment vertical="center"/>
    </xf>
    <xf numFmtId="0" fontId="77" fillId="0" borderId="1" xfId="22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 wrapText="1"/>
    </xf>
    <xf numFmtId="0" fontId="77" fillId="0" borderId="1" xfId="220" applyFont="1" applyBorder="1">
      <alignment vertical="center"/>
    </xf>
    <xf numFmtId="0" fontId="83" fillId="0" borderId="1" xfId="272" applyFont="1" applyBorder="1" applyAlignment="1">
      <alignment horizontal="center" vertical="center"/>
    </xf>
    <xf numFmtId="0" fontId="77" fillId="34" borderId="1" xfId="220" applyFont="1" applyFill="1" applyBorder="1" applyAlignment="1">
      <alignment horizontal="center" vertical="center"/>
    </xf>
    <xf numFmtId="0" fontId="65" fillId="33" borderId="0" xfId="0" applyFont="1" applyFill="1" applyAlignment="1">
      <alignment horizontal="center" vertical="top" wrapText="1"/>
    </xf>
    <xf numFmtId="0" fontId="66" fillId="33" borderId="0" xfId="0" applyFont="1" applyFill="1" applyAlignment="1">
      <alignment horizontal="center" vertical="center" wrapText="1"/>
    </xf>
    <xf numFmtId="0" fontId="67" fillId="33" borderId="0" xfId="0" applyFont="1" applyFill="1" applyAlignment="1">
      <alignment horizontal="center" vertical="center" wrapText="1"/>
    </xf>
    <xf numFmtId="0" fontId="9" fillId="3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7" fillId="33" borderId="0" xfId="0" applyFont="1" applyFill="1" applyAlignment="1">
      <alignment horizontal="center" vertical="center" wrapText="1"/>
    </xf>
    <xf numFmtId="2" fontId="78" fillId="34" borderId="1" xfId="0" quotePrefix="1" applyNumberFormat="1" applyFont="1" applyFill="1" applyBorder="1" applyAlignment="1">
      <alignment horizontal="center" vertical="center"/>
    </xf>
    <xf numFmtId="0" fontId="78" fillId="34" borderId="1" xfId="0" applyFont="1" applyFill="1" applyBorder="1" applyAlignment="1">
      <alignment horizontal="center" vertical="center"/>
    </xf>
    <xf numFmtId="2" fontId="79" fillId="34" borderId="1" xfId="0" applyNumberFormat="1" applyFont="1" applyFill="1" applyBorder="1" applyAlignment="1">
      <alignment horizontal="center" vertical="center"/>
    </xf>
    <xf numFmtId="0" fontId="77" fillId="34" borderId="1" xfId="0" applyFont="1" applyFill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73" fillId="33" borderId="0" xfId="0" applyFont="1" applyFill="1" applyAlignment="1">
      <alignment horizontal="center" vertical="center"/>
    </xf>
    <xf numFmtId="0" fontId="71" fillId="33" borderId="0" xfId="0" applyFont="1" applyFill="1" applyAlignment="1">
      <alignment horizontal="center" vertical="center" wrapText="1"/>
    </xf>
    <xf numFmtId="0" fontId="71" fillId="34" borderId="1" xfId="0" applyFont="1" applyFill="1" applyBorder="1" applyAlignment="1">
      <alignment horizontal="center" vertical="center" wrapText="1"/>
    </xf>
    <xf numFmtId="0" fontId="77" fillId="34" borderId="0" xfId="0" applyFont="1" applyFill="1" applyAlignment="1">
      <alignment horizontal="center" vertical="center"/>
    </xf>
    <xf numFmtId="49" fontId="82" fillId="0" borderId="1" xfId="220" applyNumberFormat="1" applyFont="1" applyBorder="1">
      <alignment vertical="center"/>
    </xf>
    <xf numFmtId="0" fontId="77" fillId="34" borderId="1" xfId="220" applyFont="1" applyFill="1" applyBorder="1">
      <alignment vertical="center"/>
    </xf>
    <xf numFmtId="49" fontId="82" fillId="0" borderId="26" xfId="220" applyNumberFormat="1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82" fillId="0" borderId="1" xfId="220" applyNumberFormat="1" applyFont="1" applyBorder="1" applyAlignment="1">
      <alignment horizontal="center" vertical="center"/>
    </xf>
    <xf numFmtId="0" fontId="82" fillId="0" borderId="1" xfId="220" applyFont="1" applyBorder="1">
      <alignment vertical="center"/>
    </xf>
    <xf numFmtId="0" fontId="0" fillId="34" borderId="0" xfId="0" applyFill="1">
      <alignment vertical="center"/>
    </xf>
    <xf numFmtId="0" fontId="0" fillId="34" borderId="0" xfId="0" applyFill="1" applyAlignment="1">
      <alignment horizontal="center" vertical="center"/>
    </xf>
    <xf numFmtId="0" fontId="74" fillId="34" borderId="0" xfId="0" applyFont="1" applyFill="1" applyAlignment="1">
      <alignment horizontal="left" vertical="center"/>
    </xf>
    <xf numFmtId="49" fontId="71" fillId="0" borderId="26" xfId="0" applyNumberFormat="1" applyFont="1" applyBorder="1" applyAlignment="1">
      <alignment horizontal="center" vertical="center" wrapText="1"/>
    </xf>
    <xf numFmtId="0" fontId="88" fillId="0" borderId="27" xfId="0" applyFont="1" applyBorder="1" applyAlignment="1">
      <alignment horizontal="center" vertical="center" wrapText="1"/>
    </xf>
    <xf numFmtId="0" fontId="0" fillId="34" borderId="1" xfId="0" applyFill="1" applyBorder="1">
      <alignment vertical="center"/>
    </xf>
    <xf numFmtId="0" fontId="72" fillId="33" borderId="1" xfId="0" applyFont="1" applyFill="1" applyBorder="1" applyAlignment="1">
      <alignment horizontal="center" vertical="center" wrapText="1"/>
    </xf>
    <xf numFmtId="0" fontId="71" fillId="33" borderId="1" xfId="0" applyFont="1" applyFill="1" applyBorder="1" applyAlignment="1">
      <alignment horizontal="center" vertical="center" wrapText="1"/>
    </xf>
    <xf numFmtId="176" fontId="47" fillId="33" borderId="1" xfId="0" applyNumberFormat="1" applyFont="1" applyFill="1" applyBorder="1" applyAlignment="1">
      <alignment horizontal="center" vertical="center" wrapText="1"/>
    </xf>
    <xf numFmtId="0" fontId="47" fillId="33" borderId="1" xfId="0" applyFont="1" applyFill="1" applyBorder="1" applyAlignment="1">
      <alignment horizontal="center" vertical="center" wrapText="1"/>
    </xf>
    <xf numFmtId="0" fontId="88" fillId="33" borderId="1" xfId="0" applyFont="1" applyFill="1" applyBorder="1" applyAlignment="1">
      <alignment horizontal="center" vertical="center" wrapText="1"/>
    </xf>
    <xf numFmtId="49" fontId="71" fillId="33" borderId="1" xfId="0" applyNumberFormat="1" applyFont="1" applyFill="1" applyBorder="1" applyAlignment="1">
      <alignment horizontal="center" vertical="center" wrapText="1"/>
    </xf>
    <xf numFmtId="0" fontId="88" fillId="33" borderId="26" xfId="0" applyFont="1" applyFill="1" applyBorder="1" applyAlignment="1">
      <alignment horizontal="center" vertical="center" wrapText="1"/>
    </xf>
    <xf numFmtId="0" fontId="88" fillId="33" borderId="27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4" borderId="27" xfId="0" applyFont="1" applyFill="1" applyBorder="1" applyAlignment="1">
      <alignment horizontal="center" vertical="center" wrapText="1"/>
    </xf>
    <xf numFmtId="0" fontId="66" fillId="33" borderId="27" xfId="0" applyFont="1" applyFill="1" applyBorder="1" applyAlignment="1">
      <alignment horizontal="center" vertical="center" wrapText="1"/>
    </xf>
    <xf numFmtId="176" fontId="47" fillId="0" borderId="1" xfId="0" applyNumberFormat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72" fillId="34" borderId="1" xfId="0" applyFont="1" applyFill="1" applyBorder="1" applyAlignment="1">
      <alignment horizontal="center" vertical="center" wrapText="1"/>
    </xf>
    <xf numFmtId="0" fontId="71" fillId="0" borderId="27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88" fillId="33" borderId="26" xfId="0" applyFont="1" applyFill="1" applyBorder="1" applyAlignment="1">
      <alignment horizontal="center" vertical="center" wrapText="1"/>
    </xf>
    <xf numFmtId="0" fontId="88" fillId="33" borderId="27" xfId="0" applyFont="1" applyFill="1" applyBorder="1" applyAlignment="1">
      <alignment horizontal="center" vertical="center" wrapText="1"/>
    </xf>
    <xf numFmtId="0" fontId="88" fillId="33" borderId="17" xfId="0" applyFont="1" applyFill="1" applyBorder="1" applyAlignment="1">
      <alignment horizontal="center" vertical="center" wrapText="1"/>
    </xf>
    <xf numFmtId="0" fontId="88" fillId="0" borderId="26" xfId="0" applyFont="1" applyBorder="1" applyAlignment="1">
      <alignment horizontal="center" vertical="center" wrapText="1"/>
    </xf>
    <xf numFmtId="0" fontId="88" fillId="0" borderId="27" xfId="0" applyFont="1" applyBorder="1" applyAlignment="1">
      <alignment horizontal="center" vertical="center" wrapText="1"/>
    </xf>
    <xf numFmtId="0" fontId="88" fillId="0" borderId="17" xfId="0" applyFont="1" applyBorder="1" applyAlignment="1">
      <alignment horizontal="center" vertical="center" wrapText="1"/>
    </xf>
    <xf numFmtId="0" fontId="71" fillId="0" borderId="2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70" fillId="33" borderId="1" xfId="0" applyFont="1" applyFill="1" applyBorder="1" applyAlignment="1">
      <alignment horizontal="center" vertical="center" wrapText="1"/>
    </xf>
    <xf numFmtId="0" fontId="71" fillId="33" borderId="1" xfId="0" applyFont="1" applyFill="1" applyBorder="1" applyAlignment="1">
      <alignment horizontal="left" vertical="center" wrapText="1"/>
    </xf>
    <xf numFmtId="0" fontId="8" fillId="33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87" fillId="33" borderId="1" xfId="0" applyFont="1" applyFill="1" applyBorder="1" applyAlignment="1">
      <alignment horizontal="center" vertical="center" wrapText="1"/>
    </xf>
    <xf numFmtId="0" fontId="76" fillId="33" borderId="1" xfId="0" applyFont="1" applyFill="1" applyBorder="1" applyAlignment="1">
      <alignment horizontal="center" vertical="top" wrapText="1"/>
    </xf>
    <xf numFmtId="0" fontId="9" fillId="33" borderId="1" xfId="0" applyFont="1" applyFill="1" applyBorder="1" applyAlignment="1">
      <alignment horizontal="center" vertical="top" wrapText="1"/>
    </xf>
    <xf numFmtId="49" fontId="9" fillId="33" borderId="18" xfId="0" applyNumberFormat="1" applyFont="1" applyFill="1" applyBorder="1" applyAlignment="1">
      <alignment horizontal="center" vertical="center" wrapText="1"/>
    </xf>
    <xf numFmtId="49" fontId="9" fillId="33" borderId="19" xfId="0" applyNumberFormat="1" applyFont="1" applyFill="1" applyBorder="1" applyAlignment="1">
      <alignment horizontal="center" vertical="center" wrapText="1"/>
    </xf>
    <xf numFmtId="0" fontId="65" fillId="33" borderId="1" xfId="0" applyFont="1" applyFill="1" applyBorder="1" applyAlignment="1">
      <alignment horizontal="center" vertical="top" wrapText="1"/>
    </xf>
    <xf numFmtId="0" fontId="86" fillId="33" borderId="2" xfId="0" applyFont="1" applyFill="1" applyBorder="1" applyAlignment="1">
      <alignment horizontal="left" vertical="center" wrapText="1"/>
    </xf>
    <xf numFmtId="0" fontId="86" fillId="33" borderId="3" xfId="0" applyFont="1" applyFill="1" applyBorder="1" applyAlignment="1">
      <alignment horizontal="left" vertical="center" wrapText="1"/>
    </xf>
    <xf numFmtId="0" fontId="86" fillId="33" borderId="25" xfId="0" applyFont="1" applyFill="1" applyBorder="1" applyAlignment="1">
      <alignment horizontal="left" vertical="center" wrapText="1"/>
    </xf>
    <xf numFmtId="0" fontId="86" fillId="33" borderId="18" xfId="0" applyFont="1" applyFill="1" applyBorder="1" applyAlignment="1">
      <alignment horizontal="left" vertical="center" wrapText="1"/>
    </xf>
    <xf numFmtId="0" fontId="86" fillId="33" borderId="19" xfId="0" applyFont="1" applyFill="1" applyBorder="1" applyAlignment="1">
      <alignment horizontal="left" vertical="center" wrapText="1"/>
    </xf>
    <xf numFmtId="0" fontId="86" fillId="33" borderId="16" xfId="0" applyFont="1" applyFill="1" applyBorder="1" applyAlignment="1">
      <alignment horizontal="left" vertical="center" wrapText="1"/>
    </xf>
    <xf numFmtId="0" fontId="66" fillId="33" borderId="1" xfId="0" applyFont="1" applyFill="1" applyBorder="1" applyAlignment="1">
      <alignment horizontal="center" vertical="center" wrapText="1"/>
    </xf>
    <xf numFmtId="0" fontId="67" fillId="33" borderId="1" xfId="0" applyFont="1" applyFill="1" applyBorder="1" applyAlignment="1">
      <alignment horizontal="center" vertical="center" wrapText="1"/>
    </xf>
    <xf numFmtId="0" fontId="68" fillId="33" borderId="1" xfId="0" applyFont="1" applyFill="1" applyBorder="1" applyAlignment="1">
      <alignment horizontal="center" vertical="center" wrapText="1"/>
    </xf>
    <xf numFmtId="0" fontId="72" fillId="34" borderId="26" xfId="0" applyFont="1" applyFill="1" applyBorder="1" applyAlignment="1">
      <alignment horizontal="center" vertical="center" wrapText="1"/>
    </xf>
    <xf numFmtId="0" fontId="72" fillId="34" borderId="17" xfId="0" applyFont="1" applyFill="1" applyBorder="1" applyAlignment="1">
      <alignment horizontal="center" vertical="center" wrapText="1"/>
    </xf>
    <xf numFmtId="0" fontId="72" fillId="0" borderId="26" xfId="0" applyFont="1" applyBorder="1" applyAlignment="1">
      <alignment horizontal="center" vertical="center" wrapText="1"/>
    </xf>
    <xf numFmtId="0" fontId="72" fillId="0" borderId="17" xfId="0" applyFont="1" applyBorder="1" applyAlignment="1">
      <alignment horizontal="center" vertical="center" wrapText="1"/>
    </xf>
    <xf numFmtId="0" fontId="9" fillId="33" borderId="26" xfId="0" applyFont="1" applyFill="1" applyBorder="1" applyAlignment="1">
      <alignment horizontal="center" vertical="center" wrapText="1"/>
    </xf>
    <xf numFmtId="0" fontId="8" fillId="34" borderId="1" xfId="0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 vertical="center"/>
    </xf>
    <xf numFmtId="0" fontId="66" fillId="33" borderId="26" xfId="0" applyFont="1" applyFill="1" applyBorder="1" applyAlignment="1">
      <alignment horizontal="center" vertical="center" wrapText="1"/>
    </xf>
    <xf numFmtId="0" fontId="66" fillId="33" borderId="27" xfId="0" applyFont="1" applyFill="1" applyBorder="1" applyAlignment="1">
      <alignment horizontal="center" vertical="center" wrapText="1"/>
    </xf>
    <xf numFmtId="0" fontId="72" fillId="0" borderId="27" xfId="0" applyFont="1" applyBorder="1" applyAlignment="1">
      <alignment horizontal="center" vertical="center" wrapText="1"/>
    </xf>
    <xf numFmtId="0" fontId="72" fillId="34" borderId="27" xfId="0" applyFont="1" applyFill="1" applyBorder="1" applyAlignment="1">
      <alignment horizontal="center" vertical="center" wrapText="1"/>
    </xf>
    <xf numFmtId="0" fontId="89" fillId="0" borderId="26" xfId="0" applyFont="1" applyBorder="1" applyAlignment="1">
      <alignment horizontal="center" vertical="center" wrapText="1"/>
    </xf>
    <xf numFmtId="0" fontId="89" fillId="0" borderId="27" xfId="0" applyFont="1" applyBorder="1" applyAlignment="1">
      <alignment horizontal="center" vertical="center" wrapText="1"/>
    </xf>
    <xf numFmtId="0" fontId="89" fillId="0" borderId="17" xfId="0" applyFont="1" applyBorder="1" applyAlignment="1">
      <alignment horizontal="center" vertical="center" wrapText="1"/>
    </xf>
    <xf numFmtId="49" fontId="82" fillId="0" borderId="1" xfId="220" applyNumberFormat="1" applyFont="1" applyBorder="1" applyAlignment="1">
      <alignment horizontal="center" vertical="center"/>
    </xf>
    <xf numFmtId="49" fontId="82" fillId="0" borderId="26" xfId="220" applyNumberFormat="1" applyFont="1" applyBorder="1" applyAlignment="1">
      <alignment horizontal="center" vertical="center" wrapText="1"/>
    </xf>
    <xf numFmtId="49" fontId="82" fillId="0" borderId="17" xfId="220" applyNumberFormat="1" applyFont="1" applyBorder="1" applyAlignment="1">
      <alignment horizontal="center" vertical="center" wrapText="1"/>
    </xf>
    <xf numFmtId="49" fontId="82" fillId="0" borderId="26" xfId="220" applyNumberFormat="1" applyFont="1" applyBorder="1" applyAlignment="1">
      <alignment horizontal="center" vertical="center"/>
    </xf>
    <xf numFmtId="49" fontId="82" fillId="0" borderId="17" xfId="220" applyNumberFormat="1" applyFont="1" applyBorder="1" applyAlignment="1">
      <alignment horizontal="center" vertical="center"/>
    </xf>
    <xf numFmtId="0" fontId="32" fillId="33" borderId="1" xfId="272" applyFont="1" applyFill="1" applyBorder="1" applyAlignment="1">
      <alignment horizontal="center" vertical="center" wrapText="1"/>
    </xf>
    <xf numFmtId="0" fontId="32" fillId="33" borderId="1" xfId="272" applyFont="1" applyFill="1" applyBorder="1" applyAlignment="1">
      <alignment horizontal="center" vertical="center"/>
    </xf>
    <xf numFmtId="49" fontId="82" fillId="0" borderId="1" xfId="220" applyNumberFormat="1" applyFont="1" applyBorder="1" applyAlignment="1">
      <alignment horizontal="center" vertical="center" wrapText="1"/>
    </xf>
  </cellXfs>
  <cellStyles count="273">
    <cellStyle name="20% - 강조색1" xfId="246" builtinId="30" customBuiltin="1"/>
    <cellStyle name="20% - 강조색1 2" xfId="1" xr:uid="{00000000-0005-0000-0000-000006000000}"/>
    <cellStyle name="20% - 강조색1 2 2" xfId="2" xr:uid="{00000000-0005-0000-0000-000007000000}"/>
    <cellStyle name="20% - 강조색1 2 3" xfId="3" xr:uid="{00000000-0005-0000-0000-000008000000}"/>
    <cellStyle name="20% - 강조색1 3" xfId="4" xr:uid="{00000000-0005-0000-0000-000009000000}"/>
    <cellStyle name="20% - 강조색2" xfId="250" builtinId="34" customBuiltin="1"/>
    <cellStyle name="20% - 강조색2 2" xfId="5" xr:uid="{00000000-0005-0000-0000-00000A000000}"/>
    <cellStyle name="20% - 강조색2 2 2" xfId="6" xr:uid="{00000000-0005-0000-0000-00000B000000}"/>
    <cellStyle name="20% - 강조색2 2 3" xfId="7" xr:uid="{00000000-0005-0000-0000-00000C000000}"/>
    <cellStyle name="20% - 강조색2 3" xfId="8" xr:uid="{00000000-0005-0000-0000-00000D000000}"/>
    <cellStyle name="20% - 강조색3" xfId="254" builtinId="38" customBuiltin="1"/>
    <cellStyle name="20% - 강조색3 2" xfId="9" xr:uid="{00000000-0005-0000-0000-00000E000000}"/>
    <cellStyle name="20% - 강조색3 2 2" xfId="10" xr:uid="{00000000-0005-0000-0000-00000F000000}"/>
    <cellStyle name="20% - 강조색3 2 3" xfId="11" xr:uid="{00000000-0005-0000-0000-000010000000}"/>
    <cellStyle name="20% - 강조색3 3" xfId="12" xr:uid="{00000000-0005-0000-0000-000011000000}"/>
    <cellStyle name="20% - 강조색4" xfId="258" builtinId="42" customBuiltin="1"/>
    <cellStyle name="20% - 강조색4 2" xfId="13" xr:uid="{00000000-0005-0000-0000-000012000000}"/>
    <cellStyle name="20% - 강조색4 2 2" xfId="14" xr:uid="{00000000-0005-0000-0000-000013000000}"/>
    <cellStyle name="20% - 강조색4 2 3" xfId="15" xr:uid="{00000000-0005-0000-0000-000014000000}"/>
    <cellStyle name="20% - 강조색4 3" xfId="16" xr:uid="{00000000-0005-0000-0000-000015000000}"/>
    <cellStyle name="20% - 강조색5" xfId="262" builtinId="46" customBuiltin="1"/>
    <cellStyle name="20% - 강조색5 2" xfId="17" xr:uid="{00000000-0005-0000-0000-000016000000}"/>
    <cellStyle name="20% - 강조색5 2 2" xfId="18" xr:uid="{00000000-0005-0000-0000-000017000000}"/>
    <cellStyle name="20% - 강조색5 2 3" xfId="19" xr:uid="{00000000-0005-0000-0000-000018000000}"/>
    <cellStyle name="20% - 강조색5 3" xfId="20" xr:uid="{00000000-0005-0000-0000-000019000000}"/>
    <cellStyle name="20% - 강조색6" xfId="266" builtinId="50" customBuiltin="1"/>
    <cellStyle name="20% - 강조색6 2" xfId="21" xr:uid="{00000000-0005-0000-0000-00001A000000}"/>
    <cellStyle name="20% - 강조색6 2 2" xfId="22" xr:uid="{00000000-0005-0000-0000-00001B000000}"/>
    <cellStyle name="20% - 강조색6 2 3" xfId="23" xr:uid="{00000000-0005-0000-0000-00001C000000}"/>
    <cellStyle name="20% - 강조색6 3" xfId="24" xr:uid="{00000000-0005-0000-0000-00001D000000}"/>
    <cellStyle name="40% - 강조색1" xfId="247" builtinId="31" customBuiltin="1"/>
    <cellStyle name="40% - 강조색1 2" xfId="25" xr:uid="{00000000-0005-0000-0000-000024000000}"/>
    <cellStyle name="40% - 강조색1 2 2" xfId="26" xr:uid="{00000000-0005-0000-0000-000025000000}"/>
    <cellStyle name="40% - 강조색1 2 3" xfId="27" xr:uid="{00000000-0005-0000-0000-000026000000}"/>
    <cellStyle name="40% - 강조색1 3" xfId="28" xr:uid="{00000000-0005-0000-0000-000027000000}"/>
    <cellStyle name="40% - 강조색2" xfId="251" builtinId="35" customBuiltin="1"/>
    <cellStyle name="40% - 강조색2 2" xfId="29" xr:uid="{00000000-0005-0000-0000-000028000000}"/>
    <cellStyle name="40% - 강조색2 2 2" xfId="30" xr:uid="{00000000-0005-0000-0000-000029000000}"/>
    <cellStyle name="40% - 강조색2 2 3" xfId="31" xr:uid="{00000000-0005-0000-0000-00002A000000}"/>
    <cellStyle name="40% - 강조색2 3" xfId="32" xr:uid="{00000000-0005-0000-0000-00002B000000}"/>
    <cellStyle name="40% - 강조색3" xfId="255" builtinId="39" customBuiltin="1"/>
    <cellStyle name="40% - 강조색3 2" xfId="33" xr:uid="{00000000-0005-0000-0000-00002C000000}"/>
    <cellStyle name="40% - 강조색3 2 2" xfId="34" xr:uid="{00000000-0005-0000-0000-00002D000000}"/>
    <cellStyle name="40% - 강조색3 2 3" xfId="35" xr:uid="{00000000-0005-0000-0000-00002E000000}"/>
    <cellStyle name="40% - 강조색3 3" xfId="36" xr:uid="{00000000-0005-0000-0000-00002F000000}"/>
    <cellStyle name="40% - 강조색4" xfId="259" builtinId="43" customBuiltin="1"/>
    <cellStyle name="40% - 강조색4 2" xfId="37" xr:uid="{00000000-0005-0000-0000-000030000000}"/>
    <cellStyle name="40% - 강조색4 2 2" xfId="38" xr:uid="{00000000-0005-0000-0000-000031000000}"/>
    <cellStyle name="40% - 강조색4 2 3" xfId="39" xr:uid="{00000000-0005-0000-0000-000032000000}"/>
    <cellStyle name="40% - 강조색4 3" xfId="40" xr:uid="{00000000-0005-0000-0000-000033000000}"/>
    <cellStyle name="40% - 강조색5" xfId="263" builtinId="47" customBuiltin="1"/>
    <cellStyle name="40% - 강조색5 2" xfId="41" xr:uid="{00000000-0005-0000-0000-000034000000}"/>
    <cellStyle name="40% - 강조색5 2 2" xfId="42" xr:uid="{00000000-0005-0000-0000-000035000000}"/>
    <cellStyle name="40% - 강조색5 2 3" xfId="43" xr:uid="{00000000-0005-0000-0000-000036000000}"/>
    <cellStyle name="40% - 강조색5 3" xfId="44" xr:uid="{00000000-0005-0000-0000-000037000000}"/>
    <cellStyle name="40% - 강조색6" xfId="267" builtinId="51" customBuiltin="1"/>
    <cellStyle name="40% - 강조색6 2" xfId="45" xr:uid="{00000000-0005-0000-0000-000038000000}"/>
    <cellStyle name="40% - 강조색6 2 2" xfId="46" xr:uid="{00000000-0005-0000-0000-000039000000}"/>
    <cellStyle name="40% - 강조색6 2 3" xfId="47" xr:uid="{00000000-0005-0000-0000-00003A000000}"/>
    <cellStyle name="40% - 강조색6 3" xfId="48" xr:uid="{00000000-0005-0000-0000-00003B000000}"/>
    <cellStyle name="60% - 강조색1" xfId="248" builtinId="32" customBuiltin="1"/>
    <cellStyle name="60% - 강조색1 2" xfId="49" xr:uid="{00000000-0005-0000-0000-000042000000}"/>
    <cellStyle name="60% - 강조색1 2 2" xfId="50" xr:uid="{00000000-0005-0000-0000-000043000000}"/>
    <cellStyle name="60% - 강조색1 2 3" xfId="51" xr:uid="{00000000-0005-0000-0000-000044000000}"/>
    <cellStyle name="60% - 강조색1 3" xfId="52" xr:uid="{00000000-0005-0000-0000-000045000000}"/>
    <cellStyle name="60% - 강조색2" xfId="252" builtinId="36" customBuiltin="1"/>
    <cellStyle name="60% - 강조색2 2" xfId="53" xr:uid="{00000000-0005-0000-0000-000046000000}"/>
    <cellStyle name="60% - 강조색2 2 2" xfId="54" xr:uid="{00000000-0005-0000-0000-000047000000}"/>
    <cellStyle name="60% - 강조색2 2 3" xfId="55" xr:uid="{00000000-0005-0000-0000-000048000000}"/>
    <cellStyle name="60% - 강조색2 3" xfId="56" xr:uid="{00000000-0005-0000-0000-000049000000}"/>
    <cellStyle name="60% - 강조색3" xfId="256" builtinId="40" customBuiltin="1"/>
    <cellStyle name="60% - 강조색3 2" xfId="57" xr:uid="{00000000-0005-0000-0000-00004A000000}"/>
    <cellStyle name="60% - 강조색3 2 2" xfId="58" xr:uid="{00000000-0005-0000-0000-00004B000000}"/>
    <cellStyle name="60% - 강조색3 2 3" xfId="59" xr:uid="{00000000-0005-0000-0000-00004C000000}"/>
    <cellStyle name="60% - 강조색3 3" xfId="60" xr:uid="{00000000-0005-0000-0000-00004D000000}"/>
    <cellStyle name="60% - 강조색4" xfId="260" builtinId="44" customBuiltin="1"/>
    <cellStyle name="60% - 강조색4 2" xfId="61" xr:uid="{00000000-0005-0000-0000-00004E000000}"/>
    <cellStyle name="60% - 강조색4 2 2" xfId="62" xr:uid="{00000000-0005-0000-0000-00004F000000}"/>
    <cellStyle name="60% - 강조색4 2 3" xfId="63" xr:uid="{00000000-0005-0000-0000-000050000000}"/>
    <cellStyle name="60% - 강조색4 3" xfId="64" xr:uid="{00000000-0005-0000-0000-000051000000}"/>
    <cellStyle name="60% - 강조색5" xfId="264" builtinId="48" customBuiltin="1"/>
    <cellStyle name="60% - 강조색5 2" xfId="65" xr:uid="{00000000-0005-0000-0000-000052000000}"/>
    <cellStyle name="60% - 강조색5 2 2" xfId="66" xr:uid="{00000000-0005-0000-0000-000053000000}"/>
    <cellStyle name="60% - 강조색5 2 3" xfId="67" xr:uid="{00000000-0005-0000-0000-000054000000}"/>
    <cellStyle name="60% - 강조색5 3" xfId="68" xr:uid="{00000000-0005-0000-0000-000055000000}"/>
    <cellStyle name="60% - 강조색6" xfId="268" builtinId="52" customBuiltin="1"/>
    <cellStyle name="60% - 강조색6 2" xfId="69" xr:uid="{00000000-0005-0000-0000-000056000000}"/>
    <cellStyle name="60% - 강조색6 2 2" xfId="70" xr:uid="{00000000-0005-0000-0000-000057000000}"/>
    <cellStyle name="60% - 강조색6 2 3" xfId="71" xr:uid="{00000000-0005-0000-0000-000058000000}"/>
    <cellStyle name="60% - 강조색6 3" xfId="72" xr:uid="{00000000-0005-0000-0000-000059000000}"/>
    <cellStyle name="강조색1" xfId="245" builtinId="29" customBuiltin="1"/>
    <cellStyle name="강조색1 2" xfId="73" xr:uid="{00000000-0005-0000-0000-000071000000}"/>
    <cellStyle name="강조색1 2 2" xfId="74" xr:uid="{00000000-0005-0000-0000-000072000000}"/>
    <cellStyle name="강조색1 2 3" xfId="75" xr:uid="{00000000-0005-0000-0000-000073000000}"/>
    <cellStyle name="강조색1 3" xfId="76" xr:uid="{00000000-0005-0000-0000-000074000000}"/>
    <cellStyle name="강조색2" xfId="249" builtinId="33" customBuiltin="1"/>
    <cellStyle name="강조색2 2" xfId="77" xr:uid="{00000000-0005-0000-0000-000075000000}"/>
    <cellStyle name="강조색2 2 2" xfId="78" xr:uid="{00000000-0005-0000-0000-000076000000}"/>
    <cellStyle name="강조색2 2 3" xfId="79" xr:uid="{00000000-0005-0000-0000-000077000000}"/>
    <cellStyle name="강조색2 3" xfId="80" xr:uid="{00000000-0005-0000-0000-000078000000}"/>
    <cellStyle name="강조색3" xfId="253" builtinId="37" customBuiltin="1"/>
    <cellStyle name="강조색3 2" xfId="81" xr:uid="{00000000-0005-0000-0000-000079000000}"/>
    <cellStyle name="강조색3 2 2" xfId="82" xr:uid="{00000000-0005-0000-0000-00007A000000}"/>
    <cellStyle name="강조색3 2 3" xfId="83" xr:uid="{00000000-0005-0000-0000-00007B000000}"/>
    <cellStyle name="강조색3 3" xfId="84" xr:uid="{00000000-0005-0000-0000-00007C000000}"/>
    <cellStyle name="강조색4" xfId="257" builtinId="41" customBuiltin="1"/>
    <cellStyle name="강조색4 2" xfId="85" xr:uid="{00000000-0005-0000-0000-00007D000000}"/>
    <cellStyle name="강조색4 2 2" xfId="86" xr:uid="{00000000-0005-0000-0000-00007E000000}"/>
    <cellStyle name="강조색4 2 3" xfId="87" xr:uid="{00000000-0005-0000-0000-00007F000000}"/>
    <cellStyle name="강조색4 3" xfId="88" xr:uid="{00000000-0005-0000-0000-000080000000}"/>
    <cellStyle name="강조색5" xfId="261" builtinId="45" customBuiltin="1"/>
    <cellStyle name="강조색5 2" xfId="89" xr:uid="{00000000-0005-0000-0000-000081000000}"/>
    <cellStyle name="강조색5 2 2" xfId="90" xr:uid="{00000000-0005-0000-0000-000082000000}"/>
    <cellStyle name="강조색5 2 3" xfId="91" xr:uid="{00000000-0005-0000-0000-000083000000}"/>
    <cellStyle name="강조색5 3" xfId="92" xr:uid="{00000000-0005-0000-0000-000084000000}"/>
    <cellStyle name="강조색6" xfId="265" builtinId="49" customBuiltin="1"/>
    <cellStyle name="강조색6 2" xfId="93" xr:uid="{00000000-0005-0000-0000-000085000000}"/>
    <cellStyle name="강조색6 2 2" xfId="94" xr:uid="{00000000-0005-0000-0000-000086000000}"/>
    <cellStyle name="강조색6 2 3" xfId="95" xr:uid="{00000000-0005-0000-0000-000087000000}"/>
    <cellStyle name="강조색6 3" xfId="96" xr:uid="{00000000-0005-0000-0000-000088000000}"/>
    <cellStyle name="경고문" xfId="242" builtinId="11" customBuiltin="1"/>
    <cellStyle name="경고문 2" xfId="97" xr:uid="{00000000-0005-0000-0000-000089000000}"/>
    <cellStyle name="경고문 2 2" xfId="98" xr:uid="{00000000-0005-0000-0000-00008A000000}"/>
    <cellStyle name="경고문 2 3" xfId="99" xr:uid="{00000000-0005-0000-0000-00008B000000}"/>
    <cellStyle name="경고문 3" xfId="100" xr:uid="{00000000-0005-0000-0000-00008C000000}"/>
    <cellStyle name="계산" xfId="239" builtinId="22" customBuiltin="1"/>
    <cellStyle name="계산 2" xfId="101" xr:uid="{00000000-0005-0000-0000-00008D000000}"/>
    <cellStyle name="계산 2 2" xfId="102" xr:uid="{00000000-0005-0000-0000-00008E000000}"/>
    <cellStyle name="계산 2 3" xfId="103" xr:uid="{00000000-0005-0000-0000-00008F000000}"/>
    <cellStyle name="계산 3" xfId="104" xr:uid="{00000000-0005-0000-0000-000090000000}"/>
    <cellStyle name="나쁨" xfId="235" builtinId="27" customBuiltin="1"/>
    <cellStyle name="나쁨 2" xfId="105" xr:uid="{00000000-0005-0000-0000-000091000000}"/>
    <cellStyle name="나쁨 2 2" xfId="106" xr:uid="{00000000-0005-0000-0000-000092000000}"/>
    <cellStyle name="나쁨 2 3" xfId="107" xr:uid="{00000000-0005-0000-0000-000093000000}"/>
    <cellStyle name="나쁨 3" xfId="108" xr:uid="{00000000-0005-0000-0000-000094000000}"/>
    <cellStyle name="메모 2" xfId="109" xr:uid="{00000000-0005-0000-0000-000095000000}"/>
    <cellStyle name="메모 2 2" xfId="110" xr:uid="{00000000-0005-0000-0000-000096000000}"/>
    <cellStyle name="메모 2 3" xfId="111" xr:uid="{00000000-0005-0000-0000-000097000000}"/>
    <cellStyle name="메모 3" xfId="112" xr:uid="{00000000-0005-0000-0000-000098000000}"/>
    <cellStyle name="메모 4" xfId="270" xr:uid="{00000000-0005-0000-0000-000099000000}"/>
    <cellStyle name="보통" xfId="236" builtinId="28" customBuiltin="1"/>
    <cellStyle name="보통 2" xfId="113" xr:uid="{00000000-0005-0000-0000-00009A000000}"/>
    <cellStyle name="보통 2 2" xfId="114" xr:uid="{00000000-0005-0000-0000-00009B000000}"/>
    <cellStyle name="보통 2 3" xfId="115" xr:uid="{00000000-0005-0000-0000-00009C000000}"/>
    <cellStyle name="보통 3" xfId="116" xr:uid="{00000000-0005-0000-0000-00009D000000}"/>
    <cellStyle name="설명 텍스트" xfId="243" builtinId="53" customBuiltin="1"/>
    <cellStyle name="설명 텍스트 2" xfId="117" xr:uid="{00000000-0005-0000-0000-00009E000000}"/>
    <cellStyle name="설명 텍스트 2 2" xfId="118" xr:uid="{00000000-0005-0000-0000-00009F000000}"/>
    <cellStyle name="설명 텍스트 2 3" xfId="119" xr:uid="{00000000-0005-0000-0000-0000A0000000}"/>
    <cellStyle name="설명 텍스트 3" xfId="120" xr:uid="{00000000-0005-0000-0000-0000A1000000}"/>
    <cellStyle name="셀 확인" xfId="241" builtinId="23" customBuiltin="1"/>
    <cellStyle name="셀 확인 2" xfId="121" xr:uid="{00000000-0005-0000-0000-0000A2000000}"/>
    <cellStyle name="셀 확인 2 2" xfId="122" xr:uid="{00000000-0005-0000-0000-0000A3000000}"/>
    <cellStyle name="셀 확인 2 3" xfId="123" xr:uid="{00000000-0005-0000-0000-0000A4000000}"/>
    <cellStyle name="셀 확인 3" xfId="124" xr:uid="{00000000-0005-0000-0000-0000A5000000}"/>
    <cellStyle name="쉼표 [0] 2" xfId="125" xr:uid="{00000000-0005-0000-0000-0000A6000000}"/>
    <cellStyle name="쉼표 [0] 3" xfId="126" xr:uid="{00000000-0005-0000-0000-0000A7000000}"/>
    <cellStyle name="쉼표 [0] 4" xfId="127" xr:uid="{00000000-0005-0000-0000-0000A8000000}"/>
    <cellStyle name="연결된 셀" xfId="240" builtinId="24" customBuiltin="1"/>
    <cellStyle name="연결된 셀 2" xfId="128" xr:uid="{00000000-0005-0000-0000-0000A9000000}"/>
    <cellStyle name="연결된 셀 2 2" xfId="129" xr:uid="{00000000-0005-0000-0000-0000AA000000}"/>
    <cellStyle name="연결된 셀 2 3" xfId="130" xr:uid="{00000000-0005-0000-0000-0000AB000000}"/>
    <cellStyle name="연결된 셀 3" xfId="131" xr:uid="{00000000-0005-0000-0000-0000AC000000}"/>
    <cellStyle name="요약" xfId="244" builtinId="25" customBuiltin="1"/>
    <cellStyle name="요약 2" xfId="132" xr:uid="{00000000-0005-0000-0000-0000AD000000}"/>
    <cellStyle name="요약 2 2" xfId="133" xr:uid="{00000000-0005-0000-0000-0000AE000000}"/>
    <cellStyle name="요약 2 3" xfId="134" xr:uid="{00000000-0005-0000-0000-0000AF000000}"/>
    <cellStyle name="요약 3" xfId="135" xr:uid="{00000000-0005-0000-0000-0000B0000000}"/>
    <cellStyle name="입력" xfId="237" builtinId="20" customBuiltin="1"/>
    <cellStyle name="입력 2" xfId="136" xr:uid="{00000000-0005-0000-0000-0000B1000000}"/>
    <cellStyle name="입력 2 2" xfId="137" xr:uid="{00000000-0005-0000-0000-0000B2000000}"/>
    <cellStyle name="입력 2 3" xfId="138" xr:uid="{00000000-0005-0000-0000-0000B3000000}"/>
    <cellStyle name="입력 3" xfId="139" xr:uid="{00000000-0005-0000-0000-0000B4000000}"/>
    <cellStyle name="제목" xfId="229" builtinId="15" customBuiltin="1"/>
    <cellStyle name="제목 1" xfId="230" builtinId="16" customBuiltin="1"/>
    <cellStyle name="제목 1 2" xfId="140" xr:uid="{00000000-0005-0000-0000-0000B5000000}"/>
    <cellStyle name="제목 1 2 2" xfId="141" xr:uid="{00000000-0005-0000-0000-0000B6000000}"/>
    <cellStyle name="제목 1 2 3" xfId="142" xr:uid="{00000000-0005-0000-0000-0000B7000000}"/>
    <cellStyle name="제목 1 3" xfId="143" xr:uid="{00000000-0005-0000-0000-0000B8000000}"/>
    <cellStyle name="제목 2" xfId="231" builtinId="17" customBuiltin="1"/>
    <cellStyle name="제목 2 2" xfId="144" xr:uid="{00000000-0005-0000-0000-0000B9000000}"/>
    <cellStyle name="제목 2 2 2" xfId="145" xr:uid="{00000000-0005-0000-0000-0000BA000000}"/>
    <cellStyle name="제목 2 2 3" xfId="146" xr:uid="{00000000-0005-0000-0000-0000BB000000}"/>
    <cellStyle name="제목 2 3" xfId="147" xr:uid="{00000000-0005-0000-0000-0000BC000000}"/>
    <cellStyle name="제목 3" xfId="232" builtinId="18" customBuiltin="1"/>
    <cellStyle name="제목 3 2" xfId="148" xr:uid="{00000000-0005-0000-0000-0000BD000000}"/>
    <cellStyle name="제목 3 2 2" xfId="149" xr:uid="{00000000-0005-0000-0000-0000BE000000}"/>
    <cellStyle name="제목 3 2 3" xfId="150" xr:uid="{00000000-0005-0000-0000-0000BF000000}"/>
    <cellStyle name="제목 3 3" xfId="151" xr:uid="{00000000-0005-0000-0000-0000C0000000}"/>
    <cellStyle name="제목 4" xfId="233" builtinId="19" customBuiltin="1"/>
    <cellStyle name="제목 4 2" xfId="152" xr:uid="{00000000-0005-0000-0000-0000C1000000}"/>
    <cellStyle name="제목 4 2 2" xfId="153" xr:uid="{00000000-0005-0000-0000-0000C2000000}"/>
    <cellStyle name="제목 4 2 3" xfId="154" xr:uid="{00000000-0005-0000-0000-0000C3000000}"/>
    <cellStyle name="제목 4 3" xfId="155" xr:uid="{00000000-0005-0000-0000-0000C4000000}"/>
    <cellStyle name="제목 5" xfId="156" xr:uid="{00000000-0005-0000-0000-0000C5000000}"/>
    <cellStyle name="제목 6" xfId="157" xr:uid="{00000000-0005-0000-0000-0000C6000000}"/>
    <cellStyle name="좋음" xfId="234" builtinId="26" customBuiltin="1"/>
    <cellStyle name="좋음 2" xfId="158" xr:uid="{00000000-0005-0000-0000-0000C7000000}"/>
    <cellStyle name="좋음 2 2" xfId="159" xr:uid="{00000000-0005-0000-0000-0000C8000000}"/>
    <cellStyle name="좋음 2 3" xfId="160" xr:uid="{00000000-0005-0000-0000-0000C9000000}"/>
    <cellStyle name="좋음 3" xfId="161" xr:uid="{00000000-0005-0000-0000-0000CA000000}"/>
    <cellStyle name="출력" xfId="238" builtinId="21" customBuiltin="1"/>
    <cellStyle name="출력 2" xfId="162" xr:uid="{00000000-0005-0000-0000-0000CB000000}"/>
    <cellStyle name="출력 2 2" xfId="163" xr:uid="{00000000-0005-0000-0000-0000CC000000}"/>
    <cellStyle name="출력 2 3" xfId="164" xr:uid="{00000000-0005-0000-0000-0000CD000000}"/>
    <cellStyle name="출력 3" xfId="165" xr:uid="{00000000-0005-0000-0000-0000CE000000}"/>
    <cellStyle name="표준" xfId="0" builtinId="0"/>
    <cellStyle name="표준 175" xfId="166" xr:uid="{00000000-0005-0000-0000-0000CF000000}"/>
    <cellStyle name="표준 175 2" xfId="167" xr:uid="{00000000-0005-0000-0000-0000D0000000}"/>
    <cellStyle name="표준 2" xfId="168" xr:uid="{00000000-0005-0000-0000-0000D1000000}"/>
    <cellStyle name="표준 2 10" xfId="169" xr:uid="{00000000-0005-0000-0000-0000D2000000}"/>
    <cellStyle name="표준 2 11" xfId="170" xr:uid="{00000000-0005-0000-0000-0000D3000000}"/>
    <cellStyle name="표준 2 12" xfId="171" xr:uid="{00000000-0005-0000-0000-0000D4000000}"/>
    <cellStyle name="표준 2 13" xfId="172" xr:uid="{00000000-0005-0000-0000-0000D5000000}"/>
    <cellStyle name="표준 2 14" xfId="173" xr:uid="{00000000-0005-0000-0000-0000D6000000}"/>
    <cellStyle name="표준 2 15" xfId="174" xr:uid="{00000000-0005-0000-0000-0000D7000000}"/>
    <cellStyle name="표준 2 16" xfId="175" xr:uid="{00000000-0005-0000-0000-0000D8000000}"/>
    <cellStyle name="표준 2 17" xfId="176" xr:uid="{00000000-0005-0000-0000-0000D9000000}"/>
    <cellStyle name="표준 2 18" xfId="177" xr:uid="{00000000-0005-0000-0000-0000DA000000}"/>
    <cellStyle name="표준 2 19" xfId="178" xr:uid="{00000000-0005-0000-0000-0000DB000000}"/>
    <cellStyle name="표준 2 2" xfId="179" xr:uid="{00000000-0005-0000-0000-0000DC000000}"/>
    <cellStyle name="표준 2 20" xfId="180" xr:uid="{00000000-0005-0000-0000-0000DD000000}"/>
    <cellStyle name="표준 2 21" xfId="181" xr:uid="{00000000-0005-0000-0000-0000DE000000}"/>
    <cellStyle name="표준 2 22" xfId="182" xr:uid="{00000000-0005-0000-0000-0000DF000000}"/>
    <cellStyle name="표준 2 23" xfId="183" xr:uid="{00000000-0005-0000-0000-0000E0000000}"/>
    <cellStyle name="표준 2 24" xfId="184" xr:uid="{00000000-0005-0000-0000-0000E1000000}"/>
    <cellStyle name="표준 2 25" xfId="185" xr:uid="{00000000-0005-0000-0000-0000E2000000}"/>
    <cellStyle name="표준 2 26" xfId="186" xr:uid="{00000000-0005-0000-0000-0000E3000000}"/>
    <cellStyle name="표준 2 27" xfId="187" xr:uid="{00000000-0005-0000-0000-0000E4000000}"/>
    <cellStyle name="표준 2 28" xfId="188" xr:uid="{00000000-0005-0000-0000-0000E5000000}"/>
    <cellStyle name="표준 2 29" xfId="189" xr:uid="{00000000-0005-0000-0000-0000E6000000}"/>
    <cellStyle name="표준 2 3" xfId="190" xr:uid="{00000000-0005-0000-0000-0000E7000000}"/>
    <cellStyle name="표준 2 30" xfId="191" xr:uid="{00000000-0005-0000-0000-0000E8000000}"/>
    <cellStyle name="표준 2 31" xfId="192" xr:uid="{00000000-0005-0000-0000-0000E9000000}"/>
    <cellStyle name="표준 2 32" xfId="193" xr:uid="{00000000-0005-0000-0000-0000EA000000}"/>
    <cellStyle name="표준 2 33" xfId="194" xr:uid="{00000000-0005-0000-0000-0000EB000000}"/>
    <cellStyle name="표준 2 34" xfId="195" xr:uid="{00000000-0005-0000-0000-0000EC000000}"/>
    <cellStyle name="표준 2 35" xfId="196" xr:uid="{00000000-0005-0000-0000-0000ED000000}"/>
    <cellStyle name="표준 2 4" xfId="197" xr:uid="{00000000-0005-0000-0000-0000EE000000}"/>
    <cellStyle name="표준 2 5" xfId="198" xr:uid="{00000000-0005-0000-0000-0000EF000000}"/>
    <cellStyle name="표준 2 6" xfId="199" xr:uid="{00000000-0005-0000-0000-0000F0000000}"/>
    <cellStyle name="표준 2 7" xfId="200" xr:uid="{00000000-0005-0000-0000-0000F1000000}"/>
    <cellStyle name="표준 2 8" xfId="201" xr:uid="{00000000-0005-0000-0000-0000F2000000}"/>
    <cellStyle name="표준 2 9" xfId="202" xr:uid="{00000000-0005-0000-0000-0000F3000000}"/>
    <cellStyle name="표준 236" xfId="203" xr:uid="{00000000-0005-0000-0000-0000F4000000}"/>
    <cellStyle name="표준 237" xfId="204" xr:uid="{00000000-0005-0000-0000-0000F5000000}"/>
    <cellStyle name="표준 3" xfId="205" xr:uid="{00000000-0005-0000-0000-0000F6000000}"/>
    <cellStyle name="표준 3 10" xfId="206" xr:uid="{00000000-0005-0000-0000-0000F7000000}"/>
    <cellStyle name="표준 3 11" xfId="207" xr:uid="{00000000-0005-0000-0000-0000F8000000}"/>
    <cellStyle name="표준 3 12" xfId="208" xr:uid="{00000000-0005-0000-0000-0000F9000000}"/>
    <cellStyle name="표준 3 13" xfId="209" xr:uid="{00000000-0005-0000-0000-0000FA000000}"/>
    <cellStyle name="표준 3 14" xfId="210" xr:uid="{00000000-0005-0000-0000-0000FB000000}"/>
    <cellStyle name="표준 3 15" xfId="211" xr:uid="{00000000-0005-0000-0000-0000FC000000}"/>
    <cellStyle name="표준 3 2" xfId="212" xr:uid="{00000000-0005-0000-0000-0000FD000000}"/>
    <cellStyle name="표준 3 3" xfId="213" xr:uid="{00000000-0005-0000-0000-0000FE000000}"/>
    <cellStyle name="표준 3 4" xfId="214" xr:uid="{00000000-0005-0000-0000-0000FF000000}"/>
    <cellStyle name="표준 3 5" xfId="215" xr:uid="{00000000-0005-0000-0000-000000010000}"/>
    <cellStyle name="표준 3 6" xfId="216" xr:uid="{00000000-0005-0000-0000-000001010000}"/>
    <cellStyle name="표준 3 7" xfId="217" xr:uid="{00000000-0005-0000-0000-000002010000}"/>
    <cellStyle name="표준 3 8" xfId="218" xr:uid="{00000000-0005-0000-0000-000003010000}"/>
    <cellStyle name="표준 3 9" xfId="219" xr:uid="{00000000-0005-0000-0000-000004010000}"/>
    <cellStyle name="표준 4" xfId="220" xr:uid="{00000000-0005-0000-0000-000005010000}"/>
    <cellStyle name="표준 4 3" xfId="221" xr:uid="{00000000-0005-0000-0000-000006010000}"/>
    <cellStyle name="표준 5" xfId="222" xr:uid="{00000000-0005-0000-0000-000007010000}"/>
    <cellStyle name="표준 5 2" xfId="223" xr:uid="{00000000-0005-0000-0000-000008010000}"/>
    <cellStyle name="표준 6" xfId="224" xr:uid="{00000000-0005-0000-0000-000009010000}"/>
    <cellStyle name="표준 6 2" xfId="225" xr:uid="{00000000-0005-0000-0000-00000A010000}"/>
    <cellStyle name="표준 6 3" xfId="227" xr:uid="{00000000-0005-0000-0000-00000B010000}"/>
    <cellStyle name="표준 6 4" xfId="228" xr:uid="{00000000-0005-0000-0000-00000C010000}"/>
    <cellStyle name="표준 6 5" xfId="271" xr:uid="{00000000-0005-0000-0000-00000D010000}"/>
    <cellStyle name="표준 6 5 2" xfId="272" xr:uid="{00000000-0005-0000-0000-00000E010000}"/>
    <cellStyle name="표준 7" xfId="226" xr:uid="{00000000-0005-0000-0000-00000F010000}"/>
    <cellStyle name="표준 8" xfId="269" xr:uid="{00000000-0005-0000-0000-000010010000}"/>
  </cellStyles>
  <dxfs count="44">
    <dxf>
      <font>
        <color theme="0"/>
      </font>
      <fill>
        <patternFill>
          <bgColor rgb="FF0000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  <fill>
        <patternFill>
          <bgColor rgb="FF0000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33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>
          <bgColor rgb="FF803D06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FF"/>
        </patternFill>
      </fill>
    </dxf>
    <dxf>
      <font>
        <color theme="1"/>
      </font>
      <fill>
        <patternFill>
          <bgColor rgb="FFB218B2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bgColor rgb="FF0000FF"/>
        </patternFill>
      </fill>
    </dxf>
  </dxfs>
  <tableStyles count="0" defaultTableStyle="TableStyleMedium9" defaultPivotStyle="PivotStyleLight16"/>
  <colors>
    <mruColors>
      <color rgb="FF0000FF"/>
      <color rgb="FFFF3300"/>
      <color rgb="FFB218B2"/>
      <color rgb="FFFF99CC"/>
      <color rgb="FF803D06"/>
      <color rgb="FF0000CC"/>
      <color rgb="FF000000"/>
      <color rgb="FF00FF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32</xdr:row>
      <xdr:rowOff>22860</xdr:rowOff>
    </xdr:from>
    <xdr:to>
      <xdr:col>13</xdr:col>
      <xdr:colOff>214572</xdr:colOff>
      <xdr:row>32</xdr:row>
      <xdr:rowOff>165404</xdr:rowOff>
    </xdr:to>
    <xdr:sp macro="" textlink="">
      <xdr:nvSpPr>
        <xdr:cNvPr id="2" name="타원 3">
          <a:extLst>
            <a:ext uri="{FF2B5EF4-FFF2-40B4-BE49-F238E27FC236}">
              <a16:creationId xmlns:a16="http://schemas.microsoft.com/office/drawing/2014/main" id="{0ADF864F-90A8-49AD-9559-33B0D83AB7DD}"/>
            </a:ext>
          </a:extLst>
        </xdr:cNvPr>
        <xdr:cNvSpPr/>
      </xdr:nvSpPr>
      <xdr:spPr>
        <a:xfrm>
          <a:off x="8810625" y="7305675"/>
          <a:ext cx="134562" cy="150164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138372</xdr:colOff>
      <xdr:row>31</xdr:row>
      <xdr:rowOff>142544</xdr:rowOff>
    </xdr:to>
    <xdr:sp macro="" textlink="">
      <xdr:nvSpPr>
        <xdr:cNvPr id="3" name="타원 3">
          <a:extLst>
            <a:ext uri="{FF2B5EF4-FFF2-40B4-BE49-F238E27FC236}">
              <a16:creationId xmlns:a16="http://schemas.microsoft.com/office/drawing/2014/main" id="{0195E3E4-AB1C-4644-8166-CBA3CBFBADA3}"/>
            </a:ext>
          </a:extLst>
        </xdr:cNvPr>
        <xdr:cNvSpPr/>
      </xdr:nvSpPr>
      <xdr:spPr>
        <a:xfrm>
          <a:off x="7486650" y="7067550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138372</xdr:colOff>
      <xdr:row>42</xdr:row>
      <xdr:rowOff>142544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14090874-8E62-4D00-8593-B314B28331F4}"/>
            </a:ext>
          </a:extLst>
        </xdr:cNvPr>
        <xdr:cNvSpPr/>
      </xdr:nvSpPr>
      <xdr:spPr>
        <a:xfrm>
          <a:off x="8734425" y="9696450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138372</xdr:colOff>
      <xdr:row>42</xdr:row>
      <xdr:rowOff>142544</xdr:rowOff>
    </xdr:to>
    <xdr:sp macro="" textlink="">
      <xdr:nvSpPr>
        <xdr:cNvPr id="5" name="타원 3">
          <a:extLst>
            <a:ext uri="{FF2B5EF4-FFF2-40B4-BE49-F238E27FC236}">
              <a16:creationId xmlns:a16="http://schemas.microsoft.com/office/drawing/2014/main" id="{63A37C6E-8D47-402C-AA13-005B3EE372C5}"/>
            </a:ext>
          </a:extLst>
        </xdr:cNvPr>
        <xdr:cNvSpPr/>
      </xdr:nvSpPr>
      <xdr:spPr>
        <a:xfrm>
          <a:off x="7486650" y="9696450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38</xdr:row>
      <xdr:rowOff>0</xdr:rowOff>
    </xdr:from>
    <xdr:to>
      <xdr:col>12</xdr:col>
      <xdr:colOff>138372</xdr:colOff>
      <xdr:row>38</xdr:row>
      <xdr:rowOff>142544</xdr:rowOff>
    </xdr:to>
    <xdr:sp macro="" textlink="">
      <xdr:nvSpPr>
        <xdr:cNvPr id="6" name="타원 3">
          <a:extLst>
            <a:ext uri="{FF2B5EF4-FFF2-40B4-BE49-F238E27FC236}">
              <a16:creationId xmlns:a16="http://schemas.microsoft.com/office/drawing/2014/main" id="{356F33D8-5348-4DB2-9A99-E804F2C38C57}"/>
            </a:ext>
          </a:extLst>
        </xdr:cNvPr>
        <xdr:cNvSpPr/>
      </xdr:nvSpPr>
      <xdr:spPr>
        <a:xfrm>
          <a:off x="7486650" y="9039225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37</xdr:row>
      <xdr:rowOff>0</xdr:rowOff>
    </xdr:from>
    <xdr:to>
      <xdr:col>13</xdr:col>
      <xdr:colOff>138372</xdr:colOff>
      <xdr:row>37</xdr:row>
      <xdr:rowOff>142544</xdr:rowOff>
    </xdr:to>
    <xdr:sp macro="" textlink="">
      <xdr:nvSpPr>
        <xdr:cNvPr id="9" name="타원 3">
          <a:extLst>
            <a:ext uri="{FF2B5EF4-FFF2-40B4-BE49-F238E27FC236}">
              <a16:creationId xmlns:a16="http://schemas.microsoft.com/office/drawing/2014/main" id="{0CC6775C-D473-4E98-B28D-F52F1603CA02}"/>
            </a:ext>
          </a:extLst>
        </xdr:cNvPr>
        <xdr:cNvSpPr/>
      </xdr:nvSpPr>
      <xdr:spPr>
        <a:xfrm>
          <a:off x="8734425" y="8820150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48</xdr:row>
      <xdr:rowOff>0</xdr:rowOff>
    </xdr:from>
    <xdr:to>
      <xdr:col>12</xdr:col>
      <xdr:colOff>138372</xdr:colOff>
      <xdr:row>48</xdr:row>
      <xdr:rowOff>142544</xdr:rowOff>
    </xdr:to>
    <xdr:sp macro="" textlink="">
      <xdr:nvSpPr>
        <xdr:cNvPr id="10" name="타원 3">
          <a:extLst>
            <a:ext uri="{FF2B5EF4-FFF2-40B4-BE49-F238E27FC236}">
              <a16:creationId xmlns:a16="http://schemas.microsoft.com/office/drawing/2014/main" id="{7C635BBC-A8F2-499A-9D64-7B69E7834CA4}"/>
            </a:ext>
          </a:extLst>
        </xdr:cNvPr>
        <xdr:cNvSpPr/>
      </xdr:nvSpPr>
      <xdr:spPr>
        <a:xfrm>
          <a:off x="7486650" y="11010900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53</xdr:row>
      <xdr:rowOff>0</xdr:rowOff>
    </xdr:from>
    <xdr:to>
      <xdr:col>12</xdr:col>
      <xdr:colOff>138372</xdr:colOff>
      <xdr:row>53</xdr:row>
      <xdr:rowOff>142544</xdr:rowOff>
    </xdr:to>
    <xdr:sp macro="" textlink="">
      <xdr:nvSpPr>
        <xdr:cNvPr id="11" name="타원 3">
          <a:extLst>
            <a:ext uri="{FF2B5EF4-FFF2-40B4-BE49-F238E27FC236}">
              <a16:creationId xmlns:a16="http://schemas.microsoft.com/office/drawing/2014/main" id="{33FFBECC-749C-4BC0-A944-24B8002639C5}"/>
            </a:ext>
          </a:extLst>
        </xdr:cNvPr>
        <xdr:cNvSpPr/>
      </xdr:nvSpPr>
      <xdr:spPr>
        <a:xfrm>
          <a:off x="7486650" y="12106275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12</xdr:col>
      <xdr:colOff>138372</xdr:colOff>
      <xdr:row>56</xdr:row>
      <xdr:rowOff>142544</xdr:rowOff>
    </xdr:to>
    <xdr:sp macro="" textlink="">
      <xdr:nvSpPr>
        <xdr:cNvPr id="12" name="타원 3">
          <a:extLst>
            <a:ext uri="{FF2B5EF4-FFF2-40B4-BE49-F238E27FC236}">
              <a16:creationId xmlns:a16="http://schemas.microsoft.com/office/drawing/2014/main" id="{6C54A48A-A155-41EB-B83A-6FE4AA2EB74A}"/>
            </a:ext>
          </a:extLst>
        </xdr:cNvPr>
        <xdr:cNvSpPr/>
      </xdr:nvSpPr>
      <xdr:spPr>
        <a:xfrm>
          <a:off x="7486650" y="12763500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61</xdr:row>
      <xdr:rowOff>0</xdr:rowOff>
    </xdr:from>
    <xdr:to>
      <xdr:col>12</xdr:col>
      <xdr:colOff>138372</xdr:colOff>
      <xdr:row>61</xdr:row>
      <xdr:rowOff>142544</xdr:rowOff>
    </xdr:to>
    <xdr:sp macro="" textlink="">
      <xdr:nvSpPr>
        <xdr:cNvPr id="13" name="타원 3">
          <a:extLst>
            <a:ext uri="{FF2B5EF4-FFF2-40B4-BE49-F238E27FC236}">
              <a16:creationId xmlns:a16="http://schemas.microsoft.com/office/drawing/2014/main" id="{4B1D3A60-3C92-40B8-BCCD-60FDBF535184}"/>
            </a:ext>
          </a:extLst>
        </xdr:cNvPr>
        <xdr:cNvSpPr/>
      </xdr:nvSpPr>
      <xdr:spPr>
        <a:xfrm>
          <a:off x="7486650" y="13858875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53</xdr:row>
      <xdr:rowOff>0</xdr:rowOff>
    </xdr:from>
    <xdr:to>
      <xdr:col>13</xdr:col>
      <xdr:colOff>138372</xdr:colOff>
      <xdr:row>53</xdr:row>
      <xdr:rowOff>142544</xdr:rowOff>
    </xdr:to>
    <xdr:sp macro="" textlink="">
      <xdr:nvSpPr>
        <xdr:cNvPr id="14" name="타원 3">
          <a:extLst>
            <a:ext uri="{FF2B5EF4-FFF2-40B4-BE49-F238E27FC236}">
              <a16:creationId xmlns:a16="http://schemas.microsoft.com/office/drawing/2014/main" id="{F47A1314-92BA-4973-B0C7-F7057BD0DD92}"/>
            </a:ext>
          </a:extLst>
        </xdr:cNvPr>
        <xdr:cNvSpPr/>
      </xdr:nvSpPr>
      <xdr:spPr>
        <a:xfrm>
          <a:off x="8734425" y="12106275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138372</xdr:colOff>
      <xdr:row>48</xdr:row>
      <xdr:rowOff>142544</xdr:rowOff>
    </xdr:to>
    <xdr:sp macro="" textlink="">
      <xdr:nvSpPr>
        <xdr:cNvPr id="15" name="타원 3">
          <a:extLst>
            <a:ext uri="{FF2B5EF4-FFF2-40B4-BE49-F238E27FC236}">
              <a16:creationId xmlns:a16="http://schemas.microsoft.com/office/drawing/2014/main" id="{C2819CA4-53DE-413F-8F1F-2B20549357CA}"/>
            </a:ext>
          </a:extLst>
        </xdr:cNvPr>
        <xdr:cNvSpPr/>
      </xdr:nvSpPr>
      <xdr:spPr>
        <a:xfrm>
          <a:off x="8734425" y="11010900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15240</xdr:colOff>
      <xdr:row>60</xdr:row>
      <xdr:rowOff>7620</xdr:rowOff>
    </xdr:from>
    <xdr:to>
      <xdr:col>13</xdr:col>
      <xdr:colOff>153612</xdr:colOff>
      <xdr:row>60</xdr:row>
      <xdr:rowOff>150164</xdr:rowOff>
    </xdr:to>
    <xdr:sp macro="" textlink="">
      <xdr:nvSpPr>
        <xdr:cNvPr id="16" name="타원 3">
          <a:extLst>
            <a:ext uri="{FF2B5EF4-FFF2-40B4-BE49-F238E27FC236}">
              <a16:creationId xmlns:a16="http://schemas.microsoft.com/office/drawing/2014/main" id="{2A3EC20E-E941-408C-AD3A-DA07E25E9F09}"/>
            </a:ext>
          </a:extLst>
        </xdr:cNvPr>
        <xdr:cNvSpPr/>
      </xdr:nvSpPr>
      <xdr:spPr>
        <a:xfrm>
          <a:off x="7879080" y="13479780"/>
          <a:ext cx="138372" cy="142544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15240</xdr:colOff>
      <xdr:row>61</xdr:row>
      <xdr:rowOff>7620</xdr:rowOff>
    </xdr:from>
    <xdr:to>
      <xdr:col>13</xdr:col>
      <xdr:colOff>153612</xdr:colOff>
      <xdr:row>61</xdr:row>
      <xdr:rowOff>150164</xdr:rowOff>
    </xdr:to>
    <xdr:sp macro="" textlink="">
      <xdr:nvSpPr>
        <xdr:cNvPr id="17" name="타원 3">
          <a:extLst>
            <a:ext uri="{FF2B5EF4-FFF2-40B4-BE49-F238E27FC236}">
              <a16:creationId xmlns:a16="http://schemas.microsoft.com/office/drawing/2014/main" id="{BD6BF938-E4BD-4AE6-A768-3B5F4BB220EE}"/>
            </a:ext>
          </a:extLst>
        </xdr:cNvPr>
        <xdr:cNvSpPr/>
      </xdr:nvSpPr>
      <xdr:spPr>
        <a:xfrm>
          <a:off x="7879080" y="13700760"/>
          <a:ext cx="138372" cy="142544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138372</xdr:colOff>
      <xdr:row>75</xdr:row>
      <xdr:rowOff>142544</xdr:rowOff>
    </xdr:to>
    <xdr:sp macro="" textlink="">
      <xdr:nvSpPr>
        <xdr:cNvPr id="18" name="타원 3">
          <a:extLst>
            <a:ext uri="{FF2B5EF4-FFF2-40B4-BE49-F238E27FC236}">
              <a16:creationId xmlns:a16="http://schemas.microsoft.com/office/drawing/2014/main" id="{4BDA4C76-D8B0-41AB-A50F-06A85C7F8E8C}"/>
            </a:ext>
          </a:extLst>
        </xdr:cNvPr>
        <xdr:cNvSpPr/>
      </xdr:nvSpPr>
      <xdr:spPr>
        <a:xfrm>
          <a:off x="7486650" y="16487775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12</xdr:col>
      <xdr:colOff>138372</xdr:colOff>
      <xdr:row>78</xdr:row>
      <xdr:rowOff>142544</xdr:rowOff>
    </xdr:to>
    <xdr:sp macro="" textlink="">
      <xdr:nvSpPr>
        <xdr:cNvPr id="19" name="타원 3">
          <a:extLst>
            <a:ext uri="{FF2B5EF4-FFF2-40B4-BE49-F238E27FC236}">
              <a16:creationId xmlns:a16="http://schemas.microsoft.com/office/drawing/2014/main" id="{47220E32-DAF1-4D37-8A25-FBF1CE0D1090}"/>
            </a:ext>
          </a:extLst>
        </xdr:cNvPr>
        <xdr:cNvSpPr/>
      </xdr:nvSpPr>
      <xdr:spPr>
        <a:xfrm>
          <a:off x="7486650" y="17145000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22860</xdr:colOff>
      <xdr:row>69</xdr:row>
      <xdr:rowOff>22860</xdr:rowOff>
    </xdr:from>
    <xdr:to>
      <xdr:col>12</xdr:col>
      <xdr:colOff>161232</xdr:colOff>
      <xdr:row>69</xdr:row>
      <xdr:rowOff>165404</xdr:rowOff>
    </xdr:to>
    <xdr:sp macro="" textlink="">
      <xdr:nvSpPr>
        <xdr:cNvPr id="20" name="타원 3">
          <a:extLst>
            <a:ext uri="{FF2B5EF4-FFF2-40B4-BE49-F238E27FC236}">
              <a16:creationId xmlns:a16="http://schemas.microsoft.com/office/drawing/2014/main" id="{42130C50-16D2-4F9A-AA6F-A0D9095422AA}"/>
            </a:ext>
          </a:extLst>
        </xdr:cNvPr>
        <xdr:cNvSpPr/>
      </xdr:nvSpPr>
      <xdr:spPr>
        <a:xfrm>
          <a:off x="6758940" y="15483840"/>
          <a:ext cx="138372" cy="142544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79</xdr:row>
      <xdr:rowOff>0</xdr:rowOff>
    </xdr:from>
    <xdr:to>
      <xdr:col>12</xdr:col>
      <xdr:colOff>138372</xdr:colOff>
      <xdr:row>79</xdr:row>
      <xdr:rowOff>142544</xdr:rowOff>
    </xdr:to>
    <xdr:sp macro="" textlink="">
      <xdr:nvSpPr>
        <xdr:cNvPr id="21" name="타원 3">
          <a:extLst>
            <a:ext uri="{FF2B5EF4-FFF2-40B4-BE49-F238E27FC236}">
              <a16:creationId xmlns:a16="http://schemas.microsoft.com/office/drawing/2014/main" id="{21C334BF-FE84-4620-B6A4-D9B0467F1CC3}"/>
            </a:ext>
          </a:extLst>
        </xdr:cNvPr>
        <xdr:cNvSpPr/>
      </xdr:nvSpPr>
      <xdr:spPr>
        <a:xfrm>
          <a:off x="7486650" y="17364075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138372</xdr:colOff>
      <xdr:row>75</xdr:row>
      <xdr:rowOff>142544</xdr:rowOff>
    </xdr:to>
    <xdr:sp macro="" textlink="">
      <xdr:nvSpPr>
        <xdr:cNvPr id="22" name="타원 3">
          <a:extLst>
            <a:ext uri="{FF2B5EF4-FFF2-40B4-BE49-F238E27FC236}">
              <a16:creationId xmlns:a16="http://schemas.microsoft.com/office/drawing/2014/main" id="{97C78C03-C2B7-4A42-937F-D3D4A8DF7D10}"/>
            </a:ext>
          </a:extLst>
        </xdr:cNvPr>
        <xdr:cNvSpPr/>
      </xdr:nvSpPr>
      <xdr:spPr>
        <a:xfrm>
          <a:off x="8734425" y="16487775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78</xdr:row>
      <xdr:rowOff>0</xdr:rowOff>
    </xdr:from>
    <xdr:to>
      <xdr:col>13</xdr:col>
      <xdr:colOff>138372</xdr:colOff>
      <xdr:row>78</xdr:row>
      <xdr:rowOff>142544</xdr:rowOff>
    </xdr:to>
    <xdr:sp macro="" textlink="">
      <xdr:nvSpPr>
        <xdr:cNvPr id="23" name="타원 3">
          <a:extLst>
            <a:ext uri="{FF2B5EF4-FFF2-40B4-BE49-F238E27FC236}">
              <a16:creationId xmlns:a16="http://schemas.microsoft.com/office/drawing/2014/main" id="{B0C52175-DD00-4297-9E33-21A180828DA3}"/>
            </a:ext>
          </a:extLst>
        </xdr:cNvPr>
        <xdr:cNvSpPr/>
      </xdr:nvSpPr>
      <xdr:spPr>
        <a:xfrm>
          <a:off x="8734425" y="17145000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81</xdr:row>
      <xdr:rowOff>0</xdr:rowOff>
    </xdr:from>
    <xdr:to>
      <xdr:col>13</xdr:col>
      <xdr:colOff>138372</xdr:colOff>
      <xdr:row>81</xdr:row>
      <xdr:rowOff>142544</xdr:rowOff>
    </xdr:to>
    <xdr:sp macro="" textlink="">
      <xdr:nvSpPr>
        <xdr:cNvPr id="24" name="타원 3">
          <a:extLst>
            <a:ext uri="{FF2B5EF4-FFF2-40B4-BE49-F238E27FC236}">
              <a16:creationId xmlns:a16="http://schemas.microsoft.com/office/drawing/2014/main" id="{49364F46-8F91-4BEB-A512-EE994D2D18CC}"/>
            </a:ext>
          </a:extLst>
        </xdr:cNvPr>
        <xdr:cNvSpPr/>
      </xdr:nvSpPr>
      <xdr:spPr>
        <a:xfrm>
          <a:off x="8734425" y="17802225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138372</xdr:colOff>
      <xdr:row>70</xdr:row>
      <xdr:rowOff>142544</xdr:rowOff>
    </xdr:to>
    <xdr:sp macro="" textlink="">
      <xdr:nvSpPr>
        <xdr:cNvPr id="25" name="타원 3">
          <a:extLst>
            <a:ext uri="{FF2B5EF4-FFF2-40B4-BE49-F238E27FC236}">
              <a16:creationId xmlns:a16="http://schemas.microsoft.com/office/drawing/2014/main" id="{C142FFAA-F0AF-442D-A7EE-AB3E119D0758}"/>
            </a:ext>
          </a:extLst>
        </xdr:cNvPr>
        <xdr:cNvSpPr/>
      </xdr:nvSpPr>
      <xdr:spPr>
        <a:xfrm>
          <a:off x="8734425" y="18240375"/>
          <a:ext cx="134562" cy="140639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37</xdr:row>
      <xdr:rowOff>0</xdr:rowOff>
    </xdr:from>
    <xdr:to>
      <xdr:col>13</xdr:col>
      <xdr:colOff>138372</xdr:colOff>
      <xdr:row>37</xdr:row>
      <xdr:rowOff>142544</xdr:rowOff>
    </xdr:to>
    <xdr:sp macro="" textlink="">
      <xdr:nvSpPr>
        <xdr:cNvPr id="7" name="타원 3">
          <a:extLst>
            <a:ext uri="{FF2B5EF4-FFF2-40B4-BE49-F238E27FC236}">
              <a16:creationId xmlns:a16="http://schemas.microsoft.com/office/drawing/2014/main" id="{952059E3-7A97-4705-8E1C-399398155B5C}"/>
            </a:ext>
          </a:extLst>
        </xdr:cNvPr>
        <xdr:cNvSpPr/>
      </xdr:nvSpPr>
      <xdr:spPr>
        <a:xfrm>
          <a:off x="8758518" y="8417859"/>
          <a:ext cx="138372" cy="142544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1456;&#48276;\Desktop\Bom%20Create_SPL%20&#50577;&#49885;_250304.xlsx" TargetMode="External"/><Relationship Id="rId1" Type="http://schemas.openxmlformats.org/officeDocument/2006/relationships/externalLinkPath" Target="file:///C:\Users\&#44608;&#51456;&#48276;\Desktop\Bom%20Create_SPL%20&#50577;&#49885;_2503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lim\OneDrive\&#48148;&#53461;%20&#54868;&#47732;\&#50724;&#48124;&#49345;\250704_&#52408;&#45208;&#51060;%20&#51060;&#44288;%20&#44288;&#47144;%20&#51089;&#50629;&#51648;&#46020;&#49436;%20&#51089;&#49457;_&#54028;&#53944;&#51109;&#45784;%20&#51648;&#49884;&#49324;&#54637;\&#51208;&#50517;_DC93-01086A,C_250708.xlsx" TargetMode="External"/><Relationship Id="rId1" Type="http://schemas.openxmlformats.org/officeDocument/2006/relationships/externalLinkPath" Target="file:///C:\Users\selim\OneDrive\&#48148;&#53461;%20&#54868;&#47732;\&#50724;&#48124;&#49345;\250704_&#52408;&#45208;&#51060;%20&#51060;&#44288;%20&#44288;&#47144;%20&#51089;&#50629;&#51648;&#46020;&#49436;%20&#51089;&#49457;_&#54028;&#53944;&#51109;&#45784;%20&#51648;&#49884;&#49324;&#54637;\&#51208;&#50517;_DC93-01086A,C_2507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절압지도서"/>
      <sheetName val="자재리스트"/>
      <sheetName val="변경"/>
      <sheetName val="정리"/>
      <sheetName val="자코드"/>
      <sheetName val="자재리스트(역전개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G1">
            <v>7</v>
          </cell>
          <cell r="H1">
            <v>8</v>
          </cell>
        </row>
        <row r="2">
          <cell r="G2" t="str">
            <v>품명</v>
          </cell>
          <cell r="H2" t="str">
            <v>자코드</v>
          </cell>
        </row>
        <row r="3">
          <cell r="F3" t="str">
            <v>110x85 LABEL</v>
          </cell>
          <cell r="G3" t="str">
            <v>BAR CODE LABEL</v>
          </cell>
          <cell r="H3" t="str">
            <v>ZZZZZ-0038</v>
          </cell>
        </row>
        <row r="4">
          <cell r="F4" t="str">
            <v>PP-W-90mm</v>
          </cell>
          <cell r="G4" t="str">
            <v>SR BAND</v>
          </cell>
          <cell r="H4" t="str">
            <v>ZZZZZ-0037</v>
          </cell>
        </row>
        <row r="5">
          <cell r="F5" t="str">
            <v>Resin RIBBON</v>
          </cell>
          <cell r="G5" t="str">
            <v>Resin RIBBON</v>
          </cell>
          <cell r="H5" t="str">
            <v>ZZZZZ-0034</v>
          </cell>
        </row>
        <row r="6">
          <cell r="F6" t="str">
            <v>S/Y BAND</v>
          </cell>
          <cell r="G6" t="str">
            <v>SR BAND</v>
          </cell>
          <cell r="H6" t="str">
            <v>ZZZZZ-0025</v>
          </cell>
        </row>
        <row r="7">
          <cell r="F7" t="str">
            <v>S/Y BAND</v>
          </cell>
          <cell r="G7" t="str">
            <v>SR BAND</v>
          </cell>
          <cell r="H7" t="str">
            <v>ZZZZZ-0023</v>
          </cell>
        </row>
        <row r="8">
          <cell r="F8" t="str">
            <v>0.05XW900XL700</v>
          </cell>
          <cell r="G8" t="str">
            <v>VINYL PACK</v>
          </cell>
          <cell r="H8" t="str">
            <v>ZVIYNE-59070</v>
          </cell>
        </row>
        <row r="9">
          <cell r="F9" t="str">
            <v>0.05XW250XL300</v>
          </cell>
          <cell r="G9" t="str">
            <v>VINYL PACK</v>
          </cell>
          <cell r="H9" t="str">
            <v>ZVIYNE-52530</v>
          </cell>
        </row>
        <row r="10">
          <cell r="F10" t="str">
            <v>VINYL W120×L190</v>
          </cell>
          <cell r="G10" t="str">
            <v>VINYL PACK</v>
          </cell>
          <cell r="H10" t="str">
            <v>ZVIYNE-51219</v>
          </cell>
        </row>
        <row r="11">
          <cell r="F11" t="str">
            <v>VINYL W120×L150</v>
          </cell>
          <cell r="G11" t="str">
            <v>VINYL PACK</v>
          </cell>
          <cell r="H11" t="str">
            <v>ZVIYNE-51215</v>
          </cell>
        </row>
        <row r="12">
          <cell r="F12" t="str">
            <v>VINYL W100XL120</v>
          </cell>
          <cell r="G12" t="str">
            <v>VINYL PACK</v>
          </cell>
          <cell r="H12" t="str">
            <v>ZVIYNE-51012</v>
          </cell>
        </row>
        <row r="13">
          <cell r="F13" t="str">
            <v>VINYL W350×L240</v>
          </cell>
          <cell r="G13" t="str">
            <v>VINYL PACK</v>
          </cell>
          <cell r="H13" t="str">
            <v>ZVIYNE-35024</v>
          </cell>
        </row>
        <row r="14">
          <cell r="F14" t="str">
            <v>W150XL150</v>
          </cell>
          <cell r="G14" t="str">
            <v>VINYL PACK</v>
          </cell>
          <cell r="H14" t="str">
            <v>ZVIYNE-31515</v>
          </cell>
        </row>
        <row r="15">
          <cell r="F15" t="str">
            <v>VINYL W1200XL1200</v>
          </cell>
          <cell r="G15" t="str">
            <v>VINYL PACK</v>
          </cell>
          <cell r="H15" t="str">
            <v>ZVIYNE-31212</v>
          </cell>
        </row>
        <row r="16">
          <cell r="F16" t="str">
            <v>VINYL200X200</v>
          </cell>
          <cell r="G16" t="str">
            <v>VINYL PACK</v>
          </cell>
          <cell r="H16" t="str">
            <v>ZVIYNE-20020</v>
          </cell>
        </row>
        <row r="17">
          <cell r="F17" t="str">
            <v>VINYL W150×L160</v>
          </cell>
          <cell r="G17" t="str">
            <v>VINYL PACK</v>
          </cell>
          <cell r="H17" t="str">
            <v>ZVIYNE-15160</v>
          </cell>
        </row>
        <row r="18">
          <cell r="F18" t="str">
            <v>VINYL W120×L120</v>
          </cell>
          <cell r="G18" t="str">
            <v>VINYL PACK</v>
          </cell>
          <cell r="H18" t="str">
            <v>ZVIYNE-12123</v>
          </cell>
        </row>
        <row r="19">
          <cell r="F19" t="str">
            <v>VINYL W100×L120</v>
          </cell>
          <cell r="G19" t="str">
            <v>VINYL PACK</v>
          </cell>
          <cell r="H19" t="str">
            <v>ZVIYNE-10120</v>
          </cell>
        </row>
        <row r="20">
          <cell r="F20" t="str">
            <v>VINYL W100×L150</v>
          </cell>
          <cell r="G20" t="str">
            <v>VINYL PACK</v>
          </cell>
          <cell r="H20" t="str">
            <v>ZVIYNE-10015</v>
          </cell>
        </row>
        <row r="21">
          <cell r="F21" t="str">
            <v>VINYL W60×L90</v>
          </cell>
          <cell r="G21" t="str">
            <v>VINYL PACK</v>
          </cell>
          <cell r="H21" t="str">
            <v>ZVIYNE-06090</v>
          </cell>
        </row>
        <row r="22">
          <cell r="F22" t="str">
            <v>VINYL W60XL70</v>
          </cell>
          <cell r="G22" t="str">
            <v>VINYL PACK</v>
          </cell>
          <cell r="H22" t="str">
            <v>ZVIYNE-06070</v>
          </cell>
        </row>
        <row r="23">
          <cell r="F23" t="str">
            <v>95220-2S000</v>
          </cell>
          <cell r="G23" t="str">
            <v>MICO RELAY</v>
          </cell>
          <cell r="H23" t="str">
            <v>ZRELY-95220</v>
          </cell>
        </row>
        <row r="24">
          <cell r="F24" t="str">
            <v>39160-37110</v>
          </cell>
          <cell r="G24" t="str">
            <v>MICO RELAY</v>
          </cell>
          <cell r="H24" t="str">
            <v>ZRELY-37110</v>
          </cell>
        </row>
        <row r="25">
          <cell r="F25" t="str">
            <v>95225-2S000</v>
          </cell>
          <cell r="G25" t="str">
            <v>MICO RELAY</v>
          </cell>
          <cell r="H25" t="str">
            <v>ZRELY-252S0</v>
          </cell>
        </row>
        <row r="26">
          <cell r="F26" t="str">
            <v>95224-2D000</v>
          </cell>
          <cell r="G26" t="str">
            <v>MICO RELAY</v>
          </cell>
          <cell r="H26" t="str">
            <v>ZRELY-2242D</v>
          </cell>
        </row>
        <row r="27">
          <cell r="F27" t="str">
            <v>SILICON OIL (SINHWA)</v>
          </cell>
          <cell r="G27" t="str">
            <v>SILICON OIL</v>
          </cell>
          <cell r="H27" t="str">
            <v>ZOIL-001</v>
          </cell>
        </row>
        <row r="28">
          <cell r="F28" t="str">
            <v>FLM08A127545TK</v>
          </cell>
          <cell r="G28" t="str">
            <v>NUT</v>
          </cell>
          <cell r="H28" t="str">
            <v>ZNUT-82617</v>
          </cell>
        </row>
        <row r="29">
          <cell r="F29" t="str">
            <v>VKC37-69321</v>
          </cell>
          <cell r="G29" t="str">
            <v>CONNECTOR LEVER</v>
          </cell>
          <cell r="H29" t="str">
            <v>ZLEVER-174</v>
          </cell>
        </row>
        <row r="30">
          <cell r="F30" t="str">
            <v>VKC69-69321</v>
          </cell>
          <cell r="G30" t="str">
            <v>CONNECTOR LEVER</v>
          </cell>
          <cell r="H30" t="str">
            <v>ZLEVER-173</v>
          </cell>
        </row>
        <row r="31">
          <cell r="F31" t="str">
            <v>6446-0013-2-000</v>
          </cell>
          <cell r="G31" t="str">
            <v>CONNECTOR LEVER</v>
          </cell>
          <cell r="H31" t="str">
            <v>ZLEVER-166</v>
          </cell>
        </row>
        <row r="32">
          <cell r="F32" t="str">
            <v>VKC35-66521</v>
          </cell>
          <cell r="G32" t="str">
            <v>CONNECTOR LEVER</v>
          </cell>
          <cell r="H32" t="str">
            <v>ZLEVER-162</v>
          </cell>
        </row>
        <row r="33">
          <cell r="F33" t="str">
            <v>2350341-2</v>
          </cell>
          <cell r="G33" t="str">
            <v>025060110250_51P_LEVER(B)</v>
          </cell>
          <cell r="H33" t="str">
            <v>ZLEVER-145</v>
          </cell>
        </row>
        <row r="34">
          <cell r="F34" t="str">
            <v>260588-BK</v>
          </cell>
          <cell r="G34" t="str">
            <v>LEVER</v>
          </cell>
          <cell r="H34" t="str">
            <v>ZLEVER-135</v>
          </cell>
        </row>
        <row r="35">
          <cell r="F35" t="str">
            <v>260504-GR</v>
          </cell>
          <cell r="G35" t="str">
            <v>CONNECTOR LEVER</v>
          </cell>
          <cell r="H35" t="str">
            <v>ZLEVER-130</v>
          </cell>
        </row>
        <row r="36">
          <cell r="F36" t="str">
            <v>3515-5303</v>
          </cell>
          <cell r="G36" t="str">
            <v>CONNECTOR LEVER</v>
          </cell>
          <cell r="H36" t="str">
            <v>ZLEVER-118</v>
          </cell>
        </row>
        <row r="37">
          <cell r="F37" t="str">
            <v>635753-5</v>
          </cell>
          <cell r="G37" t="str">
            <v>CONNECTOR LEVER</v>
          </cell>
          <cell r="H37" t="str">
            <v>ZLEVER-085</v>
          </cell>
        </row>
        <row r="38">
          <cell r="F38" t="str">
            <v>1743543-2</v>
          </cell>
          <cell r="G38" t="str">
            <v>CONNECTOR LEVER</v>
          </cell>
          <cell r="H38" t="str">
            <v>ZLEVER-004</v>
          </cell>
        </row>
        <row r="39">
          <cell r="F39" t="str">
            <v>BARCORD STICKER(NEW)</v>
          </cell>
          <cell r="G39" t="str">
            <v>LABEL</v>
          </cell>
          <cell r="H39" t="str">
            <v>ZLABEL-918</v>
          </cell>
        </row>
        <row r="40">
          <cell r="F40" t="str">
            <v>LABEL 915</v>
          </cell>
          <cell r="G40" t="str">
            <v>LABEL ETC</v>
          </cell>
          <cell r="H40" t="str">
            <v>ZLABEL-915</v>
          </cell>
        </row>
        <row r="41">
          <cell r="F41" t="str">
            <v>LABEL 85X22 CUT</v>
          </cell>
          <cell r="G41" t="str">
            <v>LABEL</v>
          </cell>
          <cell r="H41" t="str">
            <v>ZLABEL-896</v>
          </cell>
        </row>
        <row r="42">
          <cell r="F42" t="str">
            <v>KBS-PETY10025S-1</v>
          </cell>
          <cell r="G42" t="str">
            <v>LABEL ETC</v>
          </cell>
          <cell r="H42" t="str">
            <v>ZLABEL-703</v>
          </cell>
        </row>
        <row r="43">
          <cell r="F43" t="str">
            <v>BARCORD LABEL 110x25(GRY)ADD</v>
          </cell>
          <cell r="G43" t="str">
            <v>LABEL</v>
          </cell>
          <cell r="H43" t="str">
            <v>ZLABEL-702</v>
          </cell>
        </row>
        <row r="44">
          <cell r="F44" t="str">
            <v>BARCORD LABEL 110x25(GRN)ADD</v>
          </cell>
          <cell r="G44" t="str">
            <v>LABEL</v>
          </cell>
          <cell r="H44" t="str">
            <v>ZLABEL-691</v>
          </cell>
        </row>
        <row r="45">
          <cell r="F45" t="str">
            <v>BARCORD LABEL 110X25(W)ADD</v>
          </cell>
          <cell r="G45" t="str">
            <v>LABEL</v>
          </cell>
          <cell r="H45" t="str">
            <v>ZLABEL-690</v>
          </cell>
        </row>
        <row r="46">
          <cell r="F46" t="str">
            <v>BARCORD LABEL 110x25(Y)ADD</v>
          </cell>
          <cell r="G46" t="str">
            <v>LABEL</v>
          </cell>
          <cell r="H46" t="str">
            <v>ZLABEL-687</v>
          </cell>
        </row>
        <row r="47">
          <cell r="F47" t="str">
            <v>BARCORD LABEL 110x25(ORG)ADD</v>
          </cell>
          <cell r="G47" t="str">
            <v>LABEL</v>
          </cell>
          <cell r="H47" t="str">
            <v>ZLABEL-684</v>
          </cell>
        </row>
        <row r="48">
          <cell r="F48" t="str">
            <v>BARCORD LABEL 110x25(GRY)</v>
          </cell>
          <cell r="G48" t="str">
            <v>LABEL</v>
          </cell>
          <cell r="H48" t="str">
            <v>ZLABEL-674</v>
          </cell>
        </row>
        <row r="49">
          <cell r="F49" t="str">
            <v>LABEL 65x18(W)</v>
          </cell>
          <cell r="G49" t="str">
            <v>LABEL</v>
          </cell>
          <cell r="H49" t="str">
            <v>ZLABEL-356</v>
          </cell>
        </row>
        <row r="50">
          <cell r="F50" t="str">
            <v>LABEL 50X20</v>
          </cell>
          <cell r="G50" t="str">
            <v>LABEL ETC</v>
          </cell>
          <cell r="H50" t="str">
            <v>ZLABEL-270</v>
          </cell>
        </row>
        <row r="51">
          <cell r="F51" t="str">
            <v>LABEL 100x50</v>
          </cell>
          <cell r="G51" t="str">
            <v>LABEL ETC</v>
          </cell>
          <cell r="H51" t="str">
            <v>ZLABEL-265</v>
          </cell>
        </row>
        <row r="52">
          <cell r="F52" t="str">
            <v>LABEL 50X10(W)</v>
          </cell>
          <cell r="G52" t="str">
            <v>LABEL</v>
          </cell>
          <cell r="H52" t="str">
            <v>ZLABEL-260</v>
          </cell>
        </row>
        <row r="53">
          <cell r="F53" t="str">
            <v>BARCORD LABEL 110x25(Y)-2</v>
          </cell>
          <cell r="G53" t="str">
            <v>LABEL ETC</v>
          </cell>
          <cell r="H53" t="str">
            <v>ZLABEL-237</v>
          </cell>
        </row>
        <row r="54">
          <cell r="F54" t="str">
            <v>BARCORD LABEL 110x25(Y)</v>
          </cell>
          <cell r="G54" t="str">
            <v>LABEL</v>
          </cell>
          <cell r="H54" t="str">
            <v>ZLABEL-203</v>
          </cell>
        </row>
        <row r="55">
          <cell r="F55" t="str">
            <v>BARCORD LABEL 110x25(GRN)</v>
          </cell>
          <cell r="G55" t="str">
            <v>LABEL</v>
          </cell>
          <cell r="H55" t="str">
            <v>ZLABEL-178</v>
          </cell>
        </row>
        <row r="56">
          <cell r="F56" t="str">
            <v>BARCORD LABEL 110x25(ORG)</v>
          </cell>
          <cell r="G56" t="str">
            <v>LABEL</v>
          </cell>
          <cell r="H56" t="str">
            <v>ZLABEL-176</v>
          </cell>
        </row>
        <row r="57">
          <cell r="F57" t="str">
            <v>POP LABEL 70X45</v>
          </cell>
          <cell r="G57" t="str">
            <v>LABEL ETC</v>
          </cell>
          <cell r="H57" t="str">
            <v>ZLABEL-164</v>
          </cell>
        </row>
        <row r="58">
          <cell r="F58" t="str">
            <v>LABEL 45X15</v>
          </cell>
          <cell r="G58" t="str">
            <v>LABEL</v>
          </cell>
          <cell r="H58" t="str">
            <v>ZLABEL-142</v>
          </cell>
        </row>
        <row r="59">
          <cell r="F59" t="str">
            <v>BARCORD LABEL 110x25(Y)-1</v>
          </cell>
          <cell r="G59" t="str">
            <v>LABEL</v>
          </cell>
          <cell r="H59" t="str">
            <v>ZLABEL-060</v>
          </cell>
        </row>
        <row r="60">
          <cell r="F60" t="str">
            <v>BARCORD LABEL110X25</v>
          </cell>
          <cell r="G60" t="str">
            <v>LABEL</v>
          </cell>
          <cell r="H60" t="str">
            <v>ZLABEL-053</v>
          </cell>
        </row>
        <row r="61">
          <cell r="F61" t="str">
            <v>LABEL 70X22</v>
          </cell>
          <cell r="G61" t="str">
            <v>LABEL</v>
          </cell>
          <cell r="H61" t="str">
            <v>ZLABEL-031</v>
          </cell>
        </row>
        <row r="62">
          <cell r="F62" t="str">
            <v>HARD PVC 28x40</v>
          </cell>
          <cell r="G62" t="str">
            <v>TUBE_OPEN</v>
          </cell>
          <cell r="H62" t="str">
            <v>ZHPVC2800040</v>
          </cell>
        </row>
        <row r="63">
          <cell r="F63" t="str">
            <v>HARD PVC 22x150</v>
          </cell>
          <cell r="G63" t="str">
            <v>TUBE_OPEN</v>
          </cell>
          <cell r="H63" t="str">
            <v>ZHPVC2200150</v>
          </cell>
        </row>
        <row r="64">
          <cell r="F64" t="str">
            <v>HARD PVC 22x40</v>
          </cell>
          <cell r="G64" t="str">
            <v>TUBE_OPEN</v>
          </cell>
          <cell r="H64" t="str">
            <v>ZHPVC2200040</v>
          </cell>
        </row>
        <row r="65">
          <cell r="F65" t="str">
            <v>HARD PVC 20x100</v>
          </cell>
          <cell r="G65" t="str">
            <v>TUBE_OPEN</v>
          </cell>
          <cell r="H65" t="str">
            <v>ZHPVC2000100</v>
          </cell>
        </row>
        <row r="66">
          <cell r="F66" t="str">
            <v>HARD PVC 20x70</v>
          </cell>
          <cell r="G66" t="str">
            <v>TUBE_OPEN</v>
          </cell>
          <cell r="H66" t="str">
            <v>ZHPVC2000070</v>
          </cell>
        </row>
        <row r="67">
          <cell r="F67" t="str">
            <v>HARD PVC 20x40</v>
          </cell>
          <cell r="G67" t="str">
            <v>TUBE_OPEN</v>
          </cell>
          <cell r="H67" t="str">
            <v>ZHPVC2000040</v>
          </cell>
        </row>
        <row r="68">
          <cell r="F68" t="str">
            <v>HARD PVC 18x70</v>
          </cell>
          <cell r="G68" t="str">
            <v>TUBE_OPEN</v>
          </cell>
          <cell r="H68" t="str">
            <v>ZHPVC1800070</v>
          </cell>
        </row>
        <row r="69">
          <cell r="F69" t="str">
            <v>HARD PVC 18x40</v>
          </cell>
          <cell r="G69" t="str">
            <v>TUBE_OPEN</v>
          </cell>
          <cell r="H69" t="str">
            <v>ZHPVC1800040</v>
          </cell>
        </row>
        <row r="70">
          <cell r="F70" t="str">
            <v>HARD PVC 16×100</v>
          </cell>
          <cell r="G70" t="str">
            <v>TUBE_OPEN</v>
          </cell>
          <cell r="H70" t="str">
            <v>ZHPVC1600100</v>
          </cell>
        </row>
        <row r="71">
          <cell r="F71" t="str">
            <v>HARD PVC 16×80</v>
          </cell>
          <cell r="G71" t="str">
            <v>TUBE_OPEN</v>
          </cell>
          <cell r="H71" t="str">
            <v>ZHPVC1600080</v>
          </cell>
        </row>
        <row r="72">
          <cell r="F72" t="str">
            <v>HARD PVC 16×60</v>
          </cell>
          <cell r="G72" t="str">
            <v>TUBE_OPEN</v>
          </cell>
          <cell r="H72" t="str">
            <v>ZHPVC1600060</v>
          </cell>
        </row>
        <row r="73">
          <cell r="F73" t="str">
            <v>HARD PVC-16X40</v>
          </cell>
          <cell r="G73" t="str">
            <v>TUBE_OPEN</v>
          </cell>
          <cell r="H73" t="str">
            <v>ZHPVC1600040</v>
          </cell>
        </row>
        <row r="74">
          <cell r="F74" t="str">
            <v>HARD PVC 12x110</v>
          </cell>
          <cell r="G74" t="str">
            <v>TUBE_OPEN</v>
          </cell>
          <cell r="H74" t="str">
            <v>ZHPVC1200110</v>
          </cell>
        </row>
        <row r="75">
          <cell r="F75" t="str">
            <v>HARD PVC 12x100</v>
          </cell>
          <cell r="G75" t="str">
            <v>TUBE_OPEN</v>
          </cell>
          <cell r="H75" t="str">
            <v>ZHPVC1200100</v>
          </cell>
        </row>
        <row r="76">
          <cell r="F76" t="str">
            <v>HARD PVC 12×80</v>
          </cell>
          <cell r="G76" t="str">
            <v>TUBE_OPEN</v>
          </cell>
          <cell r="H76" t="str">
            <v>ZHPVC1200080</v>
          </cell>
        </row>
        <row r="77">
          <cell r="F77" t="str">
            <v>HARD PVC 12x60</v>
          </cell>
          <cell r="G77" t="str">
            <v>TUBE_OPEN</v>
          </cell>
          <cell r="H77" t="str">
            <v>ZHPVC1200060</v>
          </cell>
        </row>
        <row r="78">
          <cell r="F78" t="str">
            <v>HARD PVC 12x50</v>
          </cell>
          <cell r="G78" t="str">
            <v>TUBE_OPEN</v>
          </cell>
          <cell r="H78" t="str">
            <v>ZHPVC1200050</v>
          </cell>
        </row>
        <row r="79">
          <cell r="F79" t="str">
            <v>HARD PVC 12x40</v>
          </cell>
          <cell r="G79" t="str">
            <v>TUBE_OPEN</v>
          </cell>
          <cell r="H79" t="str">
            <v>ZHPVC1200040</v>
          </cell>
        </row>
        <row r="80">
          <cell r="F80" t="str">
            <v>HARD PVC 10x130</v>
          </cell>
          <cell r="G80" t="str">
            <v>TUBE_OPEN</v>
          </cell>
          <cell r="H80" t="str">
            <v>ZHPVC1000130</v>
          </cell>
        </row>
        <row r="81">
          <cell r="F81" t="str">
            <v>HARD PVC 10x110</v>
          </cell>
          <cell r="G81" t="str">
            <v>TUBE_OPEN</v>
          </cell>
          <cell r="H81" t="str">
            <v>ZHPVC1000110</v>
          </cell>
        </row>
        <row r="82">
          <cell r="F82" t="str">
            <v>HARD PVC 10x100</v>
          </cell>
          <cell r="G82" t="str">
            <v>TUBE_OPEN</v>
          </cell>
          <cell r="H82" t="str">
            <v>ZHPVC1000100</v>
          </cell>
        </row>
        <row r="83">
          <cell r="F83" t="str">
            <v>HARD PVC 10x90</v>
          </cell>
          <cell r="G83" t="str">
            <v>TUBE_OPEN</v>
          </cell>
          <cell r="H83" t="str">
            <v>ZHPVC1000090</v>
          </cell>
        </row>
        <row r="84">
          <cell r="F84" t="str">
            <v>HARD PVC 10×80</v>
          </cell>
          <cell r="G84" t="str">
            <v>TUBE_OPEN</v>
          </cell>
          <cell r="H84" t="str">
            <v>ZHPVC1000080</v>
          </cell>
        </row>
        <row r="85">
          <cell r="F85" t="str">
            <v>HARD PVC 10x60</v>
          </cell>
          <cell r="G85" t="str">
            <v>TUBE_OPEN</v>
          </cell>
          <cell r="H85" t="str">
            <v>ZHPVC1000060</v>
          </cell>
        </row>
        <row r="86">
          <cell r="F86" t="str">
            <v>HARD PVC 10x50</v>
          </cell>
          <cell r="G86" t="str">
            <v>TUBE_OPEN</v>
          </cell>
          <cell r="H86" t="str">
            <v>ZHPVC1000050</v>
          </cell>
        </row>
        <row r="87">
          <cell r="F87" t="str">
            <v>HARD PVC 6x130</v>
          </cell>
          <cell r="G87" t="str">
            <v>TUBE_OPEN</v>
          </cell>
          <cell r="H87" t="str">
            <v>ZHPVC0600130</v>
          </cell>
        </row>
        <row r="88">
          <cell r="F88" t="str">
            <v>HARD PVC 6x110</v>
          </cell>
          <cell r="G88" t="str">
            <v>TUBE_OPEN</v>
          </cell>
          <cell r="H88" t="str">
            <v>ZHPVC0600110</v>
          </cell>
        </row>
        <row r="89">
          <cell r="F89" t="str">
            <v>HARD PVC 6x100</v>
          </cell>
          <cell r="G89" t="str">
            <v>TUBE_OPEN</v>
          </cell>
          <cell r="H89" t="str">
            <v>ZHPVC0600100</v>
          </cell>
        </row>
        <row r="90">
          <cell r="F90" t="str">
            <v>HARD PVC 6x90</v>
          </cell>
          <cell r="G90" t="str">
            <v>TUBE_OPEN</v>
          </cell>
          <cell r="H90" t="str">
            <v>ZHPVC0600090</v>
          </cell>
        </row>
        <row r="91">
          <cell r="F91" t="str">
            <v>HARD PVC 6x60</v>
          </cell>
          <cell r="G91" t="str">
            <v>TUBE_OPEN</v>
          </cell>
          <cell r="H91" t="str">
            <v>ZHPVC0600060</v>
          </cell>
        </row>
        <row r="92">
          <cell r="F92" t="str">
            <v>HARD PVC 6x50</v>
          </cell>
          <cell r="G92" t="str">
            <v>TUBE_OPEN</v>
          </cell>
          <cell r="H92" t="str">
            <v>ZHPVC0600050</v>
          </cell>
        </row>
        <row r="93">
          <cell r="F93" t="str">
            <v>HARD PVC 6x40</v>
          </cell>
          <cell r="G93" t="str">
            <v>TUBE_OPEN</v>
          </cell>
          <cell r="H93" t="str">
            <v>ZHPVC0600040</v>
          </cell>
        </row>
        <row r="94">
          <cell r="F94" t="str">
            <v>919E5-BF000</v>
          </cell>
          <cell r="G94" t="str">
            <v>H/V CUT-OFF SWITCH ASSY</v>
          </cell>
          <cell r="H94" t="str">
            <v>ZHEVC-SWI06</v>
          </cell>
        </row>
        <row r="95">
          <cell r="F95" t="str">
            <v>SM13270-06001</v>
          </cell>
          <cell r="G95" t="str">
            <v>NUT</v>
          </cell>
          <cell r="H95" t="str">
            <v>ZHEVC-NUT09</v>
          </cell>
        </row>
        <row r="96">
          <cell r="F96" t="str">
            <v>EHI26-00065</v>
          </cell>
          <cell r="G96" t="str">
            <v>high voltage CONN ASSY</v>
          </cell>
          <cell r="H96" t="str">
            <v>ZHEVC-00026</v>
          </cell>
        </row>
        <row r="97">
          <cell r="F97" t="str">
            <v>KS-64</v>
          </cell>
          <cell r="G97" t="str">
            <v>SILICON OIL</v>
          </cell>
          <cell r="H97" t="str">
            <v>ZGREA-KS640</v>
          </cell>
        </row>
        <row r="98">
          <cell r="F98" t="str">
            <v>KF-96</v>
          </cell>
          <cell r="G98" t="str">
            <v>SILICON OIL</v>
          </cell>
          <cell r="H98" t="str">
            <v>ZGREA-KF960</v>
          </cell>
        </row>
        <row r="99">
          <cell r="F99" t="str">
            <v>3574-8151</v>
          </cell>
          <cell r="G99" t="str">
            <v>CABLE</v>
          </cell>
          <cell r="H99" t="str">
            <v>ZEDNT-MX5F2</v>
          </cell>
        </row>
        <row r="100">
          <cell r="F100" t="str">
            <v>9120F-P6040G</v>
          </cell>
          <cell r="G100" t="str">
            <v>CABLE ETC</v>
          </cell>
          <cell r="H100" t="str">
            <v>ZDCCB-MXF4G</v>
          </cell>
        </row>
        <row r="101">
          <cell r="F101" t="str">
            <v>9120F-P604F</v>
          </cell>
          <cell r="G101" t="str">
            <v>CABLE</v>
          </cell>
          <cell r="H101" t="str">
            <v>ZDCCB-MXF4F</v>
          </cell>
        </row>
        <row r="102">
          <cell r="F102" t="str">
            <v>9120F-P6010G</v>
          </cell>
          <cell r="G102" t="str">
            <v>CABLE ETC</v>
          </cell>
          <cell r="H102" t="str">
            <v>ZDCCB-MXF1G</v>
          </cell>
        </row>
        <row r="103">
          <cell r="F103" t="str">
            <v>9120F-P601F</v>
          </cell>
          <cell r="G103" t="str">
            <v>CABLE</v>
          </cell>
          <cell r="H103" t="str">
            <v>ZDCCB-MXF1F</v>
          </cell>
        </row>
        <row r="104">
          <cell r="F104" t="str">
            <v>91898-P2010E</v>
          </cell>
          <cell r="G104" t="str">
            <v>CABLE</v>
          </cell>
          <cell r="H104" t="str">
            <v>ZDCCB-MQTG1E</v>
          </cell>
        </row>
        <row r="105">
          <cell r="F105" t="str">
            <v>MQ4(_HEV) T/GATE FAKRA CABLE</v>
          </cell>
          <cell r="G105" t="str">
            <v>CABLE</v>
          </cell>
          <cell r="H105" t="str">
            <v>ZDCCB-MQTG1D</v>
          </cell>
        </row>
        <row r="106">
          <cell r="F106" t="str">
            <v>91905-P204B</v>
          </cell>
          <cell r="G106" t="str">
            <v>CABLE</v>
          </cell>
          <cell r="H106" t="str">
            <v>ZDCCB-MQ440B</v>
          </cell>
        </row>
        <row r="107">
          <cell r="F107" t="str">
            <v>91905-P2040</v>
          </cell>
          <cell r="G107" t="str">
            <v>CABLE</v>
          </cell>
          <cell r="H107" t="str">
            <v>ZDCCB-MQ4400</v>
          </cell>
        </row>
        <row r="108">
          <cell r="F108" t="str">
            <v>91905-P202B</v>
          </cell>
          <cell r="G108" t="str">
            <v>CABLE</v>
          </cell>
          <cell r="H108" t="str">
            <v>ZDCCB-MQ438B</v>
          </cell>
        </row>
        <row r="109">
          <cell r="F109" t="str">
            <v>91905-P2020</v>
          </cell>
          <cell r="G109" t="str">
            <v>CABLE</v>
          </cell>
          <cell r="H109" t="str">
            <v>ZDCCB-MQ4380</v>
          </cell>
        </row>
        <row r="110">
          <cell r="F110" t="str">
            <v>91896-L152D</v>
          </cell>
          <cell r="G110" t="str">
            <v>CABLE</v>
          </cell>
          <cell r="H110" t="str">
            <v>ZDCCB-DN846D</v>
          </cell>
        </row>
        <row r="111">
          <cell r="F111" t="str">
            <v>91896-L151D</v>
          </cell>
          <cell r="G111" t="str">
            <v>CABLE</v>
          </cell>
          <cell r="H111" t="str">
            <v>ZDCCB-DN845D</v>
          </cell>
        </row>
        <row r="112">
          <cell r="F112" t="str">
            <v>91895-BE11J</v>
          </cell>
          <cell r="G112" t="str">
            <v>CABLE</v>
          </cell>
          <cell r="H112" t="str">
            <v>ZDCCB-BE511J</v>
          </cell>
        </row>
        <row r="113">
          <cell r="F113" t="str">
            <v>91895-BE01L</v>
          </cell>
          <cell r="G113" t="str">
            <v>CABLE</v>
          </cell>
          <cell r="H113" t="str">
            <v>ZDCCB-BE501L</v>
          </cell>
        </row>
        <row r="114">
          <cell r="F114" t="str">
            <v>91895-BE01H</v>
          </cell>
          <cell r="G114" t="str">
            <v>CABLE</v>
          </cell>
          <cell r="H114" t="str">
            <v>ZDCCB-BE501H</v>
          </cell>
        </row>
        <row r="115">
          <cell r="F115" t="str">
            <v>91894-BE11J</v>
          </cell>
          <cell r="G115" t="str">
            <v>CABLE</v>
          </cell>
          <cell r="H115" t="str">
            <v>ZDCCB-BE411J</v>
          </cell>
        </row>
        <row r="116">
          <cell r="F116" t="str">
            <v>91894-BE01L</v>
          </cell>
          <cell r="G116" t="str">
            <v>CABLE</v>
          </cell>
          <cell r="H116" t="str">
            <v>ZDCCB-BE401L</v>
          </cell>
        </row>
        <row r="117">
          <cell r="F117" t="str">
            <v>SX2 DR DRI CABLE</v>
          </cell>
          <cell r="G117" t="str">
            <v>CABLE</v>
          </cell>
          <cell r="H117" t="str">
            <v>ZDCCB-BE401H</v>
          </cell>
        </row>
        <row r="118">
          <cell r="F118" t="str">
            <v>91897-BE02H</v>
          </cell>
          <cell r="G118" t="str">
            <v>CABLE</v>
          </cell>
          <cell r="H118" t="str">
            <v>ZDCCB-B9702H</v>
          </cell>
        </row>
        <row r="119">
          <cell r="F119" t="str">
            <v>91897-BE01H</v>
          </cell>
          <cell r="G119" t="str">
            <v>CABLE</v>
          </cell>
          <cell r="H119" t="str">
            <v>ZDCCB-B9701H</v>
          </cell>
        </row>
        <row r="120">
          <cell r="F120" t="str">
            <v>91896-BE03H</v>
          </cell>
          <cell r="G120" t="str">
            <v>CABLE</v>
          </cell>
          <cell r="H120" t="str">
            <v>ZDCCB-B9603H</v>
          </cell>
        </row>
        <row r="121">
          <cell r="F121" t="str">
            <v>91896-BE02K</v>
          </cell>
          <cell r="G121" t="str">
            <v>CABLE</v>
          </cell>
          <cell r="H121" t="str">
            <v>ZDCCB-B9602K</v>
          </cell>
        </row>
        <row r="122">
          <cell r="F122" t="str">
            <v>91896-BE02H</v>
          </cell>
          <cell r="G122" t="str">
            <v>CABLE</v>
          </cell>
          <cell r="H122" t="str">
            <v>ZDCCB-B9602H</v>
          </cell>
        </row>
        <row r="123">
          <cell r="F123" t="str">
            <v>91896-BE020</v>
          </cell>
          <cell r="G123" t="str">
            <v>CABLE</v>
          </cell>
          <cell r="H123" t="str">
            <v>ZDCCB-B96020</v>
          </cell>
        </row>
        <row r="124">
          <cell r="F124" t="str">
            <v>91896-BE01K</v>
          </cell>
          <cell r="G124" t="str">
            <v>CABLE</v>
          </cell>
          <cell r="H124" t="str">
            <v>ZDCCB-B9601K</v>
          </cell>
        </row>
        <row r="125">
          <cell r="F125" t="str">
            <v>91896-BE010</v>
          </cell>
          <cell r="G125" t="str">
            <v>CABLE</v>
          </cell>
          <cell r="H125" t="str">
            <v>ZDCCB-B96010</v>
          </cell>
        </row>
        <row r="126">
          <cell r="F126" t="str">
            <v>91896-GX01B</v>
          </cell>
          <cell r="G126" t="str">
            <v>CABLE</v>
          </cell>
          <cell r="H126" t="str">
            <v>ZDCCB-AXE21B</v>
          </cell>
        </row>
        <row r="127">
          <cell r="F127" t="str">
            <v>91895-GX01B</v>
          </cell>
          <cell r="G127" t="str">
            <v>CABLE</v>
          </cell>
          <cell r="H127" t="str">
            <v>ZDCCB-AXE19B</v>
          </cell>
        </row>
        <row r="128">
          <cell r="F128" t="str">
            <v>91898-BF01XE</v>
          </cell>
          <cell r="G128" t="str">
            <v>CABLE</v>
          </cell>
          <cell r="H128" t="str">
            <v>ZDCCB-98B01E</v>
          </cell>
        </row>
        <row r="129">
          <cell r="F129" t="str">
            <v>91898-BF01XD</v>
          </cell>
          <cell r="G129" t="str">
            <v>CABLE</v>
          </cell>
          <cell r="H129" t="str">
            <v>ZDCCB-98B01D</v>
          </cell>
        </row>
        <row r="130">
          <cell r="F130" t="str">
            <v>91898-BF01XC</v>
          </cell>
          <cell r="G130" t="str">
            <v>CABLE</v>
          </cell>
          <cell r="H130" t="str">
            <v>ZDCCB-98B01C</v>
          </cell>
        </row>
        <row r="131">
          <cell r="F131" t="str">
            <v>91897-AO020</v>
          </cell>
          <cell r="G131" t="str">
            <v>CABLE</v>
          </cell>
          <cell r="H131" t="str">
            <v>ZDCCB-97O02</v>
          </cell>
        </row>
        <row r="132">
          <cell r="F132" t="str">
            <v>91897-AO010A</v>
          </cell>
          <cell r="G132" t="str">
            <v>CABLE</v>
          </cell>
          <cell r="H132" t="str">
            <v>ZDCCB-97O01A</v>
          </cell>
        </row>
        <row r="133">
          <cell r="F133" t="str">
            <v>91897-AO010</v>
          </cell>
          <cell r="G133" t="str">
            <v>CABLE</v>
          </cell>
          <cell r="H133" t="str">
            <v>ZDCCB-97O01</v>
          </cell>
        </row>
        <row r="134">
          <cell r="F134" t="str">
            <v>91897-BF04XE</v>
          </cell>
          <cell r="G134" t="str">
            <v>CABLE</v>
          </cell>
          <cell r="H134" t="str">
            <v>ZDCCB-97B04E</v>
          </cell>
        </row>
        <row r="135">
          <cell r="F135" t="str">
            <v>91897-BF04XD</v>
          </cell>
          <cell r="G135" t="str">
            <v>CABLE</v>
          </cell>
          <cell r="H135" t="str">
            <v>ZDCCB-97B04D</v>
          </cell>
        </row>
        <row r="136">
          <cell r="F136" t="str">
            <v>91897-BF03XE</v>
          </cell>
          <cell r="G136" t="str">
            <v>CABLE</v>
          </cell>
          <cell r="H136" t="str">
            <v>ZDCCB-97B03E</v>
          </cell>
        </row>
        <row r="137">
          <cell r="F137" t="str">
            <v>91897-BF03XD</v>
          </cell>
          <cell r="G137" t="str">
            <v>CABLE</v>
          </cell>
          <cell r="H137" t="str">
            <v>ZDCCB-97B03D</v>
          </cell>
        </row>
        <row r="138">
          <cell r="F138" t="str">
            <v>91897-BF02XE</v>
          </cell>
          <cell r="G138" t="str">
            <v>CABLE</v>
          </cell>
          <cell r="H138" t="str">
            <v>ZDCCB-97B02E</v>
          </cell>
        </row>
        <row r="139">
          <cell r="F139" t="str">
            <v>91897-BF02XD</v>
          </cell>
          <cell r="G139" t="str">
            <v>CABLE</v>
          </cell>
          <cell r="H139" t="str">
            <v>ZDCCB-97B02D</v>
          </cell>
        </row>
        <row r="140">
          <cell r="F140" t="str">
            <v>91897-BF02XC</v>
          </cell>
          <cell r="G140" t="str">
            <v>CABLE</v>
          </cell>
          <cell r="H140" t="str">
            <v>ZDCCB-97B02C</v>
          </cell>
        </row>
        <row r="141">
          <cell r="F141" t="str">
            <v>91897-BF01XE</v>
          </cell>
          <cell r="G141" t="str">
            <v>CABLE</v>
          </cell>
          <cell r="H141" t="str">
            <v>ZDCCB-97B01E</v>
          </cell>
        </row>
        <row r="142">
          <cell r="F142" t="str">
            <v>91897-BF01XD</v>
          </cell>
          <cell r="G142" t="str">
            <v>CABLE</v>
          </cell>
          <cell r="H142" t="str">
            <v>ZDCCB-97B01D</v>
          </cell>
        </row>
        <row r="143">
          <cell r="F143" t="str">
            <v>91897-AT010A</v>
          </cell>
          <cell r="G143" t="str">
            <v>CABLE ETC</v>
          </cell>
          <cell r="H143" t="str">
            <v>ZDCCB-97AT1A</v>
          </cell>
        </row>
        <row r="144">
          <cell r="F144" t="str">
            <v>91897-AT010</v>
          </cell>
          <cell r="G144" t="str">
            <v>CABLE ETC</v>
          </cell>
          <cell r="H144" t="str">
            <v>ZDCCB-97AT1</v>
          </cell>
        </row>
        <row r="145">
          <cell r="F145" t="str">
            <v>91995-P1010D</v>
          </cell>
          <cell r="G145" t="str">
            <v>CABLE</v>
          </cell>
          <cell r="H145" t="str">
            <v>ZDCCB-95P11D</v>
          </cell>
        </row>
        <row r="146">
          <cell r="F146" t="str">
            <v>91992-P1010J</v>
          </cell>
          <cell r="G146" t="str">
            <v>CABLE</v>
          </cell>
          <cell r="H146" t="str">
            <v>ZDCCB-92P11J</v>
          </cell>
        </row>
        <row r="147">
          <cell r="F147" t="str">
            <v>NQ5 HEV FRONT CABLE</v>
          </cell>
          <cell r="G147" t="str">
            <v>FAKRA CABLE</v>
          </cell>
          <cell r="H147" t="str">
            <v>ZDCCB-92CH1J</v>
          </cell>
        </row>
        <row r="148">
          <cell r="F148" t="str">
            <v>91895-P2010D</v>
          </cell>
          <cell r="G148" t="str">
            <v>CABLE</v>
          </cell>
          <cell r="H148" t="str">
            <v>ZDCCB-00010D</v>
          </cell>
        </row>
        <row r="149">
          <cell r="F149" t="str">
            <v>BOX LABEL 14x10.5(W)(GRN)</v>
          </cell>
          <cell r="G149" t="str">
            <v>LABEL</v>
          </cell>
          <cell r="H149" t="str">
            <v>ZCHEC-00003</v>
          </cell>
        </row>
        <row r="150">
          <cell r="F150" t="str">
            <v>BOX LABEL 14x10.5(W)</v>
          </cell>
          <cell r="G150" t="str">
            <v>LABEL</v>
          </cell>
          <cell r="H150" t="str">
            <v>ZCHEC-00002</v>
          </cell>
        </row>
        <row r="151">
          <cell r="F151" t="str">
            <v>BOX LABEL 14x10.5(Y)</v>
          </cell>
          <cell r="G151" t="str">
            <v>LABEL</v>
          </cell>
          <cell r="H151" t="str">
            <v>ZCHEC-00001</v>
          </cell>
        </row>
        <row r="152">
          <cell r="F152" t="str">
            <v>95710-1R000</v>
          </cell>
          <cell r="G152" t="str">
            <v>PLUG-IN RELAY ETC</v>
          </cell>
          <cell r="H152" t="str">
            <v>ZBZER-1R000</v>
          </cell>
        </row>
        <row r="153">
          <cell r="F153" t="str">
            <v>91981-N9053</v>
          </cell>
          <cell r="G153" t="str">
            <v>BRAKET</v>
          </cell>
          <cell r="H153" t="str">
            <v>ZBRAK-N9053</v>
          </cell>
        </row>
        <row r="154">
          <cell r="F154" t="str">
            <v>PFH-2(9X15MM)</v>
          </cell>
          <cell r="G154" t="str">
            <v>BOND ETC</v>
          </cell>
          <cell r="H154" t="str">
            <v>ZBOND-004</v>
          </cell>
        </row>
        <row r="155">
          <cell r="F155" t="str">
            <v>RUBBER BAND_S</v>
          </cell>
          <cell r="G155" t="str">
            <v>RUBBER BAND_S</v>
          </cell>
          <cell r="H155" t="str">
            <v>ZBAND-00001</v>
          </cell>
        </row>
        <row r="156">
          <cell r="F156" t="str">
            <v>AVXF 8.00 R</v>
          </cell>
          <cell r="G156" t="str">
            <v>GENERAL WIRE</v>
          </cell>
          <cell r="H156" t="str">
            <v>WVF0800300</v>
          </cell>
        </row>
        <row r="157">
          <cell r="F157" t="str">
            <v>AVXF 8.00 B</v>
          </cell>
          <cell r="G157" t="str">
            <v>GENERAL WIRE</v>
          </cell>
          <cell r="H157" t="str">
            <v>WVF0800100</v>
          </cell>
        </row>
        <row r="158">
          <cell r="F158" t="str">
            <v>AVXF 5.00 L</v>
          </cell>
          <cell r="G158" t="str">
            <v>GENERAL WIRE</v>
          </cell>
          <cell r="H158" t="str">
            <v>WVF0500700</v>
          </cell>
        </row>
        <row r="159">
          <cell r="F159" t="str">
            <v>AVXF 5.00 R</v>
          </cell>
          <cell r="G159" t="str">
            <v>GENERAL WIRE</v>
          </cell>
          <cell r="H159" t="str">
            <v>WVF0500300</v>
          </cell>
        </row>
        <row r="160">
          <cell r="F160" t="str">
            <v>AVXF 5.0 W</v>
          </cell>
          <cell r="G160" t="str">
            <v>GENERAL WIRE</v>
          </cell>
          <cell r="H160" t="str">
            <v>WVF0500200</v>
          </cell>
        </row>
        <row r="161">
          <cell r="F161" t="str">
            <v>AVXF 5.00 B</v>
          </cell>
          <cell r="G161" t="str">
            <v>GENERAL WIRE</v>
          </cell>
          <cell r="H161" t="str">
            <v>WVF0500100</v>
          </cell>
        </row>
        <row r="162">
          <cell r="F162" t="str">
            <v>AVXF 3.00 L</v>
          </cell>
          <cell r="G162" t="str">
            <v>GENERAL WIRE</v>
          </cell>
          <cell r="H162" t="str">
            <v>WVF0300700</v>
          </cell>
        </row>
        <row r="163">
          <cell r="F163" t="str">
            <v>AVXF 3.00 R</v>
          </cell>
          <cell r="G163" t="str">
            <v>GENERAL WIRE</v>
          </cell>
          <cell r="H163" t="str">
            <v>WVF0300300</v>
          </cell>
        </row>
        <row r="164">
          <cell r="F164" t="str">
            <v>AVXF 3.00 W</v>
          </cell>
          <cell r="G164" t="str">
            <v>GENERAL WIRE</v>
          </cell>
          <cell r="H164" t="str">
            <v>WVF0300200</v>
          </cell>
        </row>
        <row r="165">
          <cell r="F165" t="str">
            <v>AVXF 3.00 B</v>
          </cell>
          <cell r="G165" t="str">
            <v>GENERAL WIRE</v>
          </cell>
          <cell r="H165" t="str">
            <v>WVF0300100</v>
          </cell>
        </row>
        <row r="166">
          <cell r="F166" t="str">
            <v>1015#22(L) BLK</v>
          </cell>
          <cell r="G166" t="str">
            <v>WIRE</v>
          </cell>
          <cell r="H166" t="str">
            <v>WUL1397</v>
          </cell>
        </row>
        <row r="167">
          <cell r="F167" t="str">
            <v>1015#22(L) YEL</v>
          </cell>
          <cell r="G167" t="str">
            <v>WIRE</v>
          </cell>
          <cell r="H167" t="str">
            <v>WUL1396</v>
          </cell>
        </row>
        <row r="168">
          <cell r="F168" t="str">
            <v>1015#22(L) PNK</v>
          </cell>
          <cell r="G168" t="str">
            <v>WIRE</v>
          </cell>
          <cell r="H168" t="str">
            <v>WUL1395</v>
          </cell>
        </row>
        <row r="169">
          <cell r="F169" t="str">
            <v>21914#22 3C BK(BK,RD,WH)</v>
          </cell>
          <cell r="G169" t="str">
            <v>WIRE</v>
          </cell>
          <cell r="H169" t="str">
            <v>WUL1394</v>
          </cell>
        </row>
        <row r="170">
          <cell r="F170" t="str">
            <v>21914#22 5C BK(BK,RD,GN,BL,WH)</v>
          </cell>
          <cell r="G170" t="str">
            <v>WIRE</v>
          </cell>
          <cell r="H170" t="str">
            <v>WUL1393</v>
          </cell>
        </row>
        <row r="171">
          <cell r="F171" t="str">
            <v>1007#20/A RED</v>
          </cell>
          <cell r="G171" t="str">
            <v>WIRE</v>
          </cell>
          <cell r="H171" t="str">
            <v>WUL1392</v>
          </cell>
        </row>
        <row r="172">
          <cell r="F172" t="str">
            <v>3302#24 BLK</v>
          </cell>
          <cell r="G172" t="str">
            <v>WIRE</v>
          </cell>
          <cell r="H172" t="str">
            <v>WUL1391</v>
          </cell>
        </row>
        <row r="173">
          <cell r="F173" t="str">
            <v>3302#24 RED</v>
          </cell>
          <cell r="G173" t="str">
            <v>WIRE</v>
          </cell>
          <cell r="H173" t="str">
            <v>WUL1390</v>
          </cell>
        </row>
        <row r="174">
          <cell r="F174" t="str">
            <v>3302#28 WHT</v>
          </cell>
          <cell r="G174" t="str">
            <v>WIRE</v>
          </cell>
          <cell r="H174" t="str">
            <v>WUL1389</v>
          </cell>
        </row>
        <row r="175">
          <cell r="F175" t="str">
            <v>3302#26 BLK</v>
          </cell>
          <cell r="G175" t="str">
            <v>WIRE</v>
          </cell>
          <cell r="H175" t="str">
            <v>WUL1388</v>
          </cell>
        </row>
        <row r="176">
          <cell r="F176" t="str">
            <v>3302#26 RED</v>
          </cell>
          <cell r="G176" t="str">
            <v>WIRE</v>
          </cell>
          <cell r="H176" t="str">
            <v>WUL1387</v>
          </cell>
        </row>
        <row r="177">
          <cell r="F177" t="str">
            <v>5048#23 WHT</v>
          </cell>
          <cell r="G177" t="str">
            <v>WIRE</v>
          </cell>
          <cell r="H177" t="str">
            <v>WUL1386</v>
          </cell>
        </row>
        <row r="178">
          <cell r="F178" t="str">
            <v>5048#23 W/RED</v>
          </cell>
          <cell r="G178" t="str">
            <v>WIRE</v>
          </cell>
          <cell r="H178" t="str">
            <v>WUL1385</v>
          </cell>
        </row>
        <row r="179">
          <cell r="F179" t="str">
            <v>5048#23 W/BLK</v>
          </cell>
          <cell r="G179" t="str">
            <v>WIRE</v>
          </cell>
          <cell r="H179" t="str">
            <v>WUL1384</v>
          </cell>
        </row>
        <row r="180">
          <cell r="F180" t="str">
            <v>10125#28 W/BRN</v>
          </cell>
          <cell r="G180" t="str">
            <v>WIRE</v>
          </cell>
          <cell r="H180" t="str">
            <v>WUL1383</v>
          </cell>
        </row>
        <row r="181">
          <cell r="F181" t="str">
            <v>10125#28 W/BLU</v>
          </cell>
          <cell r="G181" t="str">
            <v>WIRE</v>
          </cell>
          <cell r="H181" t="str">
            <v>WUL1382</v>
          </cell>
        </row>
        <row r="182">
          <cell r="F182" t="str">
            <v>10125#28 GRN</v>
          </cell>
          <cell r="G182" t="str">
            <v>WIRE</v>
          </cell>
          <cell r="H182" t="str">
            <v>WUL1381</v>
          </cell>
        </row>
        <row r="183">
          <cell r="F183" t="str">
            <v>10125#28 WHT</v>
          </cell>
          <cell r="G183" t="str">
            <v>WIRE</v>
          </cell>
          <cell r="H183" t="str">
            <v>WUL1380</v>
          </cell>
        </row>
        <row r="184">
          <cell r="F184" t="str">
            <v>1283#8 G/YEL</v>
          </cell>
          <cell r="G184" t="str">
            <v>WIRE</v>
          </cell>
          <cell r="H184" t="str">
            <v>WUL1379</v>
          </cell>
        </row>
        <row r="185">
          <cell r="F185" t="str">
            <v>2095#24 2C GY(RD,BK)</v>
          </cell>
          <cell r="G185" t="str">
            <v>WIRE</v>
          </cell>
          <cell r="H185" t="str">
            <v>WUL1378</v>
          </cell>
        </row>
        <row r="186">
          <cell r="F186" t="str">
            <v>10125#28/A YEL</v>
          </cell>
          <cell r="G186" t="str">
            <v>WIRE</v>
          </cell>
          <cell r="H186" t="str">
            <v>WUL1377</v>
          </cell>
        </row>
        <row r="187">
          <cell r="F187" t="str">
            <v>10125#28/A VIO</v>
          </cell>
          <cell r="G187" t="str">
            <v>WIRE</v>
          </cell>
          <cell r="H187" t="str">
            <v>WUL1376</v>
          </cell>
        </row>
        <row r="188">
          <cell r="F188" t="str">
            <v>10125#28/A S/BLU</v>
          </cell>
          <cell r="G188" t="str">
            <v>WIRE</v>
          </cell>
          <cell r="H188" t="str">
            <v>WUL1375</v>
          </cell>
        </row>
        <row r="189">
          <cell r="F189" t="str">
            <v>10125#28/A PNK</v>
          </cell>
          <cell r="G189" t="str">
            <v>WIRE</v>
          </cell>
          <cell r="H189" t="str">
            <v>WUL1374</v>
          </cell>
        </row>
        <row r="190">
          <cell r="F190" t="str">
            <v>10125#28/A ORG</v>
          </cell>
          <cell r="G190" t="str">
            <v>WIRE</v>
          </cell>
          <cell r="H190" t="str">
            <v>WUL1373</v>
          </cell>
        </row>
        <row r="191">
          <cell r="F191" t="str">
            <v>10125#28/A GRY</v>
          </cell>
          <cell r="G191" t="str">
            <v>WIRE</v>
          </cell>
          <cell r="H191" t="str">
            <v>WUL1372</v>
          </cell>
        </row>
        <row r="192">
          <cell r="F192" t="str">
            <v>10125#28/A BRN</v>
          </cell>
          <cell r="G192" t="str">
            <v>WIRE</v>
          </cell>
          <cell r="H192" t="str">
            <v>WUL1371</v>
          </cell>
        </row>
        <row r="193">
          <cell r="F193" t="str">
            <v>10125#28/A BLU</v>
          </cell>
          <cell r="G193" t="str">
            <v>WIRE</v>
          </cell>
          <cell r="H193" t="str">
            <v>WUL1370</v>
          </cell>
        </row>
        <row r="194">
          <cell r="F194" t="str">
            <v>10125#28/A BLK</v>
          </cell>
          <cell r="G194" t="str">
            <v>WIRE</v>
          </cell>
          <cell r="H194" t="str">
            <v>WUL1369</v>
          </cell>
        </row>
        <row r="195">
          <cell r="F195" t="str">
            <v>21451(#28*2C+#28*1P)+AL+B+1D Ø3.5 BLK</v>
          </cell>
          <cell r="G195" t="str">
            <v>WIRE</v>
          </cell>
          <cell r="H195" t="str">
            <v>WUL1368</v>
          </cell>
        </row>
        <row r="196">
          <cell r="F196" t="str">
            <v>2464#24 8C BLK (RED, YEL, GRN, BLU, BLK, BRN, ORG, WHT)</v>
          </cell>
          <cell r="G196" t="str">
            <v>WIRE</v>
          </cell>
          <cell r="H196" t="str">
            <v>WUL1367</v>
          </cell>
        </row>
        <row r="197">
          <cell r="F197" t="str">
            <v>1330#14 RED</v>
          </cell>
          <cell r="G197" t="str">
            <v>TEFLON WIRE</v>
          </cell>
          <cell r="H197" t="str">
            <v>WUL1366</v>
          </cell>
        </row>
        <row r="198">
          <cell r="F198" t="str">
            <v>1330#14 BLK</v>
          </cell>
          <cell r="G198" t="str">
            <v>TEFLON WIRE</v>
          </cell>
          <cell r="H198" t="str">
            <v>WUL1365</v>
          </cell>
        </row>
        <row r="199">
          <cell r="F199" t="str">
            <v>2651#26 6C (ORG/WHT)</v>
          </cell>
          <cell r="G199" t="str">
            <v>FLAT WIRE</v>
          </cell>
          <cell r="H199" t="str">
            <v>WUL1364</v>
          </cell>
        </row>
        <row r="200">
          <cell r="F200" t="str">
            <v>21914#22 8C BK(BK,BN,RD,OG,YL,GN,BL,WH)</v>
          </cell>
          <cell r="G200" t="str">
            <v>WIRE</v>
          </cell>
          <cell r="H200" t="str">
            <v>WUL1363</v>
          </cell>
        </row>
        <row r="201">
          <cell r="F201" t="str">
            <v>21914#22 2C BK(BK,WH)</v>
          </cell>
          <cell r="G201" t="str">
            <v>WIRE</v>
          </cell>
          <cell r="H201" t="str">
            <v>WUL1362</v>
          </cell>
        </row>
        <row r="202">
          <cell r="F202" t="str">
            <v>2464#20 4C BLK (BLK, WHT, RED, GRN)</v>
          </cell>
          <cell r="G202" t="str">
            <v>WIRE</v>
          </cell>
          <cell r="H202" t="str">
            <v>WUL1361</v>
          </cell>
        </row>
        <row r="203">
          <cell r="F203" t="str">
            <v>3133#20 BLK(5Ø)</v>
          </cell>
          <cell r="G203" t="str">
            <v>WIRE</v>
          </cell>
          <cell r="H203" t="str">
            <v>WUL1360</v>
          </cell>
        </row>
        <row r="204">
          <cell r="F204" t="str">
            <v>21016#28 4C (BLK/GRY)</v>
          </cell>
          <cell r="G204" t="str">
            <v>FLAT WIRE</v>
          </cell>
          <cell r="H204" t="str">
            <v>WUL1359</v>
          </cell>
        </row>
        <row r="205">
          <cell r="F205" t="str">
            <v>21016#28 3C (BLK/GRY)</v>
          </cell>
          <cell r="G205" t="str">
            <v>FLAT WIRE</v>
          </cell>
          <cell r="H205" t="str">
            <v>WUL1358</v>
          </cell>
        </row>
        <row r="206">
          <cell r="F206" t="str">
            <v>21016#28 6C (BLK/GRY)</v>
          </cell>
          <cell r="G206" t="str">
            <v>FLAT WIRE</v>
          </cell>
          <cell r="H206" t="str">
            <v>WUL1357</v>
          </cell>
        </row>
        <row r="207">
          <cell r="F207" t="str">
            <v>2464#18 2C WHT (BLK, WHT)</v>
          </cell>
          <cell r="G207" t="str">
            <v>WIRE</v>
          </cell>
          <cell r="H207" t="str">
            <v>WUL1356</v>
          </cell>
        </row>
        <row r="208">
          <cell r="F208" t="str">
            <v>1061#16 GRY</v>
          </cell>
          <cell r="G208" t="str">
            <v>WIRE</v>
          </cell>
          <cell r="H208" t="str">
            <v>WUL1355</v>
          </cell>
        </row>
        <row r="209">
          <cell r="F209" t="str">
            <v>1061#16 BRN</v>
          </cell>
          <cell r="G209" t="str">
            <v>WIRE</v>
          </cell>
          <cell r="H209" t="str">
            <v>WUL1354</v>
          </cell>
        </row>
        <row r="210">
          <cell r="F210" t="str">
            <v>HVSF1.25SQ GRY</v>
          </cell>
          <cell r="G210" t="str">
            <v>WIRE</v>
          </cell>
          <cell r="H210" t="str">
            <v>WUL1353</v>
          </cell>
        </row>
        <row r="211">
          <cell r="F211" t="str">
            <v>HVSF1.25SQ BLU</v>
          </cell>
          <cell r="G211" t="str">
            <v>WIRE</v>
          </cell>
          <cell r="H211" t="str">
            <v>WUL1352</v>
          </cell>
        </row>
        <row r="212">
          <cell r="F212" t="str">
            <v>3275#12 BLK</v>
          </cell>
          <cell r="G212" t="str">
            <v>WIRE</v>
          </cell>
          <cell r="H212" t="str">
            <v>WUL1351</v>
          </cell>
        </row>
        <row r="213">
          <cell r="F213" t="str">
            <v>1007#26 W/PNK</v>
          </cell>
          <cell r="G213" t="str">
            <v>WIRE</v>
          </cell>
          <cell r="H213" t="str">
            <v>WUL1350</v>
          </cell>
        </row>
        <row r="214">
          <cell r="F214" t="str">
            <v>3068#16 BLU</v>
          </cell>
          <cell r="G214" t="str">
            <v>WIRE</v>
          </cell>
          <cell r="H214" t="str">
            <v>WUL1349</v>
          </cell>
        </row>
        <row r="215">
          <cell r="F215" t="str">
            <v>3068#16 RED</v>
          </cell>
          <cell r="G215" t="str">
            <v>WIRE</v>
          </cell>
          <cell r="H215" t="str">
            <v>WUL1348</v>
          </cell>
        </row>
        <row r="216">
          <cell r="F216" t="str">
            <v>3343#16 YEL</v>
          </cell>
          <cell r="G216" t="str">
            <v>WIRE</v>
          </cell>
          <cell r="H216" t="str">
            <v>WUL1347</v>
          </cell>
        </row>
        <row r="217">
          <cell r="F217" t="str">
            <v>3343#16 BLU</v>
          </cell>
          <cell r="G217" t="str">
            <v>WIRE</v>
          </cell>
          <cell r="H217" t="str">
            <v>WUL1346</v>
          </cell>
        </row>
        <row r="218">
          <cell r="F218" t="str">
            <v>1332#16 BRN</v>
          </cell>
          <cell r="G218" t="str">
            <v>WIRE</v>
          </cell>
          <cell r="H218" t="str">
            <v>WUL1345</v>
          </cell>
        </row>
        <row r="219">
          <cell r="F219" t="str">
            <v>1332#16 BLU</v>
          </cell>
          <cell r="G219" t="str">
            <v>WIRE</v>
          </cell>
          <cell r="H219" t="str">
            <v>WUL1344</v>
          </cell>
        </row>
        <row r="220">
          <cell r="F220" t="str">
            <v>TEFRON #20 BLK</v>
          </cell>
          <cell r="G220" t="str">
            <v>WIRE</v>
          </cell>
          <cell r="H220" t="str">
            <v>WUL1343</v>
          </cell>
        </row>
        <row r="221">
          <cell r="F221" t="str">
            <v>IEC60227 0.5SQ WHT</v>
          </cell>
          <cell r="G221" t="str">
            <v>WIRE</v>
          </cell>
          <cell r="H221" t="str">
            <v>WUL1342</v>
          </cell>
        </row>
        <row r="222">
          <cell r="F222" t="str">
            <v>3271#20 S/BLU</v>
          </cell>
          <cell r="G222" t="str">
            <v>WIRE</v>
          </cell>
          <cell r="H222" t="str">
            <v>WUL1341</v>
          </cell>
        </row>
        <row r="223">
          <cell r="F223" t="str">
            <v>3271#20 ORG</v>
          </cell>
          <cell r="G223" t="str">
            <v>WIRE</v>
          </cell>
          <cell r="H223" t="str">
            <v>WUL1340</v>
          </cell>
        </row>
        <row r="224">
          <cell r="F224" t="str">
            <v>2468#22 2C (WHT, WHT)</v>
          </cell>
          <cell r="G224" t="str">
            <v>FLAT WIRE</v>
          </cell>
          <cell r="H224" t="str">
            <v>WUL1339</v>
          </cell>
        </row>
        <row r="225">
          <cell r="F225" t="str">
            <v>2468#22 2C (ORG, ORG)</v>
          </cell>
          <cell r="G225" t="str">
            <v>FLAT WIRE</v>
          </cell>
          <cell r="H225" t="str">
            <v>WUL1338</v>
          </cell>
        </row>
        <row r="226">
          <cell r="F226" t="str">
            <v>2464#24 6C BLK (BLK, WHT, RED, GRN, BLU, YEL)</v>
          </cell>
          <cell r="G226" t="str">
            <v>WIRE</v>
          </cell>
          <cell r="H226" t="str">
            <v>WUL1337</v>
          </cell>
        </row>
        <row r="227">
          <cell r="F227" t="str">
            <v>2464#24 5C BLK (BLK, WHT, RED, GRN, BLU)</v>
          </cell>
          <cell r="G227" t="str">
            <v>WIRE</v>
          </cell>
          <cell r="H227" t="str">
            <v>WUL1336</v>
          </cell>
        </row>
        <row r="228">
          <cell r="F228" t="str">
            <v>2464#24 4C WHT (BLK, WHT, RED, GRN)</v>
          </cell>
          <cell r="G228" t="str">
            <v>WIRE</v>
          </cell>
          <cell r="H228" t="str">
            <v>WUL1335</v>
          </cell>
        </row>
        <row r="229">
          <cell r="F229" t="str">
            <v>2464#24 4C BLK (BLK, WHT, RED, GRN)</v>
          </cell>
          <cell r="G229" t="str">
            <v>WIRE</v>
          </cell>
          <cell r="H229" t="str">
            <v>WUL1334</v>
          </cell>
        </row>
        <row r="230">
          <cell r="F230" t="str">
            <v>2464#24 2C BLK (BLK, WHT)</v>
          </cell>
          <cell r="G230" t="str">
            <v>WIRE</v>
          </cell>
          <cell r="H230" t="str">
            <v>WUL1333</v>
          </cell>
        </row>
        <row r="231">
          <cell r="F231" t="str">
            <v>2464#22 6C WHT (BLK, WHT, RED, GRN, BLU, YEL)</v>
          </cell>
          <cell r="G231" t="str">
            <v>WIRE</v>
          </cell>
          <cell r="H231" t="str">
            <v>WUL1332</v>
          </cell>
        </row>
        <row r="232">
          <cell r="F232" t="str">
            <v>2464#20 5C BLK (BLK, WHT, RED, GRN BLU)</v>
          </cell>
          <cell r="G232" t="str">
            <v>WIRE</v>
          </cell>
          <cell r="H232" t="str">
            <v>WUL1331</v>
          </cell>
        </row>
        <row r="233">
          <cell r="F233" t="str">
            <v>1333#20 GRN</v>
          </cell>
          <cell r="G233" t="str">
            <v>TEFLON WIRE</v>
          </cell>
          <cell r="H233" t="str">
            <v>WUL1330</v>
          </cell>
        </row>
        <row r="234">
          <cell r="F234" t="str">
            <v>2651#26 8C BLK (RED/WHT)</v>
          </cell>
          <cell r="G234" t="str">
            <v>FLAT WIRE</v>
          </cell>
          <cell r="H234" t="str">
            <v>WUL1329</v>
          </cell>
        </row>
        <row r="235">
          <cell r="F235" t="str">
            <v>1332#16 RED</v>
          </cell>
          <cell r="G235" t="str">
            <v>WIRE</v>
          </cell>
          <cell r="H235" t="str">
            <v>WUL1328</v>
          </cell>
        </row>
        <row r="236">
          <cell r="F236" t="str">
            <v>1332#16 BLK</v>
          </cell>
          <cell r="G236" t="str">
            <v>WIRE</v>
          </cell>
          <cell r="H236" t="str">
            <v>WUL1327</v>
          </cell>
        </row>
        <row r="237">
          <cell r="F237" t="str">
            <v>1332#24 BLK</v>
          </cell>
          <cell r="G237" t="str">
            <v>WIRE</v>
          </cell>
          <cell r="H237" t="str">
            <v>WUL1326</v>
          </cell>
        </row>
        <row r="238">
          <cell r="F238" t="str">
            <v>2651#24 3C (ORG/WHT)</v>
          </cell>
          <cell r="G238" t="str">
            <v>FLAT WIRE</v>
          </cell>
          <cell r="H238" t="str">
            <v>WUL1325</v>
          </cell>
        </row>
        <row r="239">
          <cell r="F239" t="str">
            <v>2651#26 2C (ORG/WHT)</v>
          </cell>
          <cell r="G239" t="str">
            <v>FLAT WIRE</v>
          </cell>
          <cell r="H239" t="str">
            <v>WUL1324</v>
          </cell>
        </row>
        <row r="240">
          <cell r="F240" t="str">
            <v>2651#26 3C (ORG/WHT)</v>
          </cell>
          <cell r="G240" t="str">
            <v>FLAT WIRE</v>
          </cell>
          <cell r="H240" t="str">
            <v>WUL1323</v>
          </cell>
        </row>
        <row r="241">
          <cell r="F241" t="str">
            <v>1007#20/A YEL</v>
          </cell>
          <cell r="G241" t="str">
            <v>WIRE</v>
          </cell>
          <cell r="H241" t="str">
            <v>WUL1322</v>
          </cell>
        </row>
        <row r="242">
          <cell r="F242" t="str">
            <v>3275#18 YEL</v>
          </cell>
          <cell r="G242" t="str">
            <v>WIRE</v>
          </cell>
          <cell r="H242" t="str">
            <v>WUL1321</v>
          </cell>
        </row>
        <row r="243">
          <cell r="F243" t="str">
            <v>3275#18 BLU</v>
          </cell>
          <cell r="G243" t="str">
            <v>WIRE</v>
          </cell>
          <cell r="H243" t="str">
            <v>WUL1320</v>
          </cell>
        </row>
        <row r="244">
          <cell r="F244" t="str">
            <v>3275#18 S/BLU</v>
          </cell>
          <cell r="G244" t="str">
            <v>WIRE</v>
          </cell>
          <cell r="H244" t="str">
            <v>WUL1319</v>
          </cell>
        </row>
        <row r="245">
          <cell r="F245" t="str">
            <v>3275#18 BRN</v>
          </cell>
          <cell r="G245" t="str">
            <v>WIRE</v>
          </cell>
          <cell r="H245" t="str">
            <v>WUL1318</v>
          </cell>
        </row>
        <row r="246">
          <cell r="F246" t="str">
            <v>3275#10 RED</v>
          </cell>
          <cell r="G246" t="str">
            <v>WIRE</v>
          </cell>
          <cell r="H246" t="str">
            <v>WUL1317</v>
          </cell>
        </row>
        <row r="247">
          <cell r="F247" t="str">
            <v>3275#10 BRN</v>
          </cell>
          <cell r="G247" t="str">
            <v>WIRE</v>
          </cell>
          <cell r="H247" t="str">
            <v>WUL1316</v>
          </cell>
        </row>
        <row r="248">
          <cell r="F248" t="str">
            <v>3275#10 BLK</v>
          </cell>
          <cell r="G248" t="str">
            <v>WIRE</v>
          </cell>
          <cell r="H248" t="str">
            <v>WUL1315</v>
          </cell>
        </row>
        <row r="249">
          <cell r="F249" t="str">
            <v>21296[#28*1P,#28*6C,AMESB,5.7pi,BK]</v>
          </cell>
          <cell r="G249" t="str">
            <v>WIRE</v>
          </cell>
          <cell r="H249" t="str">
            <v>WUL1314</v>
          </cell>
        </row>
        <row r="250">
          <cell r="F250" t="str">
            <v>2468#26 9C (BLK/WHT)</v>
          </cell>
          <cell r="G250" t="str">
            <v>FLAT WIRE</v>
          </cell>
          <cell r="H250" t="str">
            <v>WUL1313</v>
          </cell>
        </row>
        <row r="251">
          <cell r="F251" t="str">
            <v>3321#16 ORG</v>
          </cell>
          <cell r="G251" t="str">
            <v>WIRE</v>
          </cell>
          <cell r="H251" t="str">
            <v>WUL1312</v>
          </cell>
        </row>
        <row r="252">
          <cell r="F252" t="str">
            <v>HGMPCBL4</v>
          </cell>
          <cell r="G252" t="str">
            <v>FTP CABLE</v>
          </cell>
          <cell r="H252" t="str">
            <v>WUL1311</v>
          </cell>
        </row>
        <row r="253">
          <cell r="F253" t="str">
            <v>HGMPCBL3</v>
          </cell>
          <cell r="G253" t="str">
            <v>FTP CABLE</v>
          </cell>
          <cell r="H253" t="str">
            <v>WUL1310</v>
          </cell>
        </row>
        <row r="254">
          <cell r="F254" t="str">
            <v>HGMPCBL2</v>
          </cell>
          <cell r="G254" t="str">
            <v>FTP CABLE</v>
          </cell>
          <cell r="H254" t="str">
            <v>WUL1309</v>
          </cell>
        </row>
        <row r="255">
          <cell r="F255" t="str">
            <v>HGMPCBL1.5</v>
          </cell>
          <cell r="G255" t="str">
            <v>FTP CABLE</v>
          </cell>
          <cell r="H255" t="str">
            <v>WUL1308</v>
          </cell>
        </row>
        <row r="256">
          <cell r="F256" t="str">
            <v>3302#26 WHT</v>
          </cell>
          <cell r="G256" t="str">
            <v>WIRE</v>
          </cell>
          <cell r="H256" t="str">
            <v>WUL1307</v>
          </cell>
        </row>
        <row r="257">
          <cell r="F257" t="str">
            <v>2095#26 4C BK(BK,BN,RD,OG)</v>
          </cell>
          <cell r="G257" t="str">
            <v>WIRE</v>
          </cell>
          <cell r="H257" t="str">
            <v>WUL1306</v>
          </cell>
        </row>
        <row r="258">
          <cell r="F258" t="str">
            <v>2651#24 5C (ORG/WHT)</v>
          </cell>
          <cell r="G258" t="str">
            <v>FLAT WIRE</v>
          </cell>
          <cell r="H258" t="str">
            <v>WUL1305</v>
          </cell>
        </row>
        <row r="259">
          <cell r="F259" t="str">
            <v>2651#24 4C (ORG/WHT)</v>
          </cell>
          <cell r="G259" t="str">
            <v>FLAT WIRE</v>
          </cell>
          <cell r="H259" t="str">
            <v>WUL1304</v>
          </cell>
        </row>
        <row r="260">
          <cell r="F260" t="str">
            <v>2651#24 7C (ORG/WHT)</v>
          </cell>
          <cell r="G260" t="str">
            <v>FLAT WIRE</v>
          </cell>
          <cell r="H260" t="str">
            <v>WUL1303</v>
          </cell>
        </row>
        <row r="261">
          <cell r="F261" t="str">
            <v>1569#14 ORG</v>
          </cell>
          <cell r="G261" t="str">
            <v>WIRE</v>
          </cell>
          <cell r="H261" t="str">
            <v>WUL1302</v>
          </cell>
        </row>
        <row r="262">
          <cell r="F262" t="str">
            <v>1569#14 BRN</v>
          </cell>
          <cell r="G262" t="str">
            <v>WIRE</v>
          </cell>
          <cell r="H262" t="str">
            <v>WUL1301</v>
          </cell>
        </row>
        <row r="263">
          <cell r="F263" t="str">
            <v>1569#14 BLK</v>
          </cell>
          <cell r="G263" t="str">
            <v>WIRE</v>
          </cell>
          <cell r="H263" t="str">
            <v>WUL1300</v>
          </cell>
        </row>
        <row r="264">
          <cell r="F264" t="str">
            <v>2095#24 5C BK(RD,PK,BL,OG,YL)</v>
          </cell>
          <cell r="G264" t="str">
            <v>WIRE</v>
          </cell>
          <cell r="H264" t="str">
            <v>WUL1299</v>
          </cell>
        </row>
        <row r="265">
          <cell r="F265" t="str">
            <v>10125#26 BLU</v>
          </cell>
          <cell r="G265" t="str">
            <v>WIRE</v>
          </cell>
          <cell r="H265" t="str">
            <v>WUL1298</v>
          </cell>
        </row>
        <row r="266">
          <cell r="F266" t="str">
            <v>1015#18(L) G/YEL</v>
          </cell>
          <cell r="G266" t="str">
            <v>WIRE</v>
          </cell>
          <cell r="H266" t="str">
            <v>WUL1297</v>
          </cell>
        </row>
        <row r="267">
          <cell r="F267" t="str">
            <v>3275#14 WHT</v>
          </cell>
          <cell r="G267" t="str">
            <v>WIRE</v>
          </cell>
          <cell r="H267" t="str">
            <v>WUL1296</v>
          </cell>
        </row>
        <row r="268">
          <cell r="F268" t="str">
            <v>3275#14 YEL</v>
          </cell>
          <cell r="G268" t="str">
            <v>WIRE</v>
          </cell>
          <cell r="H268" t="str">
            <v>WUL1295</v>
          </cell>
        </row>
        <row r="269">
          <cell r="F269" t="str">
            <v>3275#10 WHT</v>
          </cell>
          <cell r="G269" t="str">
            <v>WIRE</v>
          </cell>
          <cell r="H269" t="str">
            <v>WUL1294</v>
          </cell>
        </row>
        <row r="270">
          <cell r="F270" t="str">
            <v>3275#18 BLK</v>
          </cell>
          <cell r="G270" t="str">
            <v>WIRE</v>
          </cell>
          <cell r="H270" t="str">
            <v>WUL1293</v>
          </cell>
        </row>
        <row r="271">
          <cell r="F271" t="str">
            <v>3275#18 WHT</v>
          </cell>
          <cell r="G271" t="str">
            <v>WIRE</v>
          </cell>
          <cell r="H271" t="str">
            <v>WUL1292</v>
          </cell>
        </row>
        <row r="272">
          <cell r="F272" t="str">
            <v>3275#18 RED</v>
          </cell>
          <cell r="G272" t="str">
            <v>WIRE</v>
          </cell>
          <cell r="H272" t="str">
            <v>WUL1291</v>
          </cell>
        </row>
        <row r="273">
          <cell r="F273" t="str">
            <v>1007#18/A WHT</v>
          </cell>
          <cell r="G273" t="str">
            <v>WIRE</v>
          </cell>
          <cell r="H273" t="str">
            <v>WUL1290</v>
          </cell>
        </row>
        <row r="274">
          <cell r="F274" t="str">
            <v>21016#26 7C (BLK/GRY)</v>
          </cell>
          <cell r="G274" t="str">
            <v>FLAT WIRE</v>
          </cell>
          <cell r="H274" t="str">
            <v>WUL1289</v>
          </cell>
        </row>
        <row r="275">
          <cell r="F275" t="str">
            <v>2468#24 4C (ORG/WHT)</v>
          </cell>
          <cell r="G275" t="str">
            <v>FLAT WIRE</v>
          </cell>
          <cell r="H275" t="str">
            <v>WUL1288</v>
          </cell>
        </row>
        <row r="276">
          <cell r="F276" t="str">
            <v>3135#20 BLU</v>
          </cell>
          <cell r="G276" t="str">
            <v>WIRE</v>
          </cell>
          <cell r="H276" t="str">
            <v>WUL1287</v>
          </cell>
        </row>
        <row r="277">
          <cell r="F277" t="str">
            <v>3135#20 RED</v>
          </cell>
          <cell r="G277" t="str">
            <v>WIRE</v>
          </cell>
          <cell r="H277" t="str">
            <v>WUL1286</v>
          </cell>
        </row>
        <row r="278">
          <cell r="F278" t="str">
            <v>3135#22 RED</v>
          </cell>
          <cell r="G278" t="str">
            <v>WIRE</v>
          </cell>
          <cell r="H278" t="str">
            <v>WUL1285</v>
          </cell>
        </row>
        <row r="279">
          <cell r="F279" t="str">
            <v>3135#22 BLU</v>
          </cell>
          <cell r="G279" t="str">
            <v>WIRE</v>
          </cell>
          <cell r="H279" t="str">
            <v>WUL1284</v>
          </cell>
        </row>
        <row r="280">
          <cell r="F280" t="str">
            <v>2095#26 6C GY(BN,WH,RD,OG,YL,BL)</v>
          </cell>
          <cell r="G280" t="str">
            <v>WIRE</v>
          </cell>
          <cell r="H280" t="str">
            <v>WUL1283</v>
          </cell>
        </row>
        <row r="281">
          <cell r="F281" t="str">
            <v>2095#24 4C GY(RD,BK,BL,YL)</v>
          </cell>
          <cell r="G281" t="str">
            <v>WIRE</v>
          </cell>
          <cell r="H281" t="str">
            <v>WUL1282</v>
          </cell>
        </row>
        <row r="282">
          <cell r="F282" t="str">
            <v>10125#26 YEL</v>
          </cell>
          <cell r="G282" t="str">
            <v>WIRE</v>
          </cell>
          <cell r="H282" t="str">
            <v>WUL1281</v>
          </cell>
        </row>
        <row r="283">
          <cell r="F283" t="str">
            <v>10125#26 GRN</v>
          </cell>
          <cell r="G283" t="str">
            <v>WIRE</v>
          </cell>
          <cell r="H283" t="str">
            <v>WUL1280</v>
          </cell>
        </row>
        <row r="284">
          <cell r="F284" t="str">
            <v>10125#26 RED</v>
          </cell>
          <cell r="G284" t="str">
            <v>WIRE</v>
          </cell>
          <cell r="H284" t="str">
            <v>WUL1279</v>
          </cell>
        </row>
        <row r="285">
          <cell r="F285" t="str">
            <v>10125#26 WHT</v>
          </cell>
          <cell r="G285" t="str">
            <v>WIRE</v>
          </cell>
          <cell r="H285" t="str">
            <v>WUL1278</v>
          </cell>
        </row>
        <row r="286">
          <cell r="F286" t="str">
            <v>10125#26 BLK</v>
          </cell>
          <cell r="G286" t="str">
            <v>WIRE</v>
          </cell>
          <cell r="H286" t="str">
            <v>WUL1277</v>
          </cell>
        </row>
        <row r="287">
          <cell r="F287" t="str">
            <v>2095#26 5C GY(OG,RD,YL,BK,BL)</v>
          </cell>
          <cell r="G287" t="str">
            <v>WIRE</v>
          </cell>
          <cell r="H287" t="str">
            <v>WUL1276</v>
          </cell>
        </row>
        <row r="288">
          <cell r="F288" t="str">
            <v>2095#22 4C GY(RD,BK,WH,YL)</v>
          </cell>
          <cell r="G288" t="str">
            <v>WIRE</v>
          </cell>
          <cell r="H288" t="str">
            <v>WUL1275</v>
          </cell>
        </row>
        <row r="289">
          <cell r="F289" t="str">
            <v>1015#24 W/YEL</v>
          </cell>
          <cell r="G289" t="str">
            <v>WIRE</v>
          </cell>
          <cell r="H289" t="str">
            <v>WUL1274</v>
          </cell>
        </row>
        <row r="290">
          <cell r="F290" t="str">
            <v>1015#24 W/VIO</v>
          </cell>
          <cell r="G290" t="str">
            <v>WIRE</v>
          </cell>
          <cell r="H290" t="str">
            <v>WUL1273</v>
          </cell>
        </row>
        <row r="291">
          <cell r="F291" t="str">
            <v>1015#24 W/RED</v>
          </cell>
          <cell r="G291" t="str">
            <v>WIRE</v>
          </cell>
          <cell r="H291" t="str">
            <v>WUL1272</v>
          </cell>
        </row>
        <row r="292">
          <cell r="F292" t="str">
            <v>1015#24 W/ORG</v>
          </cell>
          <cell r="G292" t="str">
            <v>WIRE</v>
          </cell>
          <cell r="H292" t="str">
            <v>WUL1271</v>
          </cell>
        </row>
        <row r="293">
          <cell r="F293" t="str">
            <v>1015#24 W/GRY</v>
          </cell>
          <cell r="G293" t="str">
            <v>WIRE</v>
          </cell>
          <cell r="H293" t="str">
            <v>WUL1270</v>
          </cell>
        </row>
        <row r="294">
          <cell r="F294" t="str">
            <v>1015#24 W/BRN</v>
          </cell>
          <cell r="G294" t="str">
            <v>WIRE</v>
          </cell>
          <cell r="H294" t="str">
            <v>WUL1269</v>
          </cell>
        </row>
        <row r="295">
          <cell r="F295" t="str">
            <v>1015#24 W/BLU</v>
          </cell>
          <cell r="G295" t="str">
            <v>WIRE</v>
          </cell>
          <cell r="H295" t="str">
            <v>WUL1268</v>
          </cell>
        </row>
        <row r="296">
          <cell r="F296" t="str">
            <v>1015#24 W/BLK</v>
          </cell>
          <cell r="G296" t="str">
            <v>WIRE</v>
          </cell>
          <cell r="H296" t="str">
            <v>WUL1267</v>
          </cell>
        </row>
        <row r="297">
          <cell r="F297" t="str">
            <v>1015#24 S/BLU</v>
          </cell>
          <cell r="G297" t="str">
            <v>WIRE</v>
          </cell>
          <cell r="H297" t="str">
            <v>WUL1266</v>
          </cell>
        </row>
        <row r="298">
          <cell r="F298" t="str">
            <v>1015#24 PNK</v>
          </cell>
          <cell r="G298" t="str">
            <v>WIRE</v>
          </cell>
          <cell r="H298" t="str">
            <v>WUL1265</v>
          </cell>
        </row>
        <row r="299">
          <cell r="F299" t="str">
            <v>1015#24 P/BLU</v>
          </cell>
          <cell r="G299" t="str">
            <v>WIRE</v>
          </cell>
          <cell r="H299" t="str">
            <v>WUL1264</v>
          </cell>
        </row>
        <row r="300">
          <cell r="F300" t="str">
            <v>1015#24 ORG</v>
          </cell>
          <cell r="G300" t="str">
            <v>WIRE</v>
          </cell>
          <cell r="H300" t="str">
            <v>WUL1263</v>
          </cell>
        </row>
        <row r="301">
          <cell r="F301" t="str">
            <v>1015#24 GRY</v>
          </cell>
          <cell r="G301" t="str">
            <v>WIRE</v>
          </cell>
          <cell r="H301" t="str">
            <v>WUL1262</v>
          </cell>
        </row>
        <row r="302">
          <cell r="F302" t="str">
            <v>1015#24 GRN</v>
          </cell>
          <cell r="G302" t="str">
            <v>WIRE</v>
          </cell>
          <cell r="H302" t="str">
            <v>WUL1261</v>
          </cell>
        </row>
        <row r="303">
          <cell r="F303" t="str">
            <v>1015#24 BLU</v>
          </cell>
          <cell r="G303" t="str">
            <v>WIRE</v>
          </cell>
          <cell r="H303" t="str">
            <v>WUL1260</v>
          </cell>
        </row>
        <row r="304">
          <cell r="F304" t="str">
            <v>2095#24 12C GY</v>
          </cell>
          <cell r="G304" t="str">
            <v>WIRE</v>
          </cell>
          <cell r="H304" t="str">
            <v>WUL1259</v>
          </cell>
        </row>
        <row r="305">
          <cell r="F305" t="str">
            <v>2095#24 13C GY</v>
          </cell>
          <cell r="G305" t="str">
            <v>WIRE</v>
          </cell>
          <cell r="H305" t="str">
            <v>WUL1258</v>
          </cell>
        </row>
        <row r="306">
          <cell r="F306" t="str">
            <v>2095#22 2C GY(RD,BK)</v>
          </cell>
          <cell r="G306" t="str">
            <v>WIRE</v>
          </cell>
          <cell r="H306" t="str">
            <v>WUL1257</v>
          </cell>
        </row>
        <row r="307">
          <cell r="F307" t="str">
            <v>1015#24/A W/VIO</v>
          </cell>
          <cell r="G307" t="str">
            <v>WIRE</v>
          </cell>
          <cell r="H307" t="str">
            <v>WUL1256</v>
          </cell>
        </row>
        <row r="308">
          <cell r="F308" t="str">
            <v>1015#24/A W/GRY</v>
          </cell>
          <cell r="G308" t="str">
            <v>WIRE</v>
          </cell>
          <cell r="H308" t="str">
            <v>WUL1255</v>
          </cell>
        </row>
        <row r="309">
          <cell r="F309" t="str">
            <v>1015#24/A W/BRN</v>
          </cell>
          <cell r="G309" t="str">
            <v>WIRE</v>
          </cell>
          <cell r="H309" t="str">
            <v>WUL1254</v>
          </cell>
        </row>
        <row r="310">
          <cell r="F310" t="str">
            <v>1015#24/A W/ORG</v>
          </cell>
          <cell r="G310" t="str">
            <v>WIRE</v>
          </cell>
          <cell r="H310" t="str">
            <v>WUL1253</v>
          </cell>
        </row>
        <row r="311">
          <cell r="F311" t="str">
            <v>1015#24/A W/YEL</v>
          </cell>
          <cell r="G311" t="str">
            <v>WIRE</v>
          </cell>
          <cell r="H311" t="str">
            <v>WUL1252</v>
          </cell>
        </row>
        <row r="312">
          <cell r="F312" t="str">
            <v>1015#24/A P/BLU</v>
          </cell>
          <cell r="G312" t="str">
            <v>WIRE</v>
          </cell>
          <cell r="H312" t="str">
            <v>WUL1251</v>
          </cell>
        </row>
        <row r="313">
          <cell r="F313" t="str">
            <v>1015#24/A S/BLU</v>
          </cell>
          <cell r="G313" t="str">
            <v>WIRE</v>
          </cell>
          <cell r="H313" t="str">
            <v>WUL1250</v>
          </cell>
        </row>
        <row r="314">
          <cell r="F314" t="str">
            <v>1015#24/A BLK</v>
          </cell>
          <cell r="G314" t="str">
            <v>WIRE</v>
          </cell>
          <cell r="H314" t="str">
            <v>WUL1249</v>
          </cell>
        </row>
        <row r="315">
          <cell r="F315" t="str">
            <v>1015#24/A GRY</v>
          </cell>
          <cell r="G315" t="str">
            <v>WIRE</v>
          </cell>
          <cell r="H315" t="str">
            <v>WUL1248</v>
          </cell>
        </row>
        <row r="316">
          <cell r="F316" t="str">
            <v>1015#24/A BLU</v>
          </cell>
          <cell r="G316" t="str">
            <v>WIRE</v>
          </cell>
          <cell r="H316" t="str">
            <v>WUL1247</v>
          </cell>
        </row>
        <row r="317">
          <cell r="F317" t="str">
            <v>1015#24/A RED</v>
          </cell>
          <cell r="G317" t="str">
            <v>WIRE</v>
          </cell>
          <cell r="H317" t="str">
            <v>WUL1246</v>
          </cell>
        </row>
        <row r="318">
          <cell r="F318" t="str">
            <v>1015#24/A WHT</v>
          </cell>
          <cell r="G318" t="str">
            <v>WIRE</v>
          </cell>
          <cell r="H318" t="str">
            <v>WUL1245</v>
          </cell>
        </row>
        <row r="319">
          <cell r="F319" t="str">
            <v>1015#24/A ORG</v>
          </cell>
          <cell r="G319" t="str">
            <v>WIRE</v>
          </cell>
          <cell r="H319" t="str">
            <v>WUL1244</v>
          </cell>
        </row>
        <row r="320">
          <cell r="F320" t="str">
            <v>1015#24/A GRN</v>
          </cell>
          <cell r="G320" t="str">
            <v>WIRE</v>
          </cell>
          <cell r="H320" t="str">
            <v>WUL1243</v>
          </cell>
        </row>
        <row r="321">
          <cell r="F321" t="str">
            <v>1015#24/A YEL</v>
          </cell>
          <cell r="G321" t="str">
            <v>WIRE</v>
          </cell>
          <cell r="H321" t="str">
            <v>WUL1242</v>
          </cell>
        </row>
        <row r="322">
          <cell r="F322" t="str">
            <v>1015#24/A PNK</v>
          </cell>
          <cell r="G322" t="str">
            <v>WIRE</v>
          </cell>
          <cell r="H322" t="str">
            <v>WUL1241</v>
          </cell>
        </row>
        <row r="323">
          <cell r="F323" t="str">
            <v>1015#24/A VIO</v>
          </cell>
          <cell r="G323" t="str">
            <v>WIRE</v>
          </cell>
          <cell r="H323" t="str">
            <v>WUL1240</v>
          </cell>
        </row>
        <row r="324">
          <cell r="F324" t="str">
            <v>1015#24/A BRN</v>
          </cell>
          <cell r="G324" t="str">
            <v>WIRE</v>
          </cell>
          <cell r="H324" t="str">
            <v>WUL1239</v>
          </cell>
        </row>
        <row r="325">
          <cell r="F325" t="str">
            <v>1015#24/A W/BLK</v>
          </cell>
          <cell r="G325" t="str">
            <v>WIRE</v>
          </cell>
          <cell r="H325" t="str">
            <v>WUL1238</v>
          </cell>
        </row>
        <row r="326">
          <cell r="F326" t="str">
            <v>1015#24/A W/BLU</v>
          </cell>
          <cell r="G326" t="str">
            <v>WIRE</v>
          </cell>
          <cell r="H326" t="str">
            <v>WUL1237</v>
          </cell>
        </row>
        <row r="327">
          <cell r="F327" t="str">
            <v>1015#24/A W/RED</v>
          </cell>
          <cell r="G327" t="str">
            <v>WIRE</v>
          </cell>
          <cell r="H327" t="str">
            <v>WUL1236</v>
          </cell>
        </row>
        <row r="328">
          <cell r="F328" t="str">
            <v>0.18/12*1.4pi</v>
          </cell>
          <cell r="G328" t="str">
            <v>Silicon wire</v>
          </cell>
          <cell r="H328" t="str">
            <v>WUL1235</v>
          </cell>
        </row>
        <row r="329">
          <cell r="F329" t="str">
            <v>2095#22 6C GY(RD,BL,WH,BK,YL,GN)</v>
          </cell>
          <cell r="G329" t="str">
            <v>WIRE</v>
          </cell>
          <cell r="H329" t="str">
            <v>WUL1234</v>
          </cell>
        </row>
        <row r="330">
          <cell r="F330" t="str">
            <v>1015#24 BRN</v>
          </cell>
          <cell r="G330" t="str">
            <v>WIRE</v>
          </cell>
          <cell r="H330" t="str">
            <v>WUL1233</v>
          </cell>
        </row>
        <row r="331">
          <cell r="F331" t="str">
            <v>20660#24 3C (ORG/WHT)</v>
          </cell>
          <cell r="G331" t="str">
            <v>FLAT WIRE</v>
          </cell>
          <cell r="H331" t="str">
            <v>WUL1232</v>
          </cell>
        </row>
        <row r="332">
          <cell r="F332" t="str">
            <v>1007#22 W/BRN</v>
          </cell>
          <cell r="G332" t="str">
            <v>WIRE</v>
          </cell>
          <cell r="H332" t="str">
            <v>WUL1231</v>
          </cell>
        </row>
        <row r="333">
          <cell r="F333" t="str">
            <v>1007#22/A W/BRN</v>
          </cell>
          <cell r="G333" t="str">
            <v>WIRE</v>
          </cell>
          <cell r="H333" t="str">
            <v>WUL1230</v>
          </cell>
        </row>
        <row r="334">
          <cell r="F334" t="str">
            <v>2095#24 3C GY(RD,OG,BK)</v>
          </cell>
          <cell r="G334" t="str">
            <v>WIRE</v>
          </cell>
          <cell r="H334" t="str">
            <v>WUL1229</v>
          </cell>
        </row>
        <row r="335">
          <cell r="F335" t="str">
            <v>1015#22/A W/VIO</v>
          </cell>
          <cell r="G335" t="str">
            <v>WIRE</v>
          </cell>
          <cell r="H335" t="str">
            <v>WUL1228</v>
          </cell>
        </row>
        <row r="336">
          <cell r="F336" t="str">
            <v>2095#28 2C GY(BK,RD)</v>
          </cell>
          <cell r="G336" t="str">
            <v>WIRE</v>
          </cell>
          <cell r="H336" t="str">
            <v>WUL1227</v>
          </cell>
        </row>
        <row r="337">
          <cell r="F337" t="str">
            <v>HiTRONIC Harnesswire(export)</v>
          </cell>
          <cell r="G337" t="str">
            <v>WIRE</v>
          </cell>
          <cell r="H337" t="str">
            <v>WUL1226</v>
          </cell>
        </row>
        <row r="338">
          <cell r="F338" t="str">
            <v>1333#20 RED</v>
          </cell>
          <cell r="G338" t="str">
            <v>TEFLON WIRE</v>
          </cell>
          <cell r="H338" t="str">
            <v>WUL1225</v>
          </cell>
        </row>
        <row r="339">
          <cell r="F339" t="str">
            <v>1015#10 S/BLU</v>
          </cell>
          <cell r="G339" t="str">
            <v>WIRE</v>
          </cell>
          <cell r="H339" t="str">
            <v>WUL1224</v>
          </cell>
        </row>
        <row r="340">
          <cell r="F340" t="str">
            <v>2095#26 3C GY(BK,RD,OG)</v>
          </cell>
          <cell r="G340" t="str">
            <v>WIRE</v>
          </cell>
          <cell r="H340" t="str">
            <v>WUL1223</v>
          </cell>
        </row>
        <row r="341">
          <cell r="F341" t="str">
            <v>1007#22/A G/YEL</v>
          </cell>
          <cell r="G341" t="str">
            <v>WIRE</v>
          </cell>
          <cell r="H341" t="str">
            <v>WUL1222</v>
          </cell>
        </row>
        <row r="342">
          <cell r="F342" t="str">
            <v>2468#26 3C (BLU/WHT)</v>
          </cell>
          <cell r="G342" t="str">
            <v>FLAT WIRE</v>
          </cell>
          <cell r="H342" t="str">
            <v>WUL1221</v>
          </cell>
        </row>
        <row r="343">
          <cell r="F343" t="str">
            <v>2468#26 4C (BLU/WHT)</v>
          </cell>
          <cell r="G343" t="str">
            <v>FLAT WIRE</v>
          </cell>
          <cell r="H343" t="str">
            <v>WUL1220</v>
          </cell>
        </row>
        <row r="344">
          <cell r="F344" t="str">
            <v>2468#26 4C (RED/WHT)</v>
          </cell>
          <cell r="G344" t="str">
            <v>FLAT WIRE</v>
          </cell>
          <cell r="H344" t="str">
            <v>WUL1219</v>
          </cell>
        </row>
        <row r="345">
          <cell r="F345" t="str">
            <v>2095#26 9C GY(BK,BN,RD,OG,YL,GN,BL,VT,GY)</v>
          </cell>
          <cell r="G345" t="str">
            <v>WIRE</v>
          </cell>
          <cell r="H345" t="str">
            <v>WUL1218</v>
          </cell>
        </row>
        <row r="346">
          <cell r="F346" t="str">
            <v>3343#14 YEL</v>
          </cell>
          <cell r="G346" t="str">
            <v>WIRE</v>
          </cell>
          <cell r="H346" t="str">
            <v>WUL1217</v>
          </cell>
        </row>
        <row r="347">
          <cell r="F347" t="str">
            <v>3343#14 BLU</v>
          </cell>
          <cell r="G347" t="str">
            <v>WIRE</v>
          </cell>
          <cell r="H347" t="str">
            <v>WUL1216</v>
          </cell>
        </row>
        <row r="348">
          <cell r="F348" t="str">
            <v>2468#26 8C (RED/WHT)</v>
          </cell>
          <cell r="G348" t="str">
            <v>FLAT WIRE</v>
          </cell>
          <cell r="H348" t="str">
            <v>WUL1215</v>
          </cell>
        </row>
        <row r="349">
          <cell r="F349" t="str">
            <v>1007#16 WHT</v>
          </cell>
          <cell r="G349" t="str">
            <v>WIRE</v>
          </cell>
          <cell r="H349" t="str">
            <v>WUL1214</v>
          </cell>
        </row>
        <row r="350">
          <cell r="F350" t="str">
            <v>2095#26 4C GY(BL,VT,GN,WH)</v>
          </cell>
          <cell r="G350" t="str">
            <v>WIRE</v>
          </cell>
          <cell r="H350" t="str">
            <v>WUL1213</v>
          </cell>
        </row>
        <row r="351">
          <cell r="F351" t="str">
            <v>2095#26 8C GY(BN,RD,OG,YL,PK,BL,WH,GN)</v>
          </cell>
          <cell r="G351" t="str">
            <v>WIRE</v>
          </cell>
          <cell r="H351" t="str">
            <v>WUL1211</v>
          </cell>
        </row>
        <row r="352">
          <cell r="F352" t="str">
            <v>1007#22/(L) VIO</v>
          </cell>
          <cell r="G352" t="str">
            <v>WIRE</v>
          </cell>
          <cell r="H352" t="str">
            <v>WUL1210</v>
          </cell>
        </row>
        <row r="353">
          <cell r="F353" t="str">
            <v>1007#22/(L) S/BLU</v>
          </cell>
          <cell r="G353" t="str">
            <v>WIRE</v>
          </cell>
          <cell r="H353" t="str">
            <v>WUL1209</v>
          </cell>
        </row>
        <row r="354">
          <cell r="F354" t="str">
            <v>1007#22/(L) W/YEL</v>
          </cell>
          <cell r="G354" t="str">
            <v>WIRE</v>
          </cell>
          <cell r="H354" t="str">
            <v>WUL1207</v>
          </cell>
        </row>
        <row r="355">
          <cell r="F355" t="str">
            <v>21016#28 8C (BLK/GRY)</v>
          </cell>
          <cell r="G355" t="str">
            <v>FLAT WIRE</v>
          </cell>
          <cell r="H355" t="str">
            <v>WUL1206</v>
          </cell>
        </row>
        <row r="356">
          <cell r="F356" t="str">
            <v>1007#22 W/VIO</v>
          </cell>
          <cell r="G356" t="str">
            <v>WIRE</v>
          </cell>
          <cell r="H356" t="str">
            <v>WUL1205</v>
          </cell>
        </row>
        <row r="357">
          <cell r="F357" t="str">
            <v>1007#22 W/GRY</v>
          </cell>
          <cell r="G357" t="str">
            <v>WIRE</v>
          </cell>
          <cell r="H357" t="str">
            <v>WUL1204</v>
          </cell>
        </row>
        <row r="358">
          <cell r="F358" t="str">
            <v>SUS-NPCU 1.45Φ GRY</v>
          </cell>
          <cell r="G358" t="str">
            <v>SILICONE WIRE</v>
          </cell>
          <cell r="H358" t="str">
            <v>WUL1203</v>
          </cell>
        </row>
        <row r="359">
          <cell r="F359" t="str">
            <v>LEG WIRE 2.1x3.20MM(BOBBIN)</v>
          </cell>
          <cell r="G359" t="str">
            <v>WIRE</v>
          </cell>
          <cell r="H359" t="str">
            <v>WUL1202</v>
          </cell>
        </row>
        <row r="360">
          <cell r="F360" t="str">
            <v>SUS-NPCU 1.45Φ BLK</v>
          </cell>
          <cell r="G360" t="str">
            <v>SILICONE WIRE</v>
          </cell>
          <cell r="H360" t="str">
            <v>WUL1201</v>
          </cell>
        </row>
        <row r="361">
          <cell r="F361" t="str">
            <v>1007#28 RED</v>
          </cell>
          <cell r="G361" t="str">
            <v>WIRE</v>
          </cell>
          <cell r="H361" t="str">
            <v>WUL1200</v>
          </cell>
        </row>
        <row r="362">
          <cell r="F362" t="str">
            <v>1007#28 BLK</v>
          </cell>
          <cell r="G362" t="str">
            <v>WIRE</v>
          </cell>
          <cell r="H362" t="str">
            <v>WUL1199</v>
          </cell>
        </row>
        <row r="363">
          <cell r="F363" t="str">
            <v>2095#24 2C BK(RD,BL)</v>
          </cell>
          <cell r="G363" t="str">
            <v>WIRE</v>
          </cell>
          <cell r="H363" t="str">
            <v>WUL1198</v>
          </cell>
        </row>
        <row r="364">
          <cell r="F364" t="str">
            <v>1007#22/A W/VIO</v>
          </cell>
          <cell r="G364" t="str">
            <v>WIRE</v>
          </cell>
          <cell r="H364" t="str">
            <v>WUL1197</v>
          </cell>
        </row>
        <row r="365">
          <cell r="F365" t="str">
            <v>2468#26 3C (YEL/WHT)</v>
          </cell>
          <cell r="G365" t="str">
            <v>FLAT WIRE</v>
          </cell>
          <cell r="H365" t="str">
            <v>WUL1196</v>
          </cell>
        </row>
        <row r="366">
          <cell r="F366" t="str">
            <v>1015#22/A W/GRY</v>
          </cell>
          <cell r="G366" t="str">
            <v>WIRE</v>
          </cell>
          <cell r="H366" t="str">
            <v>WUL1195</v>
          </cell>
        </row>
        <row r="367">
          <cell r="F367" t="str">
            <v>AEXHF 1.25 BW</v>
          </cell>
          <cell r="G367" t="str">
            <v>WIRE</v>
          </cell>
          <cell r="H367" t="str">
            <v>WUL1194</v>
          </cell>
        </row>
        <row r="368">
          <cell r="F368" t="str">
            <v>AEXF 0.50 B</v>
          </cell>
          <cell r="G368" t="str">
            <v>WIRE</v>
          </cell>
          <cell r="H368" t="str">
            <v>WUL1190</v>
          </cell>
        </row>
        <row r="369">
          <cell r="F369" t="str">
            <v>AEXF 1.25 WY</v>
          </cell>
          <cell r="G369" t="str">
            <v>WIRE</v>
          </cell>
          <cell r="H369" t="str">
            <v>WUL1184</v>
          </cell>
        </row>
        <row r="370">
          <cell r="F370" t="str">
            <v>AEXF 1.25 WR</v>
          </cell>
          <cell r="G370" t="str">
            <v>WIRE</v>
          </cell>
          <cell r="H370" t="str">
            <v>WUL1183</v>
          </cell>
        </row>
        <row r="371">
          <cell r="F371" t="str">
            <v>AEXF 0.85 O</v>
          </cell>
          <cell r="G371" t="str">
            <v>WIRE</v>
          </cell>
          <cell r="H371" t="str">
            <v>WUL1179</v>
          </cell>
        </row>
        <row r="372">
          <cell r="F372" t="str">
            <v>AEXF 0.85 G</v>
          </cell>
          <cell r="G372" t="str">
            <v>WIRE</v>
          </cell>
          <cell r="H372" t="str">
            <v>WUL1178</v>
          </cell>
        </row>
        <row r="373">
          <cell r="F373" t="str">
            <v>1061#24 (CONNECTION 6C) WHT,WHT</v>
          </cell>
          <cell r="G373" t="str">
            <v>WIRE</v>
          </cell>
          <cell r="H373" t="str">
            <v>WUL1172</v>
          </cell>
        </row>
        <row r="374">
          <cell r="F374" t="str">
            <v>1061#24 (CONNECTION 5C) WHT,WHT</v>
          </cell>
          <cell r="G374" t="str">
            <v>WIRE</v>
          </cell>
          <cell r="H374" t="str">
            <v>WUL1171</v>
          </cell>
        </row>
        <row r="375">
          <cell r="F375" t="str">
            <v>1569#16 ORG</v>
          </cell>
          <cell r="G375" t="str">
            <v>WIRE</v>
          </cell>
          <cell r="H375" t="str">
            <v>WUL1170</v>
          </cell>
        </row>
        <row r="376">
          <cell r="F376" t="str">
            <v>1571#28 BLU</v>
          </cell>
          <cell r="G376" t="str">
            <v>WIRE</v>
          </cell>
          <cell r="H376" t="str">
            <v>WUL1169</v>
          </cell>
        </row>
        <row r="377">
          <cell r="F377" t="str">
            <v>1007#18/A BLU</v>
          </cell>
          <cell r="G377" t="str">
            <v>WIRE</v>
          </cell>
          <cell r="H377" t="str">
            <v>WUL1168</v>
          </cell>
        </row>
        <row r="378">
          <cell r="F378" t="str">
            <v>2468#26 2C (RED/WHT)</v>
          </cell>
          <cell r="G378" t="str">
            <v>FLAT WIRE</v>
          </cell>
          <cell r="H378" t="str">
            <v>WUL1167</v>
          </cell>
        </row>
        <row r="379">
          <cell r="F379" t="str">
            <v>1351-9-CUT-42</v>
          </cell>
          <cell r="G379" t="str">
            <v>HARNESS WIRE</v>
          </cell>
          <cell r="H379" t="str">
            <v>WUL1164</v>
          </cell>
        </row>
        <row r="380">
          <cell r="F380" t="str">
            <v>1351-7-CUT-36</v>
          </cell>
          <cell r="G380" t="str">
            <v>HARNESS WIRE</v>
          </cell>
          <cell r="H380" t="str">
            <v>WUL1163</v>
          </cell>
        </row>
        <row r="381">
          <cell r="F381" t="str">
            <v>1351-5-1-CUT-73</v>
          </cell>
          <cell r="G381" t="str">
            <v>HARNESS WIRE</v>
          </cell>
          <cell r="H381" t="str">
            <v>WUL1162</v>
          </cell>
        </row>
        <row r="382">
          <cell r="F382" t="str">
            <v>1351-5-CUT-73</v>
          </cell>
          <cell r="G382" t="str">
            <v>HARNESS WIRE</v>
          </cell>
          <cell r="H382" t="str">
            <v>WUL1161</v>
          </cell>
        </row>
        <row r="383">
          <cell r="F383" t="str">
            <v>1351-4-CUT-57</v>
          </cell>
          <cell r="G383" t="str">
            <v>HARNESS WIRE</v>
          </cell>
          <cell r="H383" t="str">
            <v>WUL1160</v>
          </cell>
        </row>
        <row r="384">
          <cell r="F384" t="str">
            <v>10125#28 YEL</v>
          </cell>
          <cell r="G384" t="str">
            <v>WIRE</v>
          </cell>
          <cell r="H384" t="str">
            <v>WUL1159</v>
          </cell>
        </row>
        <row r="385">
          <cell r="F385" t="str">
            <v>10125#28 VIO</v>
          </cell>
          <cell r="G385" t="str">
            <v>WIRE</v>
          </cell>
          <cell r="H385" t="str">
            <v>WUL1158</v>
          </cell>
        </row>
        <row r="386">
          <cell r="F386" t="str">
            <v>10125#28 S/BLU</v>
          </cell>
          <cell r="G386" t="str">
            <v>WIRE</v>
          </cell>
          <cell r="H386" t="str">
            <v>WUL1157</v>
          </cell>
        </row>
        <row r="387">
          <cell r="F387" t="str">
            <v>10125#28 RED</v>
          </cell>
          <cell r="G387" t="str">
            <v>WIRE</v>
          </cell>
          <cell r="H387" t="str">
            <v>WUL1156</v>
          </cell>
        </row>
        <row r="388">
          <cell r="F388" t="str">
            <v>10125#28 PNK</v>
          </cell>
          <cell r="G388" t="str">
            <v>WIRE</v>
          </cell>
          <cell r="H388" t="str">
            <v>WUL1155</v>
          </cell>
        </row>
        <row r="389">
          <cell r="F389" t="str">
            <v>10125#28 ORG</v>
          </cell>
          <cell r="G389" t="str">
            <v>WIRE</v>
          </cell>
          <cell r="H389" t="str">
            <v>WUL1154</v>
          </cell>
        </row>
        <row r="390">
          <cell r="F390" t="str">
            <v>10125#28 GRY</v>
          </cell>
          <cell r="G390" t="str">
            <v>WIRE</v>
          </cell>
          <cell r="H390" t="str">
            <v>WUL1153</v>
          </cell>
        </row>
        <row r="391">
          <cell r="F391" t="str">
            <v>10125#28 BRN</v>
          </cell>
          <cell r="G391" t="str">
            <v>WIRE</v>
          </cell>
          <cell r="H391" t="str">
            <v>WUL1152</v>
          </cell>
        </row>
        <row r="392">
          <cell r="F392" t="str">
            <v>10125#28 BLU</v>
          </cell>
          <cell r="G392" t="str">
            <v>WIRE</v>
          </cell>
          <cell r="H392" t="str">
            <v>WUL1151</v>
          </cell>
        </row>
        <row r="393">
          <cell r="F393" t="str">
            <v>10125#28 BLK</v>
          </cell>
          <cell r="G393" t="str">
            <v>WIRE</v>
          </cell>
          <cell r="H393" t="str">
            <v>WUL1150</v>
          </cell>
        </row>
        <row r="394">
          <cell r="F394" t="str">
            <v>SILICONE 4.3Ø 2C(SUS-NPCU)</v>
          </cell>
          <cell r="G394" t="str">
            <v>SILICONE WIRE</v>
          </cell>
          <cell r="H394" t="str">
            <v>WUL1149</v>
          </cell>
        </row>
        <row r="395">
          <cell r="F395" t="str">
            <v>2468#26 2C (YEL/WHT)</v>
          </cell>
          <cell r="G395" t="str">
            <v>FLAT WIRE</v>
          </cell>
          <cell r="H395" t="str">
            <v>WUL1148</v>
          </cell>
        </row>
        <row r="396">
          <cell r="F396" t="str">
            <v>2468#26 2C (BLU/WHT)</v>
          </cell>
          <cell r="G396" t="str">
            <v>FLAT WIRE</v>
          </cell>
          <cell r="H396" t="str">
            <v>WUL1147</v>
          </cell>
        </row>
        <row r="397">
          <cell r="F397" t="str">
            <v>HD LEG WIRE 80M</v>
          </cell>
          <cell r="G397" t="str">
            <v>WIRE</v>
          </cell>
          <cell r="H397" t="str">
            <v>WUL1146</v>
          </cell>
        </row>
        <row r="398">
          <cell r="F398" t="str">
            <v>HD LEG WIRE 70M</v>
          </cell>
          <cell r="G398" t="str">
            <v>WIRE</v>
          </cell>
          <cell r="H398" t="str">
            <v>WUL1145</v>
          </cell>
        </row>
        <row r="399">
          <cell r="F399" t="str">
            <v>HD LEG WIRE 60M</v>
          </cell>
          <cell r="G399" t="str">
            <v>WIRE</v>
          </cell>
          <cell r="H399" t="str">
            <v>WUL1144</v>
          </cell>
        </row>
        <row r="400">
          <cell r="F400" t="str">
            <v>HD LEG WIRE 45M</v>
          </cell>
          <cell r="G400" t="str">
            <v>WIRE</v>
          </cell>
          <cell r="H400" t="str">
            <v>WUL1143</v>
          </cell>
        </row>
        <row r="401">
          <cell r="F401" t="str">
            <v>HD LEG WIRE 35M</v>
          </cell>
          <cell r="G401" t="str">
            <v>WIRE</v>
          </cell>
          <cell r="H401" t="str">
            <v>WUL1142</v>
          </cell>
        </row>
        <row r="402">
          <cell r="F402" t="str">
            <v>HD LEG WIRE 9M</v>
          </cell>
          <cell r="G402" t="str">
            <v>WIRE</v>
          </cell>
          <cell r="H402" t="str">
            <v>WUL1141</v>
          </cell>
        </row>
        <row r="403">
          <cell r="F403" t="str">
            <v>HD LEG WIRE 50M</v>
          </cell>
          <cell r="G403" t="str">
            <v>WIRE</v>
          </cell>
          <cell r="H403" t="str">
            <v>WUL1140</v>
          </cell>
        </row>
        <row r="404">
          <cell r="F404" t="str">
            <v>HD LEG WIRE 40M</v>
          </cell>
          <cell r="G404" t="str">
            <v>WIRE</v>
          </cell>
          <cell r="H404" t="str">
            <v>WUL1139</v>
          </cell>
        </row>
        <row r="405">
          <cell r="F405" t="str">
            <v>HD LEG WIRE 30M</v>
          </cell>
          <cell r="G405" t="str">
            <v>WIRE</v>
          </cell>
          <cell r="H405" t="str">
            <v>WUL1138</v>
          </cell>
        </row>
        <row r="406">
          <cell r="F406" t="str">
            <v>HD LEG WIRE 25M</v>
          </cell>
          <cell r="G406" t="str">
            <v>WIRE</v>
          </cell>
          <cell r="H406" t="str">
            <v>WUL1137</v>
          </cell>
        </row>
        <row r="407">
          <cell r="F407" t="str">
            <v>HD LEG WIRE 20M</v>
          </cell>
          <cell r="G407" t="str">
            <v>WIRE</v>
          </cell>
          <cell r="H407" t="str">
            <v>WUL1136</v>
          </cell>
        </row>
        <row r="408">
          <cell r="F408" t="str">
            <v>HD LEG WIRE 18M</v>
          </cell>
          <cell r="G408" t="str">
            <v>WIRE</v>
          </cell>
          <cell r="H408" t="str">
            <v>WUL1135</v>
          </cell>
        </row>
        <row r="409">
          <cell r="F409" t="str">
            <v>HD LEG WIRE 15M</v>
          </cell>
          <cell r="G409" t="str">
            <v>WIRE</v>
          </cell>
          <cell r="H409" t="str">
            <v>WUL1134</v>
          </cell>
        </row>
        <row r="410">
          <cell r="F410" t="str">
            <v>HD LEG WIRE 12M</v>
          </cell>
          <cell r="G410" t="str">
            <v>WIRE</v>
          </cell>
          <cell r="H410" t="str">
            <v>WUL1133</v>
          </cell>
        </row>
        <row r="411">
          <cell r="F411" t="str">
            <v>HD LEG WIRE 6M</v>
          </cell>
          <cell r="G411" t="str">
            <v>WIRE</v>
          </cell>
          <cell r="H411" t="str">
            <v>WUL1132</v>
          </cell>
        </row>
        <row r="412">
          <cell r="F412" t="str">
            <v>1007#24/A W/GRY</v>
          </cell>
          <cell r="G412" t="str">
            <v>WIRE</v>
          </cell>
          <cell r="H412" t="str">
            <v>WUL1131</v>
          </cell>
        </row>
        <row r="413">
          <cell r="F413" t="str">
            <v>LEG WIRE 1.35X3.40 PP(BOVIN-TYPE)</v>
          </cell>
          <cell r="G413" t="str">
            <v>WIRE</v>
          </cell>
          <cell r="H413" t="str">
            <v>WUL1130</v>
          </cell>
        </row>
        <row r="414">
          <cell r="F414" t="str">
            <v>SILICONE 4.3Ø 2C (NPCU-WHITE)</v>
          </cell>
          <cell r="G414" t="str">
            <v>SILICONE WIRE</v>
          </cell>
          <cell r="H414" t="str">
            <v>WUL1122</v>
          </cell>
        </row>
        <row r="415">
          <cell r="F415" t="str">
            <v>LEG WIRE 30M</v>
          </cell>
          <cell r="G415" t="str">
            <v>WIRE</v>
          </cell>
          <cell r="H415" t="str">
            <v>WUL1121</v>
          </cell>
        </row>
        <row r="416">
          <cell r="F416" t="str">
            <v>1015#10 G/YEL</v>
          </cell>
          <cell r="G416" t="str">
            <v>WIRE</v>
          </cell>
          <cell r="H416" t="str">
            <v>WUL1120</v>
          </cell>
        </row>
        <row r="417">
          <cell r="F417" t="str">
            <v>1061#28 BLU</v>
          </cell>
          <cell r="G417" t="str">
            <v>WIRE</v>
          </cell>
          <cell r="H417" t="str">
            <v>WUL1119</v>
          </cell>
        </row>
        <row r="418">
          <cell r="F418" t="str">
            <v>1061#28 GRN</v>
          </cell>
          <cell r="G418" t="str">
            <v>WIRE</v>
          </cell>
          <cell r="H418" t="str">
            <v>WUL1118</v>
          </cell>
        </row>
        <row r="419">
          <cell r="F419" t="str">
            <v>1061#28 ORG</v>
          </cell>
          <cell r="G419" t="str">
            <v>WIRE</v>
          </cell>
          <cell r="H419" t="str">
            <v>WUL1117</v>
          </cell>
        </row>
        <row r="420">
          <cell r="F420" t="str">
            <v>LEG WIRE 15M</v>
          </cell>
          <cell r="G420" t="str">
            <v>WIRE</v>
          </cell>
          <cell r="H420" t="str">
            <v>WUL1115</v>
          </cell>
        </row>
        <row r="421">
          <cell r="F421" t="str">
            <v>1015#22/A W/BRN</v>
          </cell>
          <cell r="G421" t="str">
            <v>WIRE</v>
          </cell>
          <cell r="H421" t="str">
            <v>WUL1114</v>
          </cell>
        </row>
        <row r="422">
          <cell r="F422" t="str">
            <v>ROFHU(FX)2X25AWG(UL)-SR BLK</v>
          </cell>
          <cell r="G422" t="str">
            <v>WIRE</v>
          </cell>
          <cell r="H422" t="str">
            <v>WUL1113</v>
          </cell>
        </row>
        <row r="423">
          <cell r="F423" t="str">
            <v>20379#28 4C</v>
          </cell>
          <cell r="G423" t="str">
            <v>WIRE</v>
          </cell>
          <cell r="H423" t="str">
            <v>WUL1112</v>
          </cell>
        </row>
        <row r="424">
          <cell r="F424" t="str">
            <v>1569#24 W/RED</v>
          </cell>
          <cell r="G424" t="str">
            <v>WIRE</v>
          </cell>
          <cell r="H424" t="str">
            <v>WUL1111</v>
          </cell>
        </row>
        <row r="425">
          <cell r="F425" t="str">
            <v>DB93-06878A</v>
          </cell>
          <cell r="G425" t="str">
            <v>RUBBER CABLE</v>
          </cell>
          <cell r="H425" t="str">
            <v>WUL1110</v>
          </cell>
        </row>
        <row r="426">
          <cell r="F426" t="str">
            <v>DB39-01201A</v>
          </cell>
          <cell r="G426" t="str">
            <v>RUBBER CABLE</v>
          </cell>
          <cell r="H426" t="str">
            <v>WUL1109</v>
          </cell>
        </row>
        <row r="427">
          <cell r="F427" t="str">
            <v>2651#26 8C (RED/WHT)</v>
          </cell>
          <cell r="G427" t="str">
            <v>FLAT WIRE</v>
          </cell>
          <cell r="H427" t="str">
            <v>WUL1107</v>
          </cell>
        </row>
        <row r="428">
          <cell r="F428" t="str">
            <v>2651#26 8C (ORG/WHT)</v>
          </cell>
          <cell r="G428" t="str">
            <v>FLAT WIRE</v>
          </cell>
          <cell r="H428" t="str">
            <v>WUL1106</v>
          </cell>
        </row>
        <row r="429">
          <cell r="F429" t="str">
            <v>2651#26 5C (ORG/WHT)</v>
          </cell>
          <cell r="G429" t="str">
            <v>FLAT WIRE</v>
          </cell>
          <cell r="H429" t="str">
            <v>WUL1105</v>
          </cell>
        </row>
        <row r="430">
          <cell r="F430" t="str">
            <v>2651#26 4C (ORG/WHT)</v>
          </cell>
          <cell r="G430" t="str">
            <v>FLAT WIRE</v>
          </cell>
          <cell r="H430" t="str">
            <v>WUL1104</v>
          </cell>
        </row>
        <row r="431">
          <cell r="F431" t="str">
            <v>2651#26 4C (GRY/BLK)</v>
          </cell>
          <cell r="G431" t="str">
            <v>FLAT WIRE</v>
          </cell>
          <cell r="H431" t="str">
            <v>WUL1103</v>
          </cell>
        </row>
        <row r="432">
          <cell r="F432" t="str">
            <v>2468#26 5C (BRN/BLK)</v>
          </cell>
          <cell r="G432" t="str">
            <v>FLAT WIRE</v>
          </cell>
          <cell r="H432" t="str">
            <v>WUL1102</v>
          </cell>
        </row>
        <row r="433">
          <cell r="F433" t="str">
            <v>LEG WIRE 1.35X3.40 PP</v>
          </cell>
          <cell r="G433" t="str">
            <v>WIRE</v>
          </cell>
          <cell r="H433" t="str">
            <v>WUL1100</v>
          </cell>
        </row>
        <row r="434">
          <cell r="F434" t="str">
            <v>2095#24 4C BK(RD,BL,OG,YL)</v>
          </cell>
          <cell r="G434" t="str">
            <v>WIRE</v>
          </cell>
          <cell r="H434" t="str">
            <v>WUL1099</v>
          </cell>
        </row>
        <row r="435">
          <cell r="F435" t="str">
            <v>UL21451(#28*3C+#28*1P)+AL+B+2D Ø3.8 BLK</v>
          </cell>
          <cell r="G435" t="str">
            <v>WIRE</v>
          </cell>
          <cell r="H435" t="str">
            <v>WUL1098</v>
          </cell>
        </row>
        <row r="436">
          <cell r="F436" t="str">
            <v>UL21451#28 5C</v>
          </cell>
          <cell r="G436" t="str">
            <v>WIRE</v>
          </cell>
          <cell r="H436" t="str">
            <v>WUL1097</v>
          </cell>
        </row>
        <row r="437">
          <cell r="F437" t="str">
            <v>1061#26 (CONNECTION 8P) 등,WHITE~</v>
          </cell>
          <cell r="G437" t="str">
            <v>WIRE</v>
          </cell>
          <cell r="H437" t="str">
            <v>WUL1096</v>
          </cell>
        </row>
        <row r="438">
          <cell r="F438" t="str">
            <v>1015#18 Y/GRN</v>
          </cell>
          <cell r="G438" t="str">
            <v>WIRE</v>
          </cell>
          <cell r="H438" t="str">
            <v>WUL1022</v>
          </cell>
        </row>
        <row r="439">
          <cell r="F439" t="str">
            <v>2095#28 4C</v>
          </cell>
          <cell r="G439" t="str">
            <v>WIRE</v>
          </cell>
          <cell r="H439" t="str">
            <v>WUL1021</v>
          </cell>
        </row>
        <row r="440">
          <cell r="F440" t="str">
            <v>UL21451#28 3C</v>
          </cell>
          <cell r="G440" t="str">
            <v>WIRE</v>
          </cell>
          <cell r="H440" t="str">
            <v>WUL1020</v>
          </cell>
        </row>
        <row r="441">
          <cell r="F441" t="str">
            <v>DB39-00096B</v>
          </cell>
          <cell r="G441" t="str">
            <v>RUBBER CABLE</v>
          </cell>
          <cell r="H441" t="str">
            <v>WUL1019</v>
          </cell>
        </row>
        <row r="442">
          <cell r="F442" t="str">
            <v>DB39-00096A</v>
          </cell>
          <cell r="G442" t="str">
            <v>RUBBER CABLE</v>
          </cell>
          <cell r="H442" t="str">
            <v>WUL1018</v>
          </cell>
        </row>
        <row r="443">
          <cell r="F443" t="str">
            <v>1015#10 YEL</v>
          </cell>
          <cell r="G443" t="str">
            <v>WIRE</v>
          </cell>
          <cell r="H443" t="str">
            <v>WUL1017</v>
          </cell>
        </row>
        <row r="444">
          <cell r="F444" t="str">
            <v>DB39-00096C</v>
          </cell>
          <cell r="G444" t="str">
            <v>RUBBER CABLE</v>
          </cell>
          <cell r="H444" t="str">
            <v>WUL1016</v>
          </cell>
        </row>
        <row r="445">
          <cell r="F445" t="str">
            <v>DB93-14279A</v>
          </cell>
          <cell r="G445" t="str">
            <v>RUBBER CABLE</v>
          </cell>
          <cell r="H445" t="str">
            <v>WUL1015</v>
          </cell>
        </row>
        <row r="446">
          <cell r="F446" t="str">
            <v>1007#18/A BLK</v>
          </cell>
          <cell r="G446" t="str">
            <v>WIRE</v>
          </cell>
          <cell r="H446" t="str">
            <v>WUL1014</v>
          </cell>
        </row>
        <row r="447">
          <cell r="F447" t="str">
            <v>1007#18/A S/BLU</v>
          </cell>
          <cell r="G447" t="str">
            <v>WIRE</v>
          </cell>
          <cell r="H447" t="str">
            <v>WUL1013</v>
          </cell>
        </row>
        <row r="448">
          <cell r="F448" t="str">
            <v>10125#20 RED</v>
          </cell>
          <cell r="G448" t="str">
            <v>TEFLON</v>
          </cell>
          <cell r="H448" t="str">
            <v>WUL1012</v>
          </cell>
        </row>
        <row r="449">
          <cell r="F449" t="str">
            <v>10125#20 BLK</v>
          </cell>
          <cell r="G449" t="str">
            <v>TEFLON</v>
          </cell>
          <cell r="H449" t="str">
            <v>WUL1011</v>
          </cell>
        </row>
        <row r="450">
          <cell r="F450" t="str">
            <v>2464#24 3C (BLK.WHITE.RED)</v>
          </cell>
          <cell r="G450" t="str">
            <v>WIRE</v>
          </cell>
          <cell r="H450" t="str">
            <v>WUL1010</v>
          </cell>
        </row>
        <row r="451">
          <cell r="F451" t="str">
            <v>AWG24X3C</v>
          </cell>
          <cell r="G451" t="str">
            <v>WIRE</v>
          </cell>
          <cell r="H451" t="str">
            <v>WUL1009</v>
          </cell>
        </row>
        <row r="452">
          <cell r="F452" t="str">
            <v>2095#22 4C BK(BK,RD,YL,BL)</v>
          </cell>
          <cell r="G452" t="str">
            <v>WIRE</v>
          </cell>
          <cell r="H452" t="str">
            <v>WUL1008</v>
          </cell>
        </row>
        <row r="453">
          <cell r="F453" t="str">
            <v>2095#22 5C BK(BK,RD,WH,YL,BL)</v>
          </cell>
          <cell r="G453" t="str">
            <v>WIRE</v>
          </cell>
          <cell r="H453" t="str">
            <v>WUL1007</v>
          </cell>
        </row>
        <row r="454">
          <cell r="F454" t="str">
            <v>UL2651#26 8C</v>
          </cell>
          <cell r="G454" t="str">
            <v>FLAT WIRE</v>
          </cell>
          <cell r="H454" t="str">
            <v>WUL1006</v>
          </cell>
        </row>
        <row r="455">
          <cell r="F455" t="str">
            <v>2651#26 5C (WHT/RED)</v>
          </cell>
          <cell r="G455" t="str">
            <v>FLAT WIRE</v>
          </cell>
          <cell r="H455" t="str">
            <v>WUL1005</v>
          </cell>
        </row>
        <row r="456">
          <cell r="F456" t="str">
            <v>1061#28 VIO</v>
          </cell>
          <cell r="G456" t="str">
            <v>WIRE</v>
          </cell>
          <cell r="H456" t="str">
            <v>WUL1004</v>
          </cell>
        </row>
        <row r="457">
          <cell r="F457" t="str">
            <v>1061#28 GRY</v>
          </cell>
          <cell r="G457" t="str">
            <v>WIRE</v>
          </cell>
          <cell r="H457" t="str">
            <v>WUL1003</v>
          </cell>
        </row>
        <row r="458">
          <cell r="F458" t="str">
            <v>1061#28 PNK</v>
          </cell>
          <cell r="G458" t="str">
            <v>WIRE</v>
          </cell>
          <cell r="H458" t="str">
            <v>WUL1002</v>
          </cell>
        </row>
        <row r="459">
          <cell r="F459" t="str">
            <v>2095#24 4C GY(RD,BL,OG,YL)</v>
          </cell>
          <cell r="G459" t="str">
            <v>WIRE</v>
          </cell>
          <cell r="H459" t="str">
            <v>WUL1001</v>
          </cell>
        </row>
        <row r="460">
          <cell r="F460" t="str">
            <v>LEG WIRE 1.35X3.40 LLDPE</v>
          </cell>
          <cell r="G460" t="str">
            <v>WIRE</v>
          </cell>
          <cell r="H460" t="str">
            <v>WUL1000</v>
          </cell>
        </row>
        <row r="461">
          <cell r="F461" t="str">
            <v>1007#26 (CONNECTION 5P) BRN,BLK</v>
          </cell>
          <cell r="G461" t="str">
            <v>WIRE</v>
          </cell>
          <cell r="H461" t="str">
            <v>WUL0999</v>
          </cell>
        </row>
        <row r="462">
          <cell r="F462" t="str">
            <v>3321#12 YEL</v>
          </cell>
          <cell r="G462" t="str">
            <v>WIRE</v>
          </cell>
          <cell r="H462" t="str">
            <v>WUL0998</v>
          </cell>
        </row>
        <row r="463">
          <cell r="F463" t="str">
            <v>3321#12 BLU</v>
          </cell>
          <cell r="G463" t="str">
            <v>WIRE</v>
          </cell>
          <cell r="H463" t="str">
            <v>WUL0997</v>
          </cell>
        </row>
        <row r="464">
          <cell r="F464" t="str">
            <v>1061#26 (CONNECTION 2P) 등,WHITE~</v>
          </cell>
          <cell r="G464" t="str">
            <v>WIRE</v>
          </cell>
          <cell r="H464" t="str">
            <v>WUL0996</v>
          </cell>
        </row>
        <row r="465">
          <cell r="F465" t="str">
            <v>1333#22 S/BLU</v>
          </cell>
          <cell r="G465" t="str">
            <v>WIRE</v>
          </cell>
          <cell r="H465" t="str">
            <v>WUL0995</v>
          </cell>
        </row>
        <row r="466">
          <cell r="F466" t="str">
            <v>1015#24 VIO</v>
          </cell>
          <cell r="G466" t="str">
            <v>WIRE</v>
          </cell>
          <cell r="H466" t="str">
            <v>WUL0994</v>
          </cell>
        </row>
        <row r="467">
          <cell r="F467" t="str">
            <v>1015#24 YEL</v>
          </cell>
          <cell r="G467" t="str">
            <v>WIRE</v>
          </cell>
          <cell r="H467" t="str">
            <v>WUL0993</v>
          </cell>
        </row>
        <row r="468">
          <cell r="F468" t="str">
            <v>1015#24 WHT</v>
          </cell>
          <cell r="G468" t="str">
            <v>WIRE</v>
          </cell>
          <cell r="H468" t="str">
            <v>WUL0992</v>
          </cell>
        </row>
        <row r="469">
          <cell r="F469" t="str">
            <v>1015#24 RED</v>
          </cell>
          <cell r="G469" t="str">
            <v>WIRE</v>
          </cell>
          <cell r="H469" t="str">
            <v>WUL0991</v>
          </cell>
        </row>
        <row r="470">
          <cell r="F470" t="str">
            <v>1015#24 BLK</v>
          </cell>
          <cell r="G470" t="str">
            <v>WIRE</v>
          </cell>
          <cell r="H470" t="str">
            <v>WUL0990</v>
          </cell>
        </row>
        <row r="471">
          <cell r="F471" t="str">
            <v>2095#26 6C GY(OG,PK,BK,GY,YL,BN)</v>
          </cell>
          <cell r="G471" t="str">
            <v>WIRE</v>
          </cell>
          <cell r="H471" t="str">
            <v>WUL0989</v>
          </cell>
        </row>
        <row r="472">
          <cell r="F472" t="str">
            <v>1061#26(CONNECTION 4P)GRY~BLK</v>
          </cell>
          <cell r="G472" t="str">
            <v>WIRE</v>
          </cell>
          <cell r="H472" t="str">
            <v>WUL0988</v>
          </cell>
        </row>
        <row r="473">
          <cell r="F473" t="str">
            <v>1283#6 RED</v>
          </cell>
          <cell r="G473" t="str">
            <v>WIRE</v>
          </cell>
          <cell r="H473" t="str">
            <v>WUL0987</v>
          </cell>
        </row>
        <row r="474">
          <cell r="F474" t="str">
            <v>1283#6 BRN</v>
          </cell>
          <cell r="G474" t="str">
            <v>WIRE</v>
          </cell>
          <cell r="H474" t="str">
            <v>WUL0986</v>
          </cell>
        </row>
        <row r="475">
          <cell r="F475" t="str">
            <v>1283#6 WHT</v>
          </cell>
          <cell r="G475" t="str">
            <v>WIRE</v>
          </cell>
          <cell r="H475" t="str">
            <v>WUL0985</v>
          </cell>
        </row>
        <row r="476">
          <cell r="F476" t="str">
            <v>1333#24 YEL</v>
          </cell>
          <cell r="G476" t="str">
            <v>WIRE</v>
          </cell>
          <cell r="H476" t="str">
            <v>WUL0984</v>
          </cell>
        </row>
        <row r="477">
          <cell r="F477" t="str">
            <v>1333#24 BRN</v>
          </cell>
          <cell r="G477" t="str">
            <v>WIRE</v>
          </cell>
          <cell r="H477" t="str">
            <v>WUL0983</v>
          </cell>
        </row>
        <row r="478">
          <cell r="F478" t="str">
            <v>1333#24 PNK</v>
          </cell>
          <cell r="G478" t="str">
            <v>WIRE</v>
          </cell>
          <cell r="H478" t="str">
            <v>WUL0982</v>
          </cell>
        </row>
        <row r="479">
          <cell r="F479" t="str">
            <v>1333#24 BLU</v>
          </cell>
          <cell r="G479" t="str">
            <v>WIRE</v>
          </cell>
          <cell r="H479" t="str">
            <v>WUL0981</v>
          </cell>
        </row>
        <row r="480">
          <cell r="F480" t="str">
            <v>1333#24 VIO</v>
          </cell>
          <cell r="G480" t="str">
            <v>WIRE</v>
          </cell>
          <cell r="H480" t="str">
            <v>WUL0980</v>
          </cell>
        </row>
        <row r="481">
          <cell r="F481" t="str">
            <v>1333#24 ORG</v>
          </cell>
          <cell r="G481" t="str">
            <v>WIRE</v>
          </cell>
          <cell r="H481" t="str">
            <v>WUL0979</v>
          </cell>
        </row>
        <row r="482">
          <cell r="F482" t="str">
            <v>1333#22 PNK</v>
          </cell>
          <cell r="G482" t="str">
            <v>WIRE</v>
          </cell>
          <cell r="H482" t="str">
            <v>WUL0978</v>
          </cell>
        </row>
        <row r="483">
          <cell r="F483" t="str">
            <v>10125#22 RED</v>
          </cell>
          <cell r="G483" t="str">
            <v>TEFLON</v>
          </cell>
          <cell r="H483" t="str">
            <v>WUL0977</v>
          </cell>
        </row>
        <row r="484">
          <cell r="F484" t="str">
            <v>10125#22 BLK</v>
          </cell>
          <cell r="G484" t="str">
            <v>TEFLON</v>
          </cell>
          <cell r="H484" t="str">
            <v>WUL0976</v>
          </cell>
        </row>
        <row r="485">
          <cell r="F485" t="str">
            <v>UL20155 AWG 18X3C</v>
          </cell>
          <cell r="G485" t="str">
            <v>WIRE</v>
          </cell>
          <cell r="H485" t="str">
            <v>WUL0973</v>
          </cell>
        </row>
        <row r="486">
          <cell r="F486" t="str">
            <v>3122#22 BLU</v>
          </cell>
          <cell r="G486" t="str">
            <v>WIRE</v>
          </cell>
          <cell r="H486" t="str">
            <v>WUL0972</v>
          </cell>
        </row>
        <row r="487">
          <cell r="F487" t="str">
            <v>3122#22 GRY</v>
          </cell>
          <cell r="G487" t="str">
            <v>WIRE</v>
          </cell>
          <cell r="H487" t="str">
            <v>WUL0971</v>
          </cell>
        </row>
        <row r="488">
          <cell r="F488" t="str">
            <v>T/W 1331#16 YEL</v>
          </cell>
          <cell r="G488" t="str">
            <v>WIRE</v>
          </cell>
          <cell r="H488" t="str">
            <v>WUL0969</v>
          </cell>
        </row>
        <row r="489">
          <cell r="F489" t="str">
            <v>T/W 1331#16 RED</v>
          </cell>
          <cell r="G489" t="str">
            <v>WIRE</v>
          </cell>
          <cell r="H489" t="str">
            <v>WUL0968</v>
          </cell>
        </row>
        <row r="490">
          <cell r="F490" t="str">
            <v>IEC 60502-1 VCT 3C 1.0SQ 0.6/1kv</v>
          </cell>
          <cell r="G490" t="str">
            <v>WIRE</v>
          </cell>
          <cell r="H490" t="str">
            <v>WUL0965</v>
          </cell>
        </row>
        <row r="491">
          <cell r="F491" t="str">
            <v>3239#22 BLK</v>
          </cell>
          <cell r="G491" t="str">
            <v>WIRE</v>
          </cell>
          <cell r="H491" t="str">
            <v>WUL0964</v>
          </cell>
        </row>
        <row r="492">
          <cell r="F492" t="str">
            <v>DB93-12628A</v>
          </cell>
          <cell r="G492" t="str">
            <v>RUBBER CABLE</v>
          </cell>
          <cell r="H492" t="str">
            <v>WUL0963</v>
          </cell>
        </row>
        <row r="493">
          <cell r="F493" t="str">
            <v>2468#26 14C (RED/WHT)</v>
          </cell>
          <cell r="G493" t="str">
            <v>FLAT WIRE</v>
          </cell>
          <cell r="H493" t="str">
            <v>WUL0962</v>
          </cell>
        </row>
        <row r="494">
          <cell r="F494" t="str">
            <v>2095#24 4C GY(BK,BN,RD,OG)</v>
          </cell>
          <cell r="G494" t="str">
            <v>WIRE</v>
          </cell>
          <cell r="H494" t="str">
            <v>WUL0961</v>
          </cell>
        </row>
        <row r="495">
          <cell r="F495" t="str">
            <v>2468#26 12C (RED/WHT)</v>
          </cell>
          <cell r="G495" t="str">
            <v>FLAT WIRE</v>
          </cell>
          <cell r="H495" t="str">
            <v>WUL0960</v>
          </cell>
        </row>
        <row r="496">
          <cell r="F496" t="str">
            <v>3398#26 RED</v>
          </cell>
          <cell r="G496" t="str">
            <v>WIRE</v>
          </cell>
          <cell r="H496" t="str">
            <v>WUL0959</v>
          </cell>
        </row>
        <row r="497">
          <cell r="F497" t="str">
            <v>1333#22 BLK</v>
          </cell>
          <cell r="G497" t="str">
            <v>TEFLON</v>
          </cell>
          <cell r="H497" t="str">
            <v>WUL0958</v>
          </cell>
        </row>
        <row r="498">
          <cell r="F498" t="str">
            <v>21451#28 12C+6G</v>
          </cell>
          <cell r="G498" t="str">
            <v>WIRE</v>
          </cell>
          <cell r="H498" t="str">
            <v>WUL0951</v>
          </cell>
        </row>
        <row r="499">
          <cell r="F499" t="str">
            <v>1333#20 BRN</v>
          </cell>
          <cell r="G499" t="str">
            <v>TEFLON WIRE</v>
          </cell>
          <cell r="H499" t="str">
            <v>WUL0947</v>
          </cell>
        </row>
        <row r="500">
          <cell r="F500" t="str">
            <v>1333#20 BLK</v>
          </cell>
          <cell r="G500" t="str">
            <v>TEFLON WIRE</v>
          </cell>
          <cell r="H500" t="str">
            <v>WUL0946</v>
          </cell>
        </row>
        <row r="501">
          <cell r="F501" t="str">
            <v>1007#20/A WHT</v>
          </cell>
          <cell r="G501" t="str">
            <v>WIRE</v>
          </cell>
          <cell r="H501" t="str">
            <v>WUL0945</v>
          </cell>
        </row>
        <row r="502">
          <cell r="F502" t="str">
            <v>3398#26 WHT</v>
          </cell>
          <cell r="G502" t="str">
            <v>WIRE</v>
          </cell>
          <cell r="H502" t="str">
            <v>WUL0944</v>
          </cell>
        </row>
        <row r="503">
          <cell r="F503" t="str">
            <v>3398#18 RED</v>
          </cell>
          <cell r="G503" t="str">
            <v>WIRE</v>
          </cell>
          <cell r="H503" t="str">
            <v>WUL0942</v>
          </cell>
        </row>
        <row r="504">
          <cell r="F504" t="str">
            <v>3398#18 BLK</v>
          </cell>
          <cell r="G504" t="str">
            <v>WIRE</v>
          </cell>
          <cell r="H504" t="str">
            <v>WUL0941</v>
          </cell>
        </row>
        <row r="505">
          <cell r="F505" t="str">
            <v>3398#22 YEL</v>
          </cell>
          <cell r="G505" t="str">
            <v>WIRE</v>
          </cell>
          <cell r="H505" t="str">
            <v>WUL0940</v>
          </cell>
        </row>
        <row r="506">
          <cell r="F506" t="str">
            <v>3398#22 BLU</v>
          </cell>
          <cell r="G506" t="str">
            <v>WIRE</v>
          </cell>
          <cell r="H506" t="str">
            <v>WUL0939</v>
          </cell>
        </row>
        <row r="507">
          <cell r="F507" t="str">
            <v>3398#14 BLK</v>
          </cell>
          <cell r="G507" t="str">
            <v>WIRE</v>
          </cell>
          <cell r="H507" t="str">
            <v>WUL0938</v>
          </cell>
        </row>
        <row r="508">
          <cell r="F508" t="str">
            <v>3398#14 RED</v>
          </cell>
          <cell r="G508" t="str">
            <v>WIRE</v>
          </cell>
          <cell r="H508" t="str">
            <v>WUL0937</v>
          </cell>
        </row>
        <row r="509">
          <cell r="F509" t="str">
            <v>3398#22 RED</v>
          </cell>
          <cell r="G509" t="str">
            <v>WIRE</v>
          </cell>
          <cell r="H509" t="str">
            <v>WUL0936</v>
          </cell>
        </row>
        <row r="510">
          <cell r="F510" t="str">
            <v>3398#22 WHT</v>
          </cell>
          <cell r="G510" t="str">
            <v>WIRE</v>
          </cell>
          <cell r="H510" t="str">
            <v>WUL0935</v>
          </cell>
        </row>
        <row r="511">
          <cell r="F511" t="str">
            <v>3398#22 BLK</v>
          </cell>
          <cell r="G511" t="str">
            <v>WIRE</v>
          </cell>
          <cell r="H511" t="str">
            <v>WUL0934</v>
          </cell>
        </row>
        <row r="512">
          <cell r="F512" t="str">
            <v>2095#22 2C(WH,BK)</v>
          </cell>
          <cell r="G512" t="str">
            <v>WIRE</v>
          </cell>
          <cell r="H512" t="str">
            <v>WUL0933</v>
          </cell>
        </row>
        <row r="513">
          <cell r="F513" t="str">
            <v>HiTRONIC Harnesswire(2C232)</v>
          </cell>
          <cell r="G513" t="str">
            <v>WIRE</v>
          </cell>
          <cell r="H513" t="str">
            <v>WUL0932</v>
          </cell>
        </row>
        <row r="514">
          <cell r="F514" t="str">
            <v>1007#16 ORG</v>
          </cell>
          <cell r="G514" t="str">
            <v>WIRE</v>
          </cell>
          <cell r="H514" t="str">
            <v>WUL0931</v>
          </cell>
        </row>
        <row r="515">
          <cell r="F515" t="str">
            <v>1283#6 BLK</v>
          </cell>
          <cell r="G515" t="str">
            <v>WIRE</v>
          </cell>
          <cell r="H515" t="str">
            <v>WUL0925</v>
          </cell>
        </row>
        <row r="516">
          <cell r="F516" t="str">
            <v>4411#22 2C BLU</v>
          </cell>
          <cell r="G516" t="str">
            <v>WIRE</v>
          </cell>
          <cell r="H516" t="str">
            <v>WUL0921</v>
          </cell>
        </row>
        <row r="517">
          <cell r="F517" t="str">
            <v>1015#22 W/ORG</v>
          </cell>
          <cell r="G517" t="str">
            <v>WIRE</v>
          </cell>
          <cell r="H517" t="str">
            <v>WUL0920</v>
          </cell>
        </row>
        <row r="518">
          <cell r="F518" t="str">
            <v>1331#18 ORG</v>
          </cell>
          <cell r="G518" t="str">
            <v>WIRE</v>
          </cell>
          <cell r="H518" t="str">
            <v>WUL0919</v>
          </cell>
        </row>
        <row r="519">
          <cell r="F519" t="str">
            <v>1331#18 VIO</v>
          </cell>
          <cell r="G519" t="str">
            <v>WIRE</v>
          </cell>
          <cell r="H519" t="str">
            <v>WUL0918</v>
          </cell>
        </row>
        <row r="520">
          <cell r="F520" t="str">
            <v>2095#26 2C GY(RD,BK)</v>
          </cell>
          <cell r="G520" t="str">
            <v>WIRE</v>
          </cell>
          <cell r="H520" t="str">
            <v>WUL0917</v>
          </cell>
        </row>
        <row r="521">
          <cell r="F521" t="str">
            <v>2468#26 5C (RED/WHT)</v>
          </cell>
          <cell r="G521" t="str">
            <v>FLAT WIRE</v>
          </cell>
          <cell r="H521" t="str">
            <v>WUL0916</v>
          </cell>
        </row>
        <row r="522">
          <cell r="F522" t="str">
            <v>2095#26 4C GY(BK,YL,BL,WH)</v>
          </cell>
          <cell r="G522" t="str">
            <v>WIRE</v>
          </cell>
          <cell r="H522" t="str">
            <v>WUL0913</v>
          </cell>
        </row>
        <row r="523">
          <cell r="F523" t="str">
            <v>2095#26 4C GY(BK,BN,RD,OG)</v>
          </cell>
          <cell r="G523" t="str">
            <v>WIRE</v>
          </cell>
          <cell r="H523" t="str">
            <v>WUL0912</v>
          </cell>
        </row>
        <row r="524">
          <cell r="F524" t="str">
            <v>1015#22/A W/ORG</v>
          </cell>
          <cell r="G524" t="str">
            <v>WIRE</v>
          </cell>
          <cell r="H524" t="str">
            <v>WUL0910</v>
          </cell>
        </row>
        <row r="525">
          <cell r="F525" t="str">
            <v>21451#26 4C</v>
          </cell>
          <cell r="G525" t="str">
            <v>WIRE</v>
          </cell>
          <cell r="H525" t="str">
            <v>WUL0909</v>
          </cell>
        </row>
        <row r="526">
          <cell r="F526" t="str">
            <v>2468#26 3C (BLK/WHT)</v>
          </cell>
          <cell r="G526" t="str">
            <v>FLAT WIRE</v>
          </cell>
          <cell r="H526" t="str">
            <v>WUL0908</v>
          </cell>
        </row>
        <row r="527">
          <cell r="F527" t="str">
            <v>2468#24 2C (ORG/WHT)</v>
          </cell>
          <cell r="G527" t="str">
            <v>FLAT WIRE</v>
          </cell>
          <cell r="H527" t="str">
            <v>WUL0907</v>
          </cell>
        </row>
        <row r="528">
          <cell r="F528" t="str">
            <v>2468#24 2C (BLK/WHT)</v>
          </cell>
          <cell r="G528" t="str">
            <v>FLAT WIRE</v>
          </cell>
          <cell r="H528" t="str">
            <v>WUL0906</v>
          </cell>
        </row>
        <row r="529">
          <cell r="F529" t="str">
            <v>IEC080.75SQ GRN</v>
          </cell>
          <cell r="G529" t="str">
            <v>WIRE</v>
          </cell>
          <cell r="H529" t="str">
            <v>WUL0905</v>
          </cell>
        </row>
        <row r="530">
          <cell r="F530" t="str">
            <v>VCTF 0.75X3C</v>
          </cell>
          <cell r="G530" t="str">
            <v>WIRE</v>
          </cell>
          <cell r="H530" t="str">
            <v>WUL0904</v>
          </cell>
        </row>
        <row r="531">
          <cell r="F531" t="str">
            <v>2095#26 5C GY(YL,OG,BL,PK,RD)</v>
          </cell>
          <cell r="G531" t="str">
            <v>WIRE</v>
          </cell>
          <cell r="H531" t="str">
            <v>WUL0902</v>
          </cell>
        </row>
        <row r="532">
          <cell r="F532" t="str">
            <v>20660#22 3C (ORG/WHT)</v>
          </cell>
          <cell r="G532" t="str">
            <v>FLAT WIRE</v>
          </cell>
          <cell r="H532" t="str">
            <v>WUL0895</v>
          </cell>
        </row>
        <row r="533">
          <cell r="F533" t="str">
            <v>2468#24 10C (BLK/WHT)</v>
          </cell>
          <cell r="G533" t="str">
            <v>FLAT WIRE</v>
          </cell>
          <cell r="H533" t="str">
            <v>WUL0894</v>
          </cell>
        </row>
        <row r="534">
          <cell r="F534" t="str">
            <v>3633#24 GRY</v>
          </cell>
          <cell r="G534" t="str">
            <v>WIRE</v>
          </cell>
          <cell r="H534" t="str">
            <v>WUL0893</v>
          </cell>
        </row>
        <row r="535">
          <cell r="F535" t="str">
            <v>PNCT 1.5SQ X 3C</v>
          </cell>
          <cell r="G535" t="str">
            <v>CABLE</v>
          </cell>
          <cell r="H535" t="str">
            <v>WUL0891</v>
          </cell>
        </row>
        <row r="536">
          <cell r="F536" t="str">
            <v>1331#14 YEL</v>
          </cell>
          <cell r="G536" t="str">
            <v>WIRE</v>
          </cell>
          <cell r="H536" t="str">
            <v>WUL0889</v>
          </cell>
        </row>
        <row r="537">
          <cell r="F537" t="str">
            <v>2095#24 4C BK(GY,BK,BN,VT)</v>
          </cell>
          <cell r="G537" t="str">
            <v>WIRE</v>
          </cell>
          <cell r="H537" t="str">
            <v>WUL0887</v>
          </cell>
        </row>
        <row r="538">
          <cell r="F538" t="str">
            <v>2095#24 5C BK(GY,BK,BN,VT,BL)</v>
          </cell>
          <cell r="G538" t="str">
            <v>WIRE</v>
          </cell>
          <cell r="H538" t="str">
            <v>WUL0886</v>
          </cell>
        </row>
        <row r="539">
          <cell r="F539" t="str">
            <v>2095#24 6C BK(GY,BK,BN,VT,BL,GN)</v>
          </cell>
          <cell r="G539" t="str">
            <v>WIRE</v>
          </cell>
          <cell r="H539" t="str">
            <v>WUL0885</v>
          </cell>
        </row>
        <row r="540">
          <cell r="F540" t="str">
            <v>2464#26 3C /BLK(YEONSEON)</v>
          </cell>
          <cell r="G540" t="str">
            <v>WIRE</v>
          </cell>
          <cell r="H540" t="str">
            <v>WUL0884</v>
          </cell>
        </row>
        <row r="541">
          <cell r="F541" t="str">
            <v>AVS 0.85SQ RED</v>
          </cell>
          <cell r="G541" t="str">
            <v>WIRE</v>
          </cell>
          <cell r="H541" t="str">
            <v>WUL0881</v>
          </cell>
        </row>
        <row r="542">
          <cell r="F542" t="str">
            <v>AVS 0.85SQ GRN</v>
          </cell>
          <cell r="G542" t="str">
            <v>WIRE</v>
          </cell>
          <cell r="H542" t="str">
            <v>WUL0880</v>
          </cell>
        </row>
        <row r="543">
          <cell r="F543" t="str">
            <v>AVS 0.85SQ BLK</v>
          </cell>
          <cell r="G543" t="str">
            <v>WIRE</v>
          </cell>
          <cell r="H543" t="str">
            <v>WUL0879</v>
          </cell>
        </row>
        <row r="544">
          <cell r="F544" t="str">
            <v>2095#24 2C GY</v>
          </cell>
          <cell r="G544" t="str">
            <v>WIRE</v>
          </cell>
          <cell r="H544" t="str">
            <v>WUL0878</v>
          </cell>
        </row>
        <row r="545">
          <cell r="F545" t="str">
            <v>1007#22/(L) PNK</v>
          </cell>
          <cell r="G545" t="str">
            <v>WIRE</v>
          </cell>
          <cell r="H545" t="str">
            <v>WUL0874</v>
          </cell>
        </row>
        <row r="546">
          <cell r="F546" t="str">
            <v>1007#22/(L) BLK</v>
          </cell>
          <cell r="G546" t="str">
            <v>WIRE</v>
          </cell>
          <cell r="H546" t="str">
            <v>WUL0873</v>
          </cell>
        </row>
        <row r="547">
          <cell r="F547" t="str">
            <v>1333#18 ORG</v>
          </cell>
          <cell r="G547" t="str">
            <v>TEFLON WIRE</v>
          </cell>
          <cell r="H547" t="str">
            <v>WUL0872</v>
          </cell>
        </row>
        <row r="548">
          <cell r="F548" t="str">
            <v>2095#26 3C BK(RD,WH,BK)</v>
          </cell>
          <cell r="G548" t="str">
            <v>WIRE</v>
          </cell>
          <cell r="H548" t="str">
            <v>WUL0871</v>
          </cell>
        </row>
        <row r="549">
          <cell r="F549" t="str">
            <v>2095#26 9C</v>
          </cell>
          <cell r="G549" t="str">
            <v>WIRE</v>
          </cell>
          <cell r="H549" t="str">
            <v>WUL0870</v>
          </cell>
        </row>
        <row r="550">
          <cell r="F550" t="str">
            <v>2095#26 3C GY(BK,BN,RD)</v>
          </cell>
          <cell r="G550" t="str">
            <v>WIRE</v>
          </cell>
          <cell r="H550" t="str">
            <v>WUL0869</v>
          </cell>
        </row>
        <row r="551">
          <cell r="F551" t="str">
            <v>1007#26 (CONNECTION 4P) 적,WHITE~</v>
          </cell>
          <cell r="G551" t="str">
            <v>WIRE</v>
          </cell>
          <cell r="H551" t="str">
            <v>WUL0868</v>
          </cell>
        </row>
        <row r="552">
          <cell r="F552" t="str">
            <v>21016#28 5C (BLK/GRY)</v>
          </cell>
          <cell r="G552" t="str">
            <v>FLAT WIRE</v>
          </cell>
          <cell r="H552" t="str">
            <v>WUL0867</v>
          </cell>
        </row>
        <row r="553">
          <cell r="F553" t="str">
            <v>1007#24 (CONNECTION 2P)적,WHITE</v>
          </cell>
          <cell r="G553" t="str">
            <v>WIRE</v>
          </cell>
          <cell r="H553" t="str">
            <v>WUL0866</v>
          </cell>
        </row>
        <row r="554">
          <cell r="F554" t="str">
            <v>2095#24 5C GY(RD,PK,BL,OG,YL)</v>
          </cell>
          <cell r="G554" t="str">
            <v>WIRE</v>
          </cell>
          <cell r="H554" t="str">
            <v>WUL0865</v>
          </cell>
        </row>
        <row r="555">
          <cell r="F555" t="str">
            <v>2095#24 5C BK(RD,BK,WH,YL,BL)</v>
          </cell>
          <cell r="G555" t="str">
            <v>WIRE</v>
          </cell>
          <cell r="H555" t="str">
            <v>WUL0864</v>
          </cell>
        </row>
        <row r="556">
          <cell r="F556" t="str">
            <v>1007#26 (CONNECTION 2P) WHITE,WHITE</v>
          </cell>
          <cell r="G556" t="str">
            <v>WIRE</v>
          </cell>
          <cell r="H556" t="str">
            <v>WUL0862</v>
          </cell>
        </row>
        <row r="557">
          <cell r="F557" t="str">
            <v>1061#26 (CONNECTION 8P) RED,WHT</v>
          </cell>
          <cell r="G557" t="str">
            <v>WIRE</v>
          </cell>
          <cell r="H557" t="str">
            <v>WUL0861</v>
          </cell>
        </row>
        <row r="558">
          <cell r="F558" t="str">
            <v>2095#24 6C GY(RD,PK,BL,OG,YL,BN)</v>
          </cell>
          <cell r="G558" t="str">
            <v>WIRE</v>
          </cell>
          <cell r="H558" t="str">
            <v>WUL0860</v>
          </cell>
        </row>
        <row r="559">
          <cell r="F559" t="str">
            <v>1007#20 S/BLU</v>
          </cell>
          <cell r="G559" t="str">
            <v>WIRE</v>
          </cell>
          <cell r="H559" t="str">
            <v>WUL0858</v>
          </cell>
        </row>
        <row r="560">
          <cell r="F560" t="str">
            <v>2095#26 4C GY(RD,OG,YL,BL)</v>
          </cell>
          <cell r="G560" t="str">
            <v>WIRE</v>
          </cell>
          <cell r="H560" t="str">
            <v>WUL0857</v>
          </cell>
        </row>
        <row r="561">
          <cell r="F561" t="str">
            <v>2095#26 5C GY(BL,VT,GN,WH,S/BL)</v>
          </cell>
          <cell r="G561" t="str">
            <v>WIRE</v>
          </cell>
          <cell r="H561" t="str">
            <v>WUL0856</v>
          </cell>
        </row>
        <row r="562">
          <cell r="F562" t="str">
            <v>2095#24 6C GY(BN,PK,OG,YL,GY,BK)</v>
          </cell>
          <cell r="G562" t="str">
            <v>WIRE</v>
          </cell>
          <cell r="H562" t="str">
            <v>WUL0855</v>
          </cell>
        </row>
        <row r="563">
          <cell r="F563" t="str">
            <v>2095#26 10C GY(WH,GY,VT,BL,GN,YL,OG,RD,BN,BK)</v>
          </cell>
          <cell r="G563" t="str">
            <v>WIRE</v>
          </cell>
          <cell r="H563" t="str">
            <v>WUL0854</v>
          </cell>
        </row>
        <row r="564">
          <cell r="F564" t="str">
            <v>1061#26 (CONNECTION 4P) 등,WHITE~</v>
          </cell>
          <cell r="G564" t="str">
            <v>WIRE</v>
          </cell>
          <cell r="H564" t="str">
            <v>WUL0853</v>
          </cell>
        </row>
        <row r="565">
          <cell r="F565" t="str">
            <v>1061#26 (CONNECTION 5P) 등,WHITE~</v>
          </cell>
          <cell r="G565" t="str">
            <v>WIRE</v>
          </cell>
          <cell r="H565" t="str">
            <v>WUL0852</v>
          </cell>
        </row>
        <row r="566">
          <cell r="F566" t="str">
            <v>2095#24 6C GY(BN,PK,OG,RD,BL,YL)</v>
          </cell>
          <cell r="G566" t="str">
            <v>WIRE</v>
          </cell>
          <cell r="H566" t="str">
            <v>WUL0851</v>
          </cell>
        </row>
        <row r="567">
          <cell r="F567" t="str">
            <v>2095#24 6C GY(GN,WH,VT,BL,YL,GY)</v>
          </cell>
          <cell r="G567" t="str">
            <v>WIRE</v>
          </cell>
          <cell r="H567" t="str">
            <v>WUL0850</v>
          </cell>
        </row>
        <row r="568">
          <cell r="F568" t="str">
            <v>1007#20/A BLK</v>
          </cell>
          <cell r="G568" t="str">
            <v>WIRE</v>
          </cell>
          <cell r="H568" t="str">
            <v>WUL0849</v>
          </cell>
        </row>
        <row r="569">
          <cell r="F569" t="str">
            <v>1007#20/A S/BLU</v>
          </cell>
          <cell r="G569" t="str">
            <v>WIRE</v>
          </cell>
          <cell r="H569" t="str">
            <v>WUL0848</v>
          </cell>
        </row>
        <row r="570">
          <cell r="F570" t="str">
            <v>21016#28 7C (BLK/GRY)</v>
          </cell>
          <cell r="G570" t="str">
            <v>FLAT WIRE</v>
          </cell>
          <cell r="H570" t="str">
            <v>WUL0847</v>
          </cell>
        </row>
        <row r="571">
          <cell r="F571" t="str">
            <v>2468#26 12C WHT (DOT MARKING)</v>
          </cell>
          <cell r="G571" t="str">
            <v>FLAT WIRE</v>
          </cell>
          <cell r="H571" t="str">
            <v>WUL0846</v>
          </cell>
        </row>
        <row r="572">
          <cell r="F572" t="str">
            <v>2095#22 2C BK(RD,BL)</v>
          </cell>
          <cell r="G572" t="str">
            <v>WIRE</v>
          </cell>
          <cell r="H572" t="str">
            <v>WUL0845</v>
          </cell>
        </row>
        <row r="573">
          <cell r="F573" t="str">
            <v>1007#24 WH/S/BLU</v>
          </cell>
          <cell r="G573" t="str">
            <v>WIRE</v>
          </cell>
          <cell r="H573" t="str">
            <v>WUL0844</v>
          </cell>
        </row>
        <row r="574">
          <cell r="F574" t="str">
            <v>1007#24 W/PNK</v>
          </cell>
          <cell r="G574" t="str">
            <v>WIRE</v>
          </cell>
          <cell r="H574" t="str">
            <v>WUL0843</v>
          </cell>
        </row>
        <row r="575">
          <cell r="F575" t="str">
            <v>PV1-F 4.0SQ BLK</v>
          </cell>
          <cell r="G575" t="str">
            <v>WIRE</v>
          </cell>
          <cell r="H575" t="str">
            <v>WUL0842</v>
          </cell>
        </row>
        <row r="576">
          <cell r="F576" t="str">
            <v>SJTW#18 3C</v>
          </cell>
          <cell r="G576" t="str">
            <v>WIRE</v>
          </cell>
          <cell r="H576" t="str">
            <v>WUL0841</v>
          </cell>
        </row>
        <row r="577">
          <cell r="F577" t="str">
            <v>SJTW#18 2C</v>
          </cell>
          <cell r="G577" t="str">
            <v>WIRE</v>
          </cell>
          <cell r="H577" t="str">
            <v>WUL0840</v>
          </cell>
        </row>
        <row r="578">
          <cell r="F578" t="str">
            <v>2095#26 15C GRY(OG,YL,GY,BK,PK,BN,BL,VT~WH/BK)</v>
          </cell>
          <cell r="G578" t="str">
            <v>WIRE</v>
          </cell>
          <cell r="H578" t="str">
            <v>WUL0839</v>
          </cell>
        </row>
        <row r="579">
          <cell r="F579" t="str">
            <v>2464 COMPLEX 10C 9.8Φ 종이</v>
          </cell>
          <cell r="G579" t="str">
            <v>WIRE</v>
          </cell>
          <cell r="H579" t="str">
            <v>WUL0838</v>
          </cell>
        </row>
        <row r="580">
          <cell r="F580" t="str">
            <v>HELUTHERM 145 2.5SQ 1C BLU</v>
          </cell>
          <cell r="G580" t="str">
            <v>WIRE</v>
          </cell>
          <cell r="H580" t="str">
            <v>WUL0837</v>
          </cell>
        </row>
        <row r="581">
          <cell r="F581" t="str">
            <v>HELUTHERM 145 2.5SQ 1C</v>
          </cell>
          <cell r="G581" t="str">
            <v>WIRE</v>
          </cell>
          <cell r="H581" t="str">
            <v>WUL0835</v>
          </cell>
        </row>
        <row r="582">
          <cell r="F582" t="str">
            <v>2835#26 7C(S)/MATTLE BLK</v>
          </cell>
          <cell r="G582" t="str">
            <v>WIRE</v>
          </cell>
          <cell r="H582" t="str">
            <v>WUL0834</v>
          </cell>
        </row>
        <row r="583">
          <cell r="F583" t="str">
            <v>2468#26 5C (BLK/WHT)</v>
          </cell>
          <cell r="G583" t="str">
            <v>FLAT WIRE</v>
          </cell>
          <cell r="H583" t="str">
            <v>WUL0833</v>
          </cell>
        </row>
        <row r="584">
          <cell r="F584" t="str">
            <v>2468#26 2C (BLK/WHT)</v>
          </cell>
          <cell r="G584" t="str">
            <v>FLAT WIRE</v>
          </cell>
          <cell r="H584" t="str">
            <v>WUL0831</v>
          </cell>
        </row>
        <row r="585">
          <cell r="F585" t="str">
            <v>IEC080.5SQ Y/BLK</v>
          </cell>
          <cell r="G585" t="str">
            <v>WIRE</v>
          </cell>
          <cell r="H585" t="str">
            <v>WUL0830</v>
          </cell>
        </row>
        <row r="586">
          <cell r="F586" t="str">
            <v>IEC080.5SQ GRN</v>
          </cell>
          <cell r="G586" t="str">
            <v>WIRE</v>
          </cell>
          <cell r="H586" t="str">
            <v>WUL0828</v>
          </cell>
        </row>
        <row r="587">
          <cell r="F587" t="str">
            <v>60227 KS IEC 02 2.5 WHT</v>
          </cell>
          <cell r="G587" t="str">
            <v>WIRE</v>
          </cell>
          <cell r="H587" t="str">
            <v>WUL0827</v>
          </cell>
        </row>
        <row r="588">
          <cell r="F588" t="str">
            <v>60227 KS IEC 02 2.5 G/YEL</v>
          </cell>
          <cell r="G588" t="str">
            <v>WIRE</v>
          </cell>
          <cell r="H588" t="str">
            <v>WUL0826</v>
          </cell>
        </row>
        <row r="589">
          <cell r="F589" t="str">
            <v>60227 KS IEC 02 2.5 BLK</v>
          </cell>
          <cell r="G589" t="str">
            <v>WIRE</v>
          </cell>
          <cell r="H589" t="str">
            <v>WUL0825</v>
          </cell>
        </row>
        <row r="590">
          <cell r="F590" t="str">
            <v>1015#10 BLU</v>
          </cell>
          <cell r="G590" t="str">
            <v>WIRE</v>
          </cell>
          <cell r="H590" t="str">
            <v>WUL0823</v>
          </cell>
        </row>
        <row r="591">
          <cell r="F591" t="str">
            <v>2468#26 11C (RED/WHT)</v>
          </cell>
          <cell r="G591" t="str">
            <v>FLAT WIRE</v>
          </cell>
          <cell r="H591" t="str">
            <v>WUL0822</v>
          </cell>
        </row>
        <row r="592">
          <cell r="F592" t="str">
            <v>2468#26 3C (ORG/WHT)</v>
          </cell>
          <cell r="G592" t="str">
            <v>FLAT WIRE</v>
          </cell>
          <cell r="H592" t="str">
            <v>WUL0821</v>
          </cell>
        </row>
        <row r="593">
          <cell r="F593" t="str">
            <v>2468#26 15C (ORG/WHT)</v>
          </cell>
          <cell r="G593" t="str">
            <v>FLAT WIRE</v>
          </cell>
          <cell r="H593" t="str">
            <v>WUL0820</v>
          </cell>
        </row>
        <row r="594">
          <cell r="F594" t="str">
            <v>2468#26 13C (ORG/WHT)</v>
          </cell>
          <cell r="G594" t="str">
            <v>FLAT WIRE</v>
          </cell>
          <cell r="H594" t="str">
            <v>WUL0819</v>
          </cell>
        </row>
        <row r="595">
          <cell r="F595" t="str">
            <v>2468#26 11C (ORG/WHT)</v>
          </cell>
          <cell r="G595" t="str">
            <v>FLAT WIRE</v>
          </cell>
          <cell r="H595" t="str">
            <v>WUL0818</v>
          </cell>
        </row>
        <row r="596">
          <cell r="F596" t="str">
            <v>2468#26 10C (ORG/WHT)</v>
          </cell>
          <cell r="G596" t="str">
            <v>FLAT WIRE</v>
          </cell>
          <cell r="H596" t="str">
            <v>WUL0817</v>
          </cell>
        </row>
        <row r="597">
          <cell r="F597" t="str">
            <v>2468#26 8C (ORG/WHT)</v>
          </cell>
          <cell r="G597" t="str">
            <v>FLAT WIRE</v>
          </cell>
          <cell r="H597" t="str">
            <v>WUL0816</v>
          </cell>
        </row>
        <row r="598">
          <cell r="F598" t="str">
            <v>2468#26 5C (ORG/WHT)</v>
          </cell>
          <cell r="G598" t="str">
            <v>FLAT WIRE</v>
          </cell>
          <cell r="H598" t="str">
            <v>WUL0815</v>
          </cell>
        </row>
        <row r="599">
          <cell r="F599" t="str">
            <v>2468#26 2C (ORG/WHT)</v>
          </cell>
          <cell r="G599" t="str">
            <v>FLAT WIRE</v>
          </cell>
          <cell r="H599" t="str">
            <v>WUL0814</v>
          </cell>
        </row>
        <row r="600">
          <cell r="F600" t="str">
            <v>2468#26 12C (ORG/WHT)</v>
          </cell>
          <cell r="G600" t="str">
            <v>FLAT WIRE</v>
          </cell>
          <cell r="H600" t="str">
            <v>WUL0813</v>
          </cell>
        </row>
        <row r="601">
          <cell r="F601" t="str">
            <v>2468#26 9C (ORG/WHT)</v>
          </cell>
          <cell r="G601" t="str">
            <v>FLAT WIRE</v>
          </cell>
          <cell r="H601" t="str">
            <v>WUL0812</v>
          </cell>
        </row>
        <row r="602">
          <cell r="F602" t="str">
            <v>2468#26 7C (ORG/WHT)</v>
          </cell>
          <cell r="G602" t="str">
            <v>FLAT WIRE</v>
          </cell>
          <cell r="H602" t="str">
            <v>WUL0811</v>
          </cell>
        </row>
        <row r="603">
          <cell r="F603" t="str">
            <v>2468#26 6C (ORG/WHT)</v>
          </cell>
          <cell r="G603" t="str">
            <v>FLAT WIRE</v>
          </cell>
          <cell r="H603" t="str">
            <v>WUL0810</v>
          </cell>
        </row>
        <row r="604">
          <cell r="F604" t="str">
            <v>2468#26 4C (ORG/WHT)</v>
          </cell>
          <cell r="G604" t="str">
            <v>FLAT WIRE</v>
          </cell>
          <cell r="H604" t="str">
            <v>WUL0809</v>
          </cell>
        </row>
        <row r="605">
          <cell r="F605" t="str">
            <v>3239#22 WHT</v>
          </cell>
          <cell r="G605" t="str">
            <v>WIRE</v>
          </cell>
          <cell r="H605" t="str">
            <v>WUL0808</v>
          </cell>
        </row>
        <row r="606">
          <cell r="F606" t="str">
            <v>2468#26 14C (ORG/WHT)</v>
          </cell>
          <cell r="G606" t="str">
            <v>FLAT WIRE</v>
          </cell>
          <cell r="H606" t="str">
            <v>WUL0807</v>
          </cell>
        </row>
        <row r="607">
          <cell r="F607" t="str">
            <v>2468#26 10C (RED/WHT)</v>
          </cell>
          <cell r="G607" t="str">
            <v>FLAT WIRE</v>
          </cell>
          <cell r="H607" t="str">
            <v>WUL0806</v>
          </cell>
        </row>
        <row r="608">
          <cell r="F608" t="str">
            <v>2468#26 10C (BLK/WHT)</v>
          </cell>
          <cell r="G608" t="str">
            <v>FLAT WIRE</v>
          </cell>
          <cell r="H608" t="str">
            <v>WUL0805</v>
          </cell>
        </row>
        <row r="609">
          <cell r="F609" t="str">
            <v>2468#26 6C (BLK/WHT)</v>
          </cell>
          <cell r="G609" t="str">
            <v>FLAT WIRE</v>
          </cell>
          <cell r="H609" t="str">
            <v>WUL0804</v>
          </cell>
        </row>
        <row r="610">
          <cell r="F610" t="str">
            <v>2468#26 4C (BLK/WHT)</v>
          </cell>
          <cell r="G610" t="str">
            <v>FLAT WIRE</v>
          </cell>
          <cell r="H610" t="str">
            <v>WUL0803</v>
          </cell>
        </row>
        <row r="611">
          <cell r="F611" t="str">
            <v>1332#22 BLK</v>
          </cell>
          <cell r="G611" t="str">
            <v>WIRE</v>
          </cell>
          <cell r="H611" t="str">
            <v>WUL0802</v>
          </cell>
        </row>
        <row r="612">
          <cell r="F612" t="str">
            <v>1332#22 WHT</v>
          </cell>
          <cell r="G612" t="str">
            <v>WIRE</v>
          </cell>
          <cell r="H612" t="str">
            <v>WUL0801</v>
          </cell>
        </row>
        <row r="613">
          <cell r="F613" t="str">
            <v>1332#22 RED</v>
          </cell>
          <cell r="G613" t="str">
            <v>WIRE</v>
          </cell>
          <cell r="H613" t="str">
            <v>WUL0798</v>
          </cell>
        </row>
        <row r="614">
          <cell r="F614" t="str">
            <v>1007#26 (CONNECTION 8P) BLK~VIO</v>
          </cell>
          <cell r="G614" t="str">
            <v>WIRE</v>
          </cell>
          <cell r="H614" t="str">
            <v>WUL0778</v>
          </cell>
        </row>
        <row r="615">
          <cell r="F615" t="str">
            <v>1569#18 ORG</v>
          </cell>
          <cell r="G615" t="str">
            <v>WIRE</v>
          </cell>
          <cell r="H615" t="str">
            <v>WUL0777</v>
          </cell>
        </row>
        <row r="616">
          <cell r="F616" t="str">
            <v>1007#20 VIO</v>
          </cell>
          <cell r="G616" t="str">
            <v>WIRE</v>
          </cell>
          <cell r="H616" t="str">
            <v>WUL0776</v>
          </cell>
        </row>
        <row r="617">
          <cell r="F617" t="str">
            <v>1007#20 ORG</v>
          </cell>
          <cell r="G617" t="str">
            <v>WIRE</v>
          </cell>
          <cell r="H617" t="str">
            <v>WUL0775</v>
          </cell>
        </row>
        <row r="618">
          <cell r="F618" t="str">
            <v>1007#26 (CONNECTION 4P) BLK,WHITE~</v>
          </cell>
          <cell r="G618" t="str">
            <v>WIRE</v>
          </cell>
          <cell r="H618" t="str">
            <v>WUL0774</v>
          </cell>
        </row>
        <row r="619">
          <cell r="F619" t="str">
            <v>1007#26 (CONNECTION 11P) 적,WHITE~</v>
          </cell>
          <cell r="G619" t="str">
            <v>WIRE</v>
          </cell>
          <cell r="H619" t="str">
            <v>WUL0773</v>
          </cell>
        </row>
        <row r="620">
          <cell r="F620" t="str">
            <v>1571#28 RED</v>
          </cell>
          <cell r="G620" t="str">
            <v>WIRE</v>
          </cell>
          <cell r="H620" t="str">
            <v>WUL0769</v>
          </cell>
        </row>
        <row r="621">
          <cell r="F621" t="str">
            <v>1571#28 BLK</v>
          </cell>
          <cell r="G621" t="str">
            <v>WIRE</v>
          </cell>
          <cell r="H621" t="str">
            <v>WUL0768</v>
          </cell>
        </row>
        <row r="622">
          <cell r="F622" t="str">
            <v>2468#26 15C (RED/WHT)</v>
          </cell>
          <cell r="G622" t="str">
            <v>FLAT WIRE</v>
          </cell>
          <cell r="H622" t="str">
            <v>WUL0767</v>
          </cell>
        </row>
        <row r="623">
          <cell r="F623" t="str">
            <v>1007#16 BL/RD</v>
          </cell>
          <cell r="G623" t="str">
            <v>WIRE</v>
          </cell>
          <cell r="H623" t="str">
            <v>WUL0764</v>
          </cell>
        </row>
        <row r="624">
          <cell r="F624" t="str">
            <v>1007#16 RD/YL</v>
          </cell>
          <cell r="G624" t="str">
            <v>WIRE</v>
          </cell>
          <cell r="H624" t="str">
            <v>WUL0763</v>
          </cell>
        </row>
        <row r="625">
          <cell r="F625" t="str">
            <v>1007#16 BLK</v>
          </cell>
          <cell r="G625" t="str">
            <v>WIRE</v>
          </cell>
          <cell r="H625" t="str">
            <v>WUL0762</v>
          </cell>
        </row>
        <row r="626">
          <cell r="F626" t="str">
            <v>1007#16 GRN</v>
          </cell>
          <cell r="G626" t="str">
            <v>WIRE</v>
          </cell>
          <cell r="H626" t="str">
            <v>WUL0761</v>
          </cell>
        </row>
        <row r="627">
          <cell r="F627" t="str">
            <v>1007#16 RED</v>
          </cell>
          <cell r="G627" t="str">
            <v>WIRE</v>
          </cell>
          <cell r="H627" t="str">
            <v>WUL0760</v>
          </cell>
        </row>
        <row r="628">
          <cell r="F628" t="str">
            <v>2468#26 14C W/BLK</v>
          </cell>
          <cell r="G628" t="str">
            <v>FLAT WIRE</v>
          </cell>
          <cell r="H628" t="str">
            <v>WUL0759</v>
          </cell>
        </row>
        <row r="629">
          <cell r="F629" t="str">
            <v>1007#26 (CONNECTION 6P) BLK~GRN</v>
          </cell>
          <cell r="G629" t="str">
            <v>WIRE</v>
          </cell>
          <cell r="H629" t="str">
            <v>WUL0758</v>
          </cell>
        </row>
        <row r="630">
          <cell r="F630" t="str">
            <v>1007#26 (CONNECTION 4P) BLK~ORG</v>
          </cell>
          <cell r="G630" t="str">
            <v>WIRE</v>
          </cell>
          <cell r="H630" t="str">
            <v>WUL0757</v>
          </cell>
        </row>
        <row r="631">
          <cell r="F631" t="str">
            <v>1007#26 (CONNECTION 11P) BLK~YEL</v>
          </cell>
          <cell r="G631" t="str">
            <v>WIRE</v>
          </cell>
          <cell r="H631" t="str">
            <v>WUL0756</v>
          </cell>
        </row>
        <row r="632">
          <cell r="F632" t="str">
            <v>1007#26 (CONNECTION 10P) BLK~WHITE</v>
          </cell>
          <cell r="G632" t="str">
            <v>WIRE</v>
          </cell>
          <cell r="H632" t="str">
            <v>WUL0755</v>
          </cell>
        </row>
        <row r="633">
          <cell r="F633" t="str">
            <v>3343#12 BLU</v>
          </cell>
          <cell r="G633" t="str">
            <v>WIRE</v>
          </cell>
          <cell r="H633" t="str">
            <v>WUL0754</v>
          </cell>
        </row>
        <row r="634">
          <cell r="F634" t="str">
            <v>3343#12 YEL</v>
          </cell>
          <cell r="G634" t="str">
            <v>WIRE</v>
          </cell>
          <cell r="H634" t="str">
            <v>WUL0753</v>
          </cell>
        </row>
        <row r="635">
          <cell r="F635" t="str">
            <v>1007#26 (CONNECTION 6P) BLK,WHITE~</v>
          </cell>
          <cell r="G635" t="str">
            <v>WIRE</v>
          </cell>
          <cell r="H635" t="str">
            <v>WUL0752</v>
          </cell>
        </row>
        <row r="636">
          <cell r="F636" t="str">
            <v>1007#26 (CONNECTION 5P) BLK,WHITE~</v>
          </cell>
          <cell r="G636" t="str">
            <v>WIRE</v>
          </cell>
          <cell r="H636" t="str">
            <v>WUL0751</v>
          </cell>
        </row>
        <row r="637">
          <cell r="F637" t="str">
            <v>IEC080.5SQ BLU/YEL</v>
          </cell>
          <cell r="G637" t="str">
            <v>WIRE</v>
          </cell>
          <cell r="H637" t="str">
            <v>WUL0748</v>
          </cell>
        </row>
        <row r="638">
          <cell r="F638" t="str">
            <v>1007#20 GRN</v>
          </cell>
          <cell r="G638" t="str">
            <v>WIRE</v>
          </cell>
          <cell r="H638" t="str">
            <v>WUL0747</v>
          </cell>
        </row>
        <row r="639">
          <cell r="F639" t="str">
            <v>1333#18 YEL</v>
          </cell>
          <cell r="G639" t="str">
            <v>TEFLON WIRE</v>
          </cell>
          <cell r="H639" t="str">
            <v>WUL0746</v>
          </cell>
        </row>
        <row r="640">
          <cell r="F640" t="str">
            <v>1333#18 VIO</v>
          </cell>
          <cell r="G640" t="str">
            <v>TEFLON WIRE</v>
          </cell>
          <cell r="H640" t="str">
            <v>WUL0745</v>
          </cell>
        </row>
        <row r="641">
          <cell r="F641" t="str">
            <v>1333#18 BLK</v>
          </cell>
          <cell r="G641" t="str">
            <v>TEFLON WIRE</v>
          </cell>
          <cell r="H641" t="str">
            <v>WUL0744</v>
          </cell>
        </row>
        <row r="642">
          <cell r="F642" t="str">
            <v>1015#22 W/YEL</v>
          </cell>
          <cell r="G642" t="str">
            <v>WIRE</v>
          </cell>
          <cell r="H642" t="str">
            <v>WUL0742</v>
          </cell>
        </row>
        <row r="643">
          <cell r="F643" t="str">
            <v>1007#26 W/GRY</v>
          </cell>
          <cell r="G643" t="str">
            <v>WIRE</v>
          </cell>
          <cell r="H643" t="str">
            <v>WUL0741</v>
          </cell>
        </row>
        <row r="644">
          <cell r="F644" t="str">
            <v>1569#18 YEL</v>
          </cell>
          <cell r="G644" t="str">
            <v>WIRE</v>
          </cell>
          <cell r="H644" t="str">
            <v>WUL0740</v>
          </cell>
        </row>
        <row r="645">
          <cell r="F645" t="str">
            <v>1015#22/A W/YEL</v>
          </cell>
          <cell r="G645" t="str">
            <v>WIRE</v>
          </cell>
          <cell r="H645" t="str">
            <v>WUL0739</v>
          </cell>
        </row>
        <row r="646">
          <cell r="F646" t="str">
            <v>3321#18 WHT</v>
          </cell>
          <cell r="G646" t="str">
            <v>WIRE</v>
          </cell>
          <cell r="H646" t="str">
            <v>WUL0737</v>
          </cell>
        </row>
        <row r="647">
          <cell r="F647" t="str">
            <v>3398#18 WHT</v>
          </cell>
          <cell r="G647" t="str">
            <v>WIRE</v>
          </cell>
          <cell r="H647" t="str">
            <v>WUL0735</v>
          </cell>
        </row>
        <row r="648">
          <cell r="F648" t="str">
            <v>3271#20 BLK</v>
          </cell>
          <cell r="G648" t="str">
            <v>WIRE</v>
          </cell>
          <cell r="H648" t="str">
            <v>WUL0734</v>
          </cell>
        </row>
        <row r="649">
          <cell r="F649" t="str">
            <v>3321#18 YEL</v>
          </cell>
          <cell r="G649" t="str">
            <v>WIRE</v>
          </cell>
          <cell r="H649" t="str">
            <v>WUL0733</v>
          </cell>
        </row>
        <row r="650">
          <cell r="F650" t="str">
            <v>3321#18 RED</v>
          </cell>
          <cell r="G650" t="str">
            <v>WIRE</v>
          </cell>
          <cell r="H650" t="str">
            <v>WUL0732</v>
          </cell>
        </row>
        <row r="651">
          <cell r="F651" t="str">
            <v>3321#18 BLK</v>
          </cell>
          <cell r="G651" t="str">
            <v>WIRE</v>
          </cell>
          <cell r="H651" t="str">
            <v>WUL0731</v>
          </cell>
        </row>
        <row r="652">
          <cell r="F652" t="str">
            <v>3271#20 WHT</v>
          </cell>
          <cell r="G652" t="str">
            <v>WIRE</v>
          </cell>
          <cell r="H652" t="str">
            <v>WUL0730</v>
          </cell>
        </row>
        <row r="653">
          <cell r="F653" t="str">
            <v>3271#20 RED</v>
          </cell>
          <cell r="G653" t="str">
            <v>WIRE</v>
          </cell>
          <cell r="H653" t="str">
            <v>WUL0729</v>
          </cell>
        </row>
        <row r="654">
          <cell r="F654" t="str">
            <v>3266#22 GRY</v>
          </cell>
          <cell r="G654" t="str">
            <v>WIRE</v>
          </cell>
          <cell r="H654" t="str">
            <v>WUL0725</v>
          </cell>
        </row>
        <row r="655">
          <cell r="F655" t="str">
            <v>2095#24 7C GY(RD,OG,YL,BL,GY,WH,PK)</v>
          </cell>
          <cell r="G655" t="str">
            <v>WIRE</v>
          </cell>
          <cell r="H655" t="str">
            <v>WUL0697</v>
          </cell>
        </row>
        <row r="656">
          <cell r="F656" t="str">
            <v>1283#8 BRN</v>
          </cell>
          <cell r="G656" t="str">
            <v>WIRE</v>
          </cell>
          <cell r="H656" t="str">
            <v>WUL0696</v>
          </cell>
        </row>
        <row r="657">
          <cell r="F657" t="str">
            <v>1007#26/A W/PNK</v>
          </cell>
          <cell r="G657" t="str">
            <v>WIRE</v>
          </cell>
          <cell r="H657" t="str">
            <v>WUL0695</v>
          </cell>
        </row>
        <row r="658">
          <cell r="F658" t="str">
            <v>1015#14 G/YEL</v>
          </cell>
          <cell r="G658" t="str">
            <v>WIRE</v>
          </cell>
          <cell r="H658" t="str">
            <v>WUL0692</v>
          </cell>
        </row>
        <row r="659">
          <cell r="F659" t="str">
            <v>1283#8 RED</v>
          </cell>
          <cell r="G659" t="str">
            <v>WIRE</v>
          </cell>
          <cell r="H659" t="str">
            <v>WUL0691</v>
          </cell>
        </row>
        <row r="660">
          <cell r="F660" t="str">
            <v>1283#8 WHT</v>
          </cell>
          <cell r="G660" t="str">
            <v>WIRE</v>
          </cell>
          <cell r="H660" t="str">
            <v>WUL0690</v>
          </cell>
        </row>
        <row r="661">
          <cell r="F661" t="str">
            <v>1283#8 BLK</v>
          </cell>
          <cell r="G661" t="str">
            <v>WIRE</v>
          </cell>
          <cell r="H661" t="str">
            <v>WUL0689</v>
          </cell>
        </row>
        <row r="662">
          <cell r="F662" t="str">
            <v>1015#10 BRN</v>
          </cell>
          <cell r="G662" t="str">
            <v>WIRE</v>
          </cell>
          <cell r="H662" t="str">
            <v>WUL0688</v>
          </cell>
        </row>
        <row r="663">
          <cell r="F663" t="str">
            <v>1007#24 W/GRY</v>
          </cell>
          <cell r="G663" t="str">
            <v>WIRE</v>
          </cell>
          <cell r="H663" t="str">
            <v>WUL0687</v>
          </cell>
        </row>
        <row r="664">
          <cell r="F664" t="str">
            <v>1007#22/(L) W/GRN</v>
          </cell>
          <cell r="G664" t="str">
            <v>WIRE</v>
          </cell>
          <cell r="H664" t="str">
            <v>WUL0686</v>
          </cell>
        </row>
        <row r="665">
          <cell r="F665" t="str">
            <v>1007#26/(L) W/BRN</v>
          </cell>
          <cell r="G665" t="str">
            <v>WIRE</v>
          </cell>
          <cell r="H665" t="str">
            <v>WUL0685</v>
          </cell>
        </row>
        <row r="666">
          <cell r="F666" t="str">
            <v>1007#26/(L) W/VIO</v>
          </cell>
          <cell r="G666" t="str">
            <v>WIRE</v>
          </cell>
          <cell r="H666" t="str">
            <v>WUL0684</v>
          </cell>
        </row>
        <row r="667">
          <cell r="F667" t="str">
            <v>1007#26/(L) W/GRY</v>
          </cell>
          <cell r="G667" t="str">
            <v>WIRE</v>
          </cell>
          <cell r="H667" t="str">
            <v>WUL0683</v>
          </cell>
        </row>
        <row r="668">
          <cell r="F668" t="str">
            <v>1007#26 (CONNECTION 5P) 적,WHITE~</v>
          </cell>
          <cell r="G668" t="str">
            <v>WIRE</v>
          </cell>
          <cell r="H668" t="str">
            <v>WUL0682</v>
          </cell>
        </row>
        <row r="669">
          <cell r="F669" t="str">
            <v>1007#26 (CONNECTION 10P)적,WHITE~</v>
          </cell>
          <cell r="G669" t="str">
            <v>WIRE</v>
          </cell>
          <cell r="H669" t="str">
            <v>WUL0681</v>
          </cell>
        </row>
        <row r="670">
          <cell r="F670" t="str">
            <v>2095#24 6C GRY(RD,BL,OG,YL,PK,WH)</v>
          </cell>
          <cell r="G670" t="str">
            <v>WIRE</v>
          </cell>
          <cell r="H670" t="str">
            <v>WUL0680</v>
          </cell>
        </row>
        <row r="671">
          <cell r="F671" t="str">
            <v>1007#22/A W/GRY</v>
          </cell>
          <cell r="G671" t="str">
            <v>WIRE</v>
          </cell>
          <cell r="H671" t="str">
            <v>WUL0677</v>
          </cell>
        </row>
        <row r="672">
          <cell r="F672" t="str">
            <v>2095#24 2C GY(BL,RD)</v>
          </cell>
          <cell r="G672" t="str">
            <v>WIRE</v>
          </cell>
          <cell r="H672" t="str">
            <v>WUL0676</v>
          </cell>
        </row>
        <row r="673">
          <cell r="F673" t="str">
            <v>3321#14 WHT</v>
          </cell>
          <cell r="G673" t="str">
            <v>WIRE</v>
          </cell>
          <cell r="H673" t="str">
            <v>WUL0675</v>
          </cell>
        </row>
        <row r="674">
          <cell r="F674" t="str">
            <v>3321#14 RED</v>
          </cell>
          <cell r="G674" t="str">
            <v>WIRE</v>
          </cell>
          <cell r="H674" t="str">
            <v>WUL0674</v>
          </cell>
        </row>
        <row r="675">
          <cell r="F675" t="str">
            <v>3321#14 BLK</v>
          </cell>
          <cell r="G675" t="str">
            <v>WIRE</v>
          </cell>
          <cell r="H675" t="str">
            <v>WUL0673</v>
          </cell>
        </row>
        <row r="676">
          <cell r="F676" t="str">
            <v>3343#16 RED</v>
          </cell>
          <cell r="G676" t="str">
            <v>WIRE</v>
          </cell>
          <cell r="H676" t="str">
            <v>WUL0672</v>
          </cell>
        </row>
        <row r="677">
          <cell r="F677" t="str">
            <v>3343#16 WHT</v>
          </cell>
          <cell r="G677" t="str">
            <v>WIRE</v>
          </cell>
          <cell r="H677" t="str">
            <v>WUL0671</v>
          </cell>
        </row>
        <row r="678">
          <cell r="F678" t="str">
            <v>3343#16 BLK</v>
          </cell>
          <cell r="G678" t="str">
            <v>WIRE</v>
          </cell>
          <cell r="H678" t="str">
            <v>WUL0670</v>
          </cell>
        </row>
        <row r="679">
          <cell r="F679" t="str">
            <v>3343#14 WHT</v>
          </cell>
          <cell r="G679" t="str">
            <v>WIRE</v>
          </cell>
          <cell r="H679" t="str">
            <v>WUL0668</v>
          </cell>
        </row>
        <row r="680">
          <cell r="F680" t="str">
            <v>3343#14 RED</v>
          </cell>
          <cell r="G680" t="str">
            <v>WIRE</v>
          </cell>
          <cell r="H680" t="str">
            <v>WUL0667</v>
          </cell>
        </row>
        <row r="681">
          <cell r="F681" t="str">
            <v>3343#14 BLK</v>
          </cell>
          <cell r="G681" t="str">
            <v>WIRE</v>
          </cell>
          <cell r="H681" t="str">
            <v>WUL0666</v>
          </cell>
        </row>
        <row r="682">
          <cell r="F682" t="str">
            <v>3343#12 WHT</v>
          </cell>
          <cell r="G682" t="str">
            <v>WIRE</v>
          </cell>
          <cell r="H682" t="str">
            <v>WUL0665</v>
          </cell>
        </row>
        <row r="683">
          <cell r="F683" t="str">
            <v>3343#12 RED</v>
          </cell>
          <cell r="G683" t="str">
            <v>WIRE</v>
          </cell>
          <cell r="H683" t="str">
            <v>WUL0664</v>
          </cell>
        </row>
        <row r="684">
          <cell r="F684" t="str">
            <v>3343#12 BLK</v>
          </cell>
          <cell r="G684" t="str">
            <v>WIRE</v>
          </cell>
          <cell r="H684" t="str">
            <v>WUL0663</v>
          </cell>
        </row>
        <row r="685">
          <cell r="F685" t="str">
            <v>3321#12 WHT</v>
          </cell>
          <cell r="G685" t="str">
            <v>WIRE</v>
          </cell>
          <cell r="H685" t="str">
            <v>WUL0662</v>
          </cell>
        </row>
        <row r="686">
          <cell r="F686" t="str">
            <v>3321#12 RED</v>
          </cell>
          <cell r="G686" t="str">
            <v>WIRE</v>
          </cell>
          <cell r="H686" t="str">
            <v>WUL0661</v>
          </cell>
        </row>
        <row r="687">
          <cell r="F687" t="str">
            <v>3321#12 BLK</v>
          </cell>
          <cell r="G687" t="str">
            <v>WIRE</v>
          </cell>
          <cell r="H687" t="str">
            <v>WUL0660</v>
          </cell>
        </row>
        <row r="688">
          <cell r="F688" t="str">
            <v>2095#26 6C GY(BL,YL,OG,PK,RD,BN)</v>
          </cell>
          <cell r="G688" t="str">
            <v>WIRE</v>
          </cell>
          <cell r="H688" t="str">
            <v>WUL0659</v>
          </cell>
        </row>
        <row r="689">
          <cell r="F689" t="str">
            <v>2095#26 13C GY</v>
          </cell>
          <cell r="G689" t="str">
            <v>WIRE</v>
          </cell>
          <cell r="H689" t="str">
            <v>WUL0658</v>
          </cell>
        </row>
        <row r="690">
          <cell r="F690" t="str">
            <v>2095#24 4C</v>
          </cell>
          <cell r="G690" t="str">
            <v>WIRE</v>
          </cell>
          <cell r="H690" t="str">
            <v>WUL0657</v>
          </cell>
        </row>
        <row r="691">
          <cell r="F691" t="str">
            <v>2095#24 3C GY(BN,BK,RD)</v>
          </cell>
          <cell r="G691" t="str">
            <v>WIRE</v>
          </cell>
          <cell r="H691" t="str">
            <v>WUL0656</v>
          </cell>
        </row>
        <row r="692">
          <cell r="F692" t="str">
            <v>2095#24 3C BLK(RD,BL,YL)</v>
          </cell>
          <cell r="G692" t="str">
            <v>WIRE</v>
          </cell>
          <cell r="H692" t="str">
            <v>WUL0655</v>
          </cell>
        </row>
        <row r="693">
          <cell r="F693" t="str">
            <v>1331#14 WHT</v>
          </cell>
          <cell r="G693" t="str">
            <v>WIRE</v>
          </cell>
          <cell r="H693" t="str">
            <v>WUL0654</v>
          </cell>
        </row>
        <row r="694">
          <cell r="F694" t="str">
            <v>1331#14 RED</v>
          </cell>
          <cell r="G694" t="str">
            <v>WIRE</v>
          </cell>
          <cell r="H694" t="str">
            <v>WUL0653</v>
          </cell>
        </row>
        <row r="695">
          <cell r="F695" t="str">
            <v>1331#14 BLK</v>
          </cell>
          <cell r="G695" t="str">
            <v>WIRE</v>
          </cell>
          <cell r="H695" t="str">
            <v>WUL0652</v>
          </cell>
        </row>
        <row r="696">
          <cell r="F696" t="str">
            <v>1015#14 YEL</v>
          </cell>
          <cell r="G696" t="str">
            <v>WIRE</v>
          </cell>
          <cell r="H696" t="str">
            <v>WUL0651</v>
          </cell>
        </row>
        <row r="697">
          <cell r="F697" t="str">
            <v>1015#14 WHT</v>
          </cell>
          <cell r="G697" t="str">
            <v>WIRE</v>
          </cell>
          <cell r="H697" t="str">
            <v>WUL0650</v>
          </cell>
        </row>
        <row r="698">
          <cell r="F698" t="str">
            <v>1015#14 S/BLU</v>
          </cell>
          <cell r="G698" t="str">
            <v>WIRE</v>
          </cell>
          <cell r="H698" t="str">
            <v>WUL0649</v>
          </cell>
        </row>
        <row r="699">
          <cell r="F699" t="str">
            <v>1015#14 BRN</v>
          </cell>
          <cell r="G699" t="str">
            <v>WIRE</v>
          </cell>
          <cell r="H699" t="str">
            <v>WUL0647</v>
          </cell>
        </row>
        <row r="700">
          <cell r="F700" t="str">
            <v>1015#12 YEL</v>
          </cell>
          <cell r="G700" t="str">
            <v>WIRE</v>
          </cell>
          <cell r="H700" t="str">
            <v>WUL0646</v>
          </cell>
        </row>
        <row r="701">
          <cell r="F701" t="str">
            <v>1015#12 S/BLU</v>
          </cell>
          <cell r="G701" t="str">
            <v>WIRE</v>
          </cell>
          <cell r="H701" t="str">
            <v>WUL0645</v>
          </cell>
        </row>
        <row r="702">
          <cell r="F702" t="str">
            <v>1015#12 GRN</v>
          </cell>
          <cell r="G702" t="str">
            <v>WIRE</v>
          </cell>
          <cell r="H702" t="str">
            <v>WUL0644</v>
          </cell>
        </row>
        <row r="703">
          <cell r="F703" t="str">
            <v>1015#12 BRN</v>
          </cell>
          <cell r="G703" t="str">
            <v>WIRE</v>
          </cell>
          <cell r="H703" t="str">
            <v>WUL0643</v>
          </cell>
        </row>
        <row r="704">
          <cell r="F704" t="str">
            <v>1015#10 WHT</v>
          </cell>
          <cell r="G704" t="str">
            <v>WIRE</v>
          </cell>
          <cell r="H704" t="str">
            <v>WUL0642</v>
          </cell>
        </row>
        <row r="705">
          <cell r="F705" t="str">
            <v>1015#10 RED</v>
          </cell>
          <cell r="G705" t="str">
            <v>WIRE</v>
          </cell>
          <cell r="H705" t="str">
            <v>WUL0641</v>
          </cell>
        </row>
        <row r="706">
          <cell r="F706" t="str">
            <v>1015#10 BLK</v>
          </cell>
          <cell r="G706" t="str">
            <v>WIRE</v>
          </cell>
          <cell r="H706" t="str">
            <v>WUL0640</v>
          </cell>
        </row>
        <row r="707">
          <cell r="F707" t="str">
            <v>1007#18 S/BLU</v>
          </cell>
          <cell r="G707" t="str">
            <v>WIRE</v>
          </cell>
          <cell r="H707" t="str">
            <v>WUL0639</v>
          </cell>
        </row>
        <row r="708">
          <cell r="F708" t="str">
            <v>1007#18 BRN</v>
          </cell>
          <cell r="G708" t="str">
            <v>WIRE</v>
          </cell>
          <cell r="H708" t="str">
            <v>WUL0638</v>
          </cell>
        </row>
        <row r="709">
          <cell r="F709" t="str">
            <v>1015#22/A P/BLU</v>
          </cell>
          <cell r="G709" t="str">
            <v>WIRE</v>
          </cell>
          <cell r="H709" t="str">
            <v>WUL0620</v>
          </cell>
        </row>
        <row r="710">
          <cell r="F710" t="str">
            <v>1569#22/A ORG</v>
          </cell>
          <cell r="G710" t="str">
            <v>WIRE</v>
          </cell>
          <cell r="H710" t="str">
            <v>WUL0618</v>
          </cell>
        </row>
        <row r="711">
          <cell r="F711" t="str">
            <v>1569#16/A WHT</v>
          </cell>
          <cell r="G711" t="str">
            <v>WIRE</v>
          </cell>
          <cell r="H711" t="str">
            <v>WUL0617</v>
          </cell>
        </row>
        <row r="712">
          <cell r="F712" t="str">
            <v>3266#24(RED)</v>
          </cell>
          <cell r="G712" t="str">
            <v>WIRE</v>
          </cell>
          <cell r="H712" t="str">
            <v>WUL0616</v>
          </cell>
        </row>
        <row r="713">
          <cell r="F713" t="str">
            <v>3266#24(BLK)</v>
          </cell>
          <cell r="G713" t="str">
            <v>WIRE</v>
          </cell>
          <cell r="H713" t="str">
            <v>WUL0615</v>
          </cell>
        </row>
        <row r="714">
          <cell r="F714" t="str">
            <v>3266#18(BLK)</v>
          </cell>
          <cell r="G714" t="str">
            <v>WIRE</v>
          </cell>
          <cell r="H714" t="str">
            <v>WUL0614</v>
          </cell>
        </row>
        <row r="715">
          <cell r="F715" t="str">
            <v>3266#18(RED)</v>
          </cell>
          <cell r="G715" t="str">
            <v>WIRE</v>
          </cell>
          <cell r="H715" t="str">
            <v>WUL0613</v>
          </cell>
        </row>
        <row r="716">
          <cell r="F716" t="str">
            <v>1007#26/A W/GRY</v>
          </cell>
          <cell r="G716" t="str">
            <v>WIRE</v>
          </cell>
          <cell r="H716" t="str">
            <v>WUL0612</v>
          </cell>
        </row>
        <row r="717">
          <cell r="F717" t="str">
            <v>3321#22 GRY</v>
          </cell>
          <cell r="G717" t="str">
            <v>WIRE</v>
          </cell>
          <cell r="H717" t="str">
            <v>WUL0611</v>
          </cell>
        </row>
        <row r="718">
          <cell r="F718" t="str">
            <v>3321#22 S/BLU</v>
          </cell>
          <cell r="G718" t="str">
            <v>WIRE</v>
          </cell>
          <cell r="H718" t="str">
            <v>WUL0610</v>
          </cell>
        </row>
        <row r="719">
          <cell r="F719" t="str">
            <v>1015#16/A RED</v>
          </cell>
          <cell r="G719" t="str">
            <v>WIRE</v>
          </cell>
          <cell r="H719" t="str">
            <v>WUL0609</v>
          </cell>
        </row>
        <row r="720">
          <cell r="F720" t="str">
            <v>1015#16/A BLK</v>
          </cell>
          <cell r="G720" t="str">
            <v>WIRE</v>
          </cell>
          <cell r="H720" t="str">
            <v>WUL0608</v>
          </cell>
        </row>
        <row r="721">
          <cell r="F721" t="str">
            <v>1569#16/A BLU</v>
          </cell>
          <cell r="G721" t="str">
            <v>WIRE</v>
          </cell>
          <cell r="H721" t="str">
            <v>WUL0606</v>
          </cell>
        </row>
        <row r="722">
          <cell r="F722" t="str">
            <v>1569#16/A BLK</v>
          </cell>
          <cell r="G722" t="str">
            <v>WIRE</v>
          </cell>
          <cell r="H722" t="str">
            <v>WUL0605</v>
          </cell>
        </row>
        <row r="723">
          <cell r="F723" t="str">
            <v>1569#18/A G/YEL</v>
          </cell>
          <cell r="G723" t="str">
            <v>WIRE</v>
          </cell>
          <cell r="H723" t="str">
            <v>WUL0604</v>
          </cell>
        </row>
        <row r="724">
          <cell r="F724" t="str">
            <v>1569#18/A BLU</v>
          </cell>
          <cell r="G724" t="str">
            <v>WIRE</v>
          </cell>
          <cell r="H724" t="str">
            <v>WUL0603</v>
          </cell>
        </row>
        <row r="725">
          <cell r="F725" t="str">
            <v>1569#18/A BLK</v>
          </cell>
          <cell r="G725" t="str">
            <v>WIRE</v>
          </cell>
          <cell r="H725" t="str">
            <v>WUL0602</v>
          </cell>
        </row>
        <row r="726">
          <cell r="F726" t="str">
            <v>1569#22/A BLU</v>
          </cell>
          <cell r="G726" t="str">
            <v>WIRE</v>
          </cell>
          <cell r="H726" t="str">
            <v>WUL0601</v>
          </cell>
        </row>
        <row r="727">
          <cell r="F727" t="str">
            <v>1569#22/A WHT</v>
          </cell>
          <cell r="G727" t="str">
            <v>WIRE</v>
          </cell>
          <cell r="H727" t="str">
            <v>WUL0600</v>
          </cell>
        </row>
        <row r="728">
          <cell r="F728" t="str">
            <v>1569#22/A BRN</v>
          </cell>
          <cell r="G728" t="str">
            <v>WIRE</v>
          </cell>
          <cell r="H728" t="str">
            <v>WUL0599</v>
          </cell>
        </row>
        <row r="729">
          <cell r="F729" t="str">
            <v>1569#22/A GRY</v>
          </cell>
          <cell r="G729" t="str">
            <v>WIRE</v>
          </cell>
          <cell r="H729" t="str">
            <v>WUL0598</v>
          </cell>
        </row>
        <row r="730">
          <cell r="F730" t="str">
            <v>1569#22/A VIO</v>
          </cell>
          <cell r="G730" t="str">
            <v>WIRE</v>
          </cell>
          <cell r="H730" t="str">
            <v>WUL0597</v>
          </cell>
        </row>
        <row r="731">
          <cell r="F731" t="str">
            <v>1569#22/A RED</v>
          </cell>
          <cell r="G731" t="str">
            <v>WIRE</v>
          </cell>
          <cell r="H731" t="str">
            <v>WUL0596</v>
          </cell>
        </row>
        <row r="732">
          <cell r="F732" t="str">
            <v>1569#22/A BLK</v>
          </cell>
          <cell r="G732" t="str">
            <v>WIRE</v>
          </cell>
          <cell r="H732" t="str">
            <v>WUL0595</v>
          </cell>
        </row>
        <row r="733">
          <cell r="F733" t="str">
            <v>1569#24/A VIO</v>
          </cell>
          <cell r="G733" t="str">
            <v>WIRE</v>
          </cell>
          <cell r="H733" t="str">
            <v>WUL0594</v>
          </cell>
        </row>
        <row r="734">
          <cell r="F734" t="str">
            <v>1569#24/A PNK</v>
          </cell>
          <cell r="G734" t="str">
            <v>WIRE</v>
          </cell>
          <cell r="H734" t="str">
            <v>WUL0593</v>
          </cell>
        </row>
        <row r="735">
          <cell r="F735" t="str">
            <v>1569#24/A ORG</v>
          </cell>
          <cell r="G735" t="str">
            <v>WIRE</v>
          </cell>
          <cell r="H735" t="str">
            <v>WUL0592</v>
          </cell>
        </row>
        <row r="736">
          <cell r="F736" t="str">
            <v>1569#24/A WHT</v>
          </cell>
          <cell r="G736" t="str">
            <v>WIRE</v>
          </cell>
          <cell r="H736" t="str">
            <v>WUL0591</v>
          </cell>
        </row>
        <row r="737">
          <cell r="F737" t="str">
            <v>1569#24/A BLK</v>
          </cell>
          <cell r="G737" t="str">
            <v>WIRE</v>
          </cell>
          <cell r="H737" t="str">
            <v>WUL0590</v>
          </cell>
        </row>
        <row r="738">
          <cell r="F738" t="str">
            <v>1569#24/A GRY</v>
          </cell>
          <cell r="G738" t="str">
            <v>WIRE</v>
          </cell>
          <cell r="H738" t="str">
            <v>WUL0589</v>
          </cell>
        </row>
        <row r="739">
          <cell r="F739" t="str">
            <v>1569#24/A BRN</v>
          </cell>
          <cell r="G739" t="str">
            <v>WIRE</v>
          </cell>
          <cell r="H739" t="str">
            <v>WUL0588</v>
          </cell>
        </row>
        <row r="740">
          <cell r="F740" t="str">
            <v>1569#24/A YEL</v>
          </cell>
          <cell r="G740" t="str">
            <v>WIRE</v>
          </cell>
          <cell r="H740" t="str">
            <v>WUL0587</v>
          </cell>
        </row>
        <row r="741">
          <cell r="F741" t="str">
            <v>1569#24/A RED</v>
          </cell>
          <cell r="G741" t="str">
            <v>WIRE</v>
          </cell>
          <cell r="H741" t="str">
            <v>WUL0586</v>
          </cell>
        </row>
        <row r="742">
          <cell r="F742" t="str">
            <v>1569#24/A S/BLU</v>
          </cell>
          <cell r="G742" t="str">
            <v>WIRE</v>
          </cell>
          <cell r="H742" t="str">
            <v>WUL0585</v>
          </cell>
        </row>
        <row r="743">
          <cell r="F743" t="str">
            <v>1569#24/A GRN</v>
          </cell>
          <cell r="G743" t="str">
            <v>WIRE</v>
          </cell>
          <cell r="H743" t="str">
            <v>WUL0584</v>
          </cell>
        </row>
        <row r="744">
          <cell r="F744" t="str">
            <v>1569#24/A BLU</v>
          </cell>
          <cell r="G744" t="str">
            <v>WIRE</v>
          </cell>
          <cell r="H744" t="str">
            <v>WUL0583</v>
          </cell>
        </row>
        <row r="745">
          <cell r="F745" t="str">
            <v>1571#30 BLU</v>
          </cell>
          <cell r="G745" t="str">
            <v>WIRE</v>
          </cell>
          <cell r="H745" t="str">
            <v>WUL0582</v>
          </cell>
        </row>
        <row r="746">
          <cell r="F746" t="str">
            <v>1569#24 W/BLK</v>
          </cell>
          <cell r="G746" t="str">
            <v>WIRE</v>
          </cell>
          <cell r="H746" t="str">
            <v>WUL0580</v>
          </cell>
        </row>
        <row r="747">
          <cell r="F747" t="str">
            <v>1007#26/(L) S/BLU</v>
          </cell>
          <cell r="G747" t="str">
            <v>WIRE</v>
          </cell>
          <cell r="H747" t="str">
            <v>WUL0579</v>
          </cell>
        </row>
        <row r="748">
          <cell r="F748" t="str">
            <v>1007#26/(L) W/BLU</v>
          </cell>
          <cell r="G748" t="str">
            <v>WIRE</v>
          </cell>
          <cell r="H748" t="str">
            <v>WUL0577</v>
          </cell>
        </row>
        <row r="749">
          <cell r="F749" t="str">
            <v>1007#26/(L) W/BLK</v>
          </cell>
          <cell r="G749" t="str">
            <v>WIRE</v>
          </cell>
          <cell r="H749" t="str">
            <v>WUL0576</v>
          </cell>
        </row>
        <row r="750">
          <cell r="F750" t="str">
            <v>1007#26/(L) W/RED</v>
          </cell>
          <cell r="G750" t="str">
            <v>WIRE</v>
          </cell>
          <cell r="H750" t="str">
            <v>WUL0575</v>
          </cell>
        </row>
        <row r="751">
          <cell r="F751" t="str">
            <v>1007#26/(L) WHT</v>
          </cell>
          <cell r="G751" t="str">
            <v>WIRE</v>
          </cell>
          <cell r="H751" t="str">
            <v>WUL0574</v>
          </cell>
        </row>
        <row r="752">
          <cell r="F752" t="str">
            <v>1007#26/(L) GRY</v>
          </cell>
          <cell r="G752" t="str">
            <v>WIRE</v>
          </cell>
          <cell r="H752" t="str">
            <v>WUL0573</v>
          </cell>
        </row>
        <row r="753">
          <cell r="F753" t="str">
            <v>1007#26/(L) VIO</v>
          </cell>
          <cell r="G753" t="str">
            <v>WIRE</v>
          </cell>
          <cell r="H753" t="str">
            <v>WUL0572</v>
          </cell>
        </row>
        <row r="754">
          <cell r="F754" t="str">
            <v>1007#26/(L) BLU</v>
          </cell>
          <cell r="G754" t="str">
            <v>WIRE</v>
          </cell>
          <cell r="H754" t="str">
            <v>WUL0571</v>
          </cell>
        </row>
        <row r="755">
          <cell r="F755" t="str">
            <v>1007#26/(L) PNK</v>
          </cell>
          <cell r="G755" t="str">
            <v>WIRE</v>
          </cell>
          <cell r="H755" t="str">
            <v>WUL0570</v>
          </cell>
        </row>
        <row r="756">
          <cell r="F756" t="str">
            <v>1007#26/(L) YEL</v>
          </cell>
          <cell r="G756" t="str">
            <v>WIRE</v>
          </cell>
          <cell r="H756" t="str">
            <v>WUL0569</v>
          </cell>
        </row>
        <row r="757">
          <cell r="F757" t="str">
            <v>1007#26/(L) ORG</v>
          </cell>
          <cell r="G757" t="str">
            <v>WIRE</v>
          </cell>
          <cell r="H757" t="str">
            <v>WUL0568</v>
          </cell>
        </row>
        <row r="758">
          <cell r="F758" t="str">
            <v>1007#26/(L) RED</v>
          </cell>
          <cell r="G758" t="str">
            <v>WIRE</v>
          </cell>
          <cell r="H758" t="str">
            <v>WUL0567</v>
          </cell>
        </row>
        <row r="759">
          <cell r="F759" t="str">
            <v>1007#26/(L) BRN</v>
          </cell>
          <cell r="G759" t="str">
            <v>WIRE</v>
          </cell>
          <cell r="H759" t="str">
            <v>WUL0566</v>
          </cell>
        </row>
        <row r="760">
          <cell r="F760" t="str">
            <v>1007#26/(L) BLK</v>
          </cell>
          <cell r="G760" t="str">
            <v>WIRE</v>
          </cell>
          <cell r="H760" t="str">
            <v>WUL0565</v>
          </cell>
        </row>
        <row r="761">
          <cell r="F761" t="str">
            <v>1007#20 GRY</v>
          </cell>
          <cell r="G761" t="str">
            <v>WIRE</v>
          </cell>
          <cell r="H761" t="str">
            <v>WUL0554</v>
          </cell>
        </row>
        <row r="762">
          <cell r="F762" t="str">
            <v>1569#20 GRN</v>
          </cell>
          <cell r="G762" t="str">
            <v>WIRE</v>
          </cell>
          <cell r="H762" t="str">
            <v>WUL0553</v>
          </cell>
        </row>
        <row r="763">
          <cell r="F763" t="str">
            <v>5048#18 WHT</v>
          </cell>
          <cell r="G763" t="str">
            <v>WIRE</v>
          </cell>
          <cell r="H763" t="str">
            <v>WUL0552</v>
          </cell>
        </row>
        <row r="764">
          <cell r="F764" t="str">
            <v>5048#18 W/RED</v>
          </cell>
          <cell r="G764" t="str">
            <v>WIRE</v>
          </cell>
          <cell r="H764" t="str">
            <v>WUL0551</v>
          </cell>
        </row>
        <row r="765">
          <cell r="F765" t="str">
            <v>5048#18 W/BLK</v>
          </cell>
          <cell r="G765" t="str">
            <v>WIRE</v>
          </cell>
          <cell r="H765" t="str">
            <v>WUL0550</v>
          </cell>
        </row>
        <row r="766">
          <cell r="F766" t="str">
            <v>1007#24/A RED</v>
          </cell>
          <cell r="G766" t="str">
            <v>WIRE</v>
          </cell>
          <cell r="H766" t="str">
            <v>WUL0544</v>
          </cell>
        </row>
        <row r="767">
          <cell r="F767" t="str">
            <v>1015#18/A BLK</v>
          </cell>
          <cell r="G767" t="str">
            <v>WIRE</v>
          </cell>
          <cell r="H767" t="str">
            <v>WUL0543</v>
          </cell>
        </row>
        <row r="768">
          <cell r="F768" t="str">
            <v>1015#18/A S/BLU</v>
          </cell>
          <cell r="G768" t="str">
            <v>WIRE</v>
          </cell>
          <cell r="H768" t="str">
            <v>WUL0542</v>
          </cell>
        </row>
        <row r="769">
          <cell r="F769" t="str">
            <v>1015#18/A WHT</v>
          </cell>
          <cell r="G769" t="str">
            <v>WIRE</v>
          </cell>
          <cell r="H769" t="str">
            <v>WUL0541</v>
          </cell>
        </row>
        <row r="770">
          <cell r="F770" t="str">
            <v>1015#18/A GRY</v>
          </cell>
          <cell r="G770" t="str">
            <v>WIRE</v>
          </cell>
          <cell r="H770" t="str">
            <v>WUL0540</v>
          </cell>
        </row>
        <row r="771">
          <cell r="F771" t="str">
            <v>1015#18/A VIO</v>
          </cell>
          <cell r="G771" t="str">
            <v>WIRE</v>
          </cell>
          <cell r="H771" t="str">
            <v>WUL0539</v>
          </cell>
        </row>
        <row r="772">
          <cell r="F772" t="str">
            <v>1015#18/A BLU</v>
          </cell>
          <cell r="G772" t="str">
            <v>WIRE</v>
          </cell>
          <cell r="H772" t="str">
            <v>WUL0538</v>
          </cell>
        </row>
        <row r="773">
          <cell r="F773" t="str">
            <v>1015#18/A PNK</v>
          </cell>
          <cell r="G773" t="str">
            <v>WIRE</v>
          </cell>
          <cell r="H773" t="str">
            <v>WUL0537</v>
          </cell>
        </row>
        <row r="774">
          <cell r="F774" t="str">
            <v>1015#18/A YEL</v>
          </cell>
          <cell r="G774" t="str">
            <v>WIRE</v>
          </cell>
          <cell r="H774" t="str">
            <v>WUL0536</v>
          </cell>
        </row>
        <row r="775">
          <cell r="F775" t="str">
            <v>1015#18/A RED</v>
          </cell>
          <cell r="G775" t="str">
            <v>WIRE</v>
          </cell>
          <cell r="H775" t="str">
            <v>WUL0535</v>
          </cell>
        </row>
        <row r="776">
          <cell r="F776" t="str">
            <v>1015#18/A BRN</v>
          </cell>
          <cell r="G776" t="str">
            <v>WIRE</v>
          </cell>
          <cell r="H776" t="str">
            <v>WUL0534</v>
          </cell>
        </row>
        <row r="777">
          <cell r="F777" t="str">
            <v>1015#18/A GRN</v>
          </cell>
          <cell r="G777" t="str">
            <v>WIRE</v>
          </cell>
          <cell r="H777" t="str">
            <v>WUL0533</v>
          </cell>
        </row>
        <row r="778">
          <cell r="F778" t="str">
            <v>1015#18/A ORG</v>
          </cell>
          <cell r="G778" t="str">
            <v>WIRE</v>
          </cell>
          <cell r="H778" t="str">
            <v>WUL0532</v>
          </cell>
        </row>
        <row r="779">
          <cell r="F779" t="str">
            <v>1015#18/A W/YEL</v>
          </cell>
          <cell r="G779" t="str">
            <v>WIRE</v>
          </cell>
          <cell r="H779" t="str">
            <v>WUL0531</v>
          </cell>
        </row>
        <row r="780">
          <cell r="F780" t="str">
            <v>1015#18/A W/RED</v>
          </cell>
          <cell r="G780" t="str">
            <v>WIRE</v>
          </cell>
          <cell r="H780" t="str">
            <v>WUL0530</v>
          </cell>
        </row>
        <row r="781">
          <cell r="F781" t="str">
            <v>1015#18/A W/BLU</v>
          </cell>
          <cell r="G781" t="str">
            <v>WIRE</v>
          </cell>
          <cell r="H781" t="str">
            <v>WUL0529</v>
          </cell>
        </row>
        <row r="782">
          <cell r="F782" t="str">
            <v>1015#18/A W/BLK</v>
          </cell>
          <cell r="G782" t="str">
            <v>WIRE</v>
          </cell>
          <cell r="H782" t="str">
            <v>WUL0528</v>
          </cell>
        </row>
        <row r="783">
          <cell r="F783" t="str">
            <v>1015#18/A P/BLU</v>
          </cell>
          <cell r="G783" t="str">
            <v>WIRE</v>
          </cell>
          <cell r="H783" t="str">
            <v>WUL0527</v>
          </cell>
        </row>
        <row r="784">
          <cell r="F784" t="str">
            <v>1015#18/A G/YEL</v>
          </cell>
          <cell r="G784" t="str">
            <v>WIRE</v>
          </cell>
          <cell r="H784" t="str">
            <v>WUL0526</v>
          </cell>
        </row>
        <row r="785">
          <cell r="F785" t="str">
            <v>1015#22/A S/BLU</v>
          </cell>
          <cell r="G785" t="str">
            <v>WIRE</v>
          </cell>
          <cell r="H785" t="str">
            <v>WUL0525</v>
          </cell>
        </row>
        <row r="786">
          <cell r="F786" t="str">
            <v>1015#22/A BLK</v>
          </cell>
          <cell r="G786" t="str">
            <v>WIRE</v>
          </cell>
          <cell r="H786" t="str">
            <v>WUL0524</v>
          </cell>
        </row>
        <row r="787">
          <cell r="F787" t="str">
            <v>1015#22/A GRY</v>
          </cell>
          <cell r="G787" t="str">
            <v>WIRE</v>
          </cell>
          <cell r="H787" t="str">
            <v>WUL0523</v>
          </cell>
        </row>
        <row r="788">
          <cell r="F788" t="str">
            <v>1015#22/A BLU</v>
          </cell>
          <cell r="G788" t="str">
            <v>WIRE</v>
          </cell>
          <cell r="H788" t="str">
            <v>WUL0522</v>
          </cell>
        </row>
        <row r="789">
          <cell r="F789" t="str">
            <v>1015#22/A RED</v>
          </cell>
          <cell r="G789" t="str">
            <v>WIRE</v>
          </cell>
          <cell r="H789" t="str">
            <v>WUL0521</v>
          </cell>
        </row>
        <row r="790">
          <cell r="F790" t="str">
            <v>1015#22/A WHT</v>
          </cell>
          <cell r="G790" t="str">
            <v>WIRE</v>
          </cell>
          <cell r="H790" t="str">
            <v>WUL0520</v>
          </cell>
        </row>
        <row r="791">
          <cell r="F791" t="str">
            <v>1015#22/A ORG</v>
          </cell>
          <cell r="G791" t="str">
            <v>WIRE</v>
          </cell>
          <cell r="H791" t="str">
            <v>WUL0519</v>
          </cell>
        </row>
        <row r="792">
          <cell r="F792" t="str">
            <v>1015#22/A GRN</v>
          </cell>
          <cell r="G792" t="str">
            <v>WIRE</v>
          </cell>
          <cell r="H792" t="str">
            <v>WUL0518</v>
          </cell>
        </row>
        <row r="793">
          <cell r="F793" t="str">
            <v>1015#22/A YEL</v>
          </cell>
          <cell r="G793" t="str">
            <v>WIRE</v>
          </cell>
          <cell r="H793" t="str">
            <v>WUL0517</v>
          </cell>
        </row>
        <row r="794">
          <cell r="F794" t="str">
            <v>1015#22/A PNK</v>
          </cell>
          <cell r="G794" t="str">
            <v>WIRE</v>
          </cell>
          <cell r="H794" t="str">
            <v>WUL0516</v>
          </cell>
        </row>
        <row r="795">
          <cell r="F795" t="str">
            <v>1015#22/A VIO</v>
          </cell>
          <cell r="G795" t="str">
            <v>WIRE</v>
          </cell>
          <cell r="H795" t="str">
            <v>WUL0515</v>
          </cell>
        </row>
        <row r="796">
          <cell r="F796" t="str">
            <v>1015#22/A BRN</v>
          </cell>
          <cell r="G796" t="str">
            <v>WIRE</v>
          </cell>
          <cell r="H796" t="str">
            <v>WUL0514</v>
          </cell>
        </row>
        <row r="797">
          <cell r="F797" t="str">
            <v>1015#22/A W/BLK</v>
          </cell>
          <cell r="G797" t="str">
            <v>WIRE</v>
          </cell>
          <cell r="H797" t="str">
            <v>WUL0513</v>
          </cell>
        </row>
        <row r="798">
          <cell r="F798" t="str">
            <v>1015#22/A W/BLU</v>
          </cell>
          <cell r="G798" t="str">
            <v>WIRE</v>
          </cell>
          <cell r="H798" t="str">
            <v>WUL0512</v>
          </cell>
        </row>
        <row r="799">
          <cell r="F799" t="str">
            <v>1015#22/A W/RED</v>
          </cell>
          <cell r="G799" t="str">
            <v>WIRE</v>
          </cell>
          <cell r="H799" t="str">
            <v>WUL0511</v>
          </cell>
        </row>
        <row r="800">
          <cell r="F800" t="str">
            <v>1015#22/A G/YEL</v>
          </cell>
          <cell r="G800" t="str">
            <v>WIRE</v>
          </cell>
          <cell r="H800" t="str">
            <v>WUL0510</v>
          </cell>
        </row>
        <row r="801">
          <cell r="F801" t="str">
            <v>1015#20/A PNK</v>
          </cell>
          <cell r="G801" t="str">
            <v>WIRE</v>
          </cell>
          <cell r="H801" t="str">
            <v>WUL0509</v>
          </cell>
        </row>
        <row r="802">
          <cell r="F802" t="str">
            <v>1015#20/A BLK</v>
          </cell>
          <cell r="G802" t="str">
            <v>WIRE</v>
          </cell>
          <cell r="H802" t="str">
            <v>WUL0508</v>
          </cell>
        </row>
        <row r="803">
          <cell r="F803" t="str">
            <v>1015#20/A ORG</v>
          </cell>
          <cell r="G803" t="str">
            <v>WIRE</v>
          </cell>
          <cell r="H803" t="str">
            <v>WUL0507</v>
          </cell>
        </row>
        <row r="804">
          <cell r="F804" t="str">
            <v>1015#20/A VIO</v>
          </cell>
          <cell r="G804" t="str">
            <v>WIRE</v>
          </cell>
          <cell r="H804" t="str">
            <v>WUL0505</v>
          </cell>
        </row>
        <row r="805">
          <cell r="F805" t="str">
            <v>1015#20/A WHT</v>
          </cell>
          <cell r="G805" t="str">
            <v>WIRE</v>
          </cell>
          <cell r="H805" t="str">
            <v>WUL0504</v>
          </cell>
        </row>
        <row r="806">
          <cell r="F806" t="str">
            <v>1015#20/A GRY</v>
          </cell>
          <cell r="G806" t="str">
            <v>WIRE</v>
          </cell>
          <cell r="H806" t="str">
            <v>WUL0503</v>
          </cell>
        </row>
        <row r="807">
          <cell r="F807" t="str">
            <v>1015#20/A YEL</v>
          </cell>
          <cell r="G807" t="str">
            <v>WIRE</v>
          </cell>
          <cell r="H807" t="str">
            <v>WUL0502</v>
          </cell>
        </row>
        <row r="808">
          <cell r="F808" t="str">
            <v>1015#20/A RED</v>
          </cell>
          <cell r="G808" t="str">
            <v>WIRE</v>
          </cell>
          <cell r="H808" t="str">
            <v>WUL0501</v>
          </cell>
        </row>
        <row r="809">
          <cell r="F809" t="str">
            <v>1015#20/A BLU</v>
          </cell>
          <cell r="G809" t="str">
            <v>WIRE</v>
          </cell>
          <cell r="H809" t="str">
            <v>WUL0500</v>
          </cell>
        </row>
        <row r="810">
          <cell r="F810" t="str">
            <v>1015#20/A S/BLU</v>
          </cell>
          <cell r="G810" t="str">
            <v>WIRE</v>
          </cell>
          <cell r="H810" t="str">
            <v>WUL0499</v>
          </cell>
        </row>
        <row r="811">
          <cell r="F811" t="str">
            <v>1015#20/A BRN</v>
          </cell>
          <cell r="G811" t="str">
            <v>WIRE</v>
          </cell>
          <cell r="H811" t="str">
            <v>WUL0498</v>
          </cell>
        </row>
        <row r="812">
          <cell r="F812" t="str">
            <v>1015#20/A W/YEL</v>
          </cell>
          <cell r="G812" t="str">
            <v>WIRE</v>
          </cell>
          <cell r="H812" t="str">
            <v>WUL0496</v>
          </cell>
        </row>
        <row r="813">
          <cell r="F813" t="str">
            <v>1015#20/A W/BLU</v>
          </cell>
          <cell r="G813" t="str">
            <v>WIRE</v>
          </cell>
          <cell r="H813" t="str">
            <v>WUL0495</v>
          </cell>
        </row>
        <row r="814">
          <cell r="F814" t="str">
            <v>1015#20/A W/RED</v>
          </cell>
          <cell r="G814" t="str">
            <v>WIRE</v>
          </cell>
          <cell r="H814" t="str">
            <v>WUL0494</v>
          </cell>
        </row>
        <row r="815">
          <cell r="F815" t="str">
            <v>1015#20/A W/BLK</v>
          </cell>
          <cell r="G815" t="str">
            <v>WIRE</v>
          </cell>
          <cell r="H815" t="str">
            <v>WUL0493</v>
          </cell>
        </row>
        <row r="816">
          <cell r="F816" t="str">
            <v>1015#20/A G/YEL</v>
          </cell>
          <cell r="G816" t="str">
            <v>WIRE</v>
          </cell>
          <cell r="H816" t="str">
            <v>WUL0492</v>
          </cell>
        </row>
        <row r="817">
          <cell r="F817" t="str">
            <v>1007#22/A WHT</v>
          </cell>
          <cell r="G817" t="str">
            <v>WIRE</v>
          </cell>
          <cell r="H817" t="str">
            <v>WUL0491</v>
          </cell>
        </row>
        <row r="818">
          <cell r="F818" t="str">
            <v>1007#22/A GRY</v>
          </cell>
          <cell r="G818" t="str">
            <v>WIRE</v>
          </cell>
          <cell r="H818" t="str">
            <v>WUL0490</v>
          </cell>
        </row>
        <row r="819">
          <cell r="F819" t="str">
            <v>1007#22/A BLU</v>
          </cell>
          <cell r="G819" t="str">
            <v>WIRE</v>
          </cell>
          <cell r="H819" t="str">
            <v>WUL0489</v>
          </cell>
        </row>
        <row r="820">
          <cell r="F820" t="str">
            <v>1007#22/A YEL</v>
          </cell>
          <cell r="G820" t="str">
            <v>WIRE</v>
          </cell>
          <cell r="H820" t="str">
            <v>WUL0488</v>
          </cell>
        </row>
        <row r="821">
          <cell r="F821" t="str">
            <v>1007#22/A ORG</v>
          </cell>
          <cell r="G821" t="str">
            <v>WIRE</v>
          </cell>
          <cell r="H821" t="str">
            <v>WUL0487</v>
          </cell>
        </row>
        <row r="822">
          <cell r="F822" t="str">
            <v>1007#22/A RED</v>
          </cell>
          <cell r="G822" t="str">
            <v>WIRE</v>
          </cell>
          <cell r="H822" t="str">
            <v>WUL0486</v>
          </cell>
        </row>
        <row r="823">
          <cell r="F823" t="str">
            <v>1007#22/A BRN</v>
          </cell>
          <cell r="G823" t="str">
            <v>WIRE</v>
          </cell>
          <cell r="H823" t="str">
            <v>WUL0485</v>
          </cell>
        </row>
        <row r="824">
          <cell r="F824" t="str">
            <v>1007#22/A BLK</v>
          </cell>
          <cell r="G824" t="str">
            <v>WIRE</v>
          </cell>
          <cell r="H824" t="str">
            <v>WUL0484</v>
          </cell>
        </row>
        <row r="825">
          <cell r="F825" t="str">
            <v>1007#22/A S/BLU</v>
          </cell>
          <cell r="G825" t="str">
            <v>WIRE</v>
          </cell>
          <cell r="H825" t="str">
            <v>WUL0483</v>
          </cell>
        </row>
        <row r="826">
          <cell r="F826" t="str">
            <v>1007#22/A GRN</v>
          </cell>
          <cell r="G826" t="str">
            <v>WIRE</v>
          </cell>
          <cell r="H826" t="str">
            <v>WUL0482</v>
          </cell>
        </row>
        <row r="827">
          <cell r="F827" t="str">
            <v>1007#22/A VIO</v>
          </cell>
          <cell r="G827" t="str">
            <v>WIRE</v>
          </cell>
          <cell r="H827" t="str">
            <v>WUL0481</v>
          </cell>
        </row>
        <row r="828">
          <cell r="F828" t="str">
            <v>1007#22/A PNK</v>
          </cell>
          <cell r="G828" t="str">
            <v>WIRE</v>
          </cell>
          <cell r="H828" t="str">
            <v>WUL0480</v>
          </cell>
        </row>
        <row r="829">
          <cell r="F829" t="str">
            <v>1007#22/A W/YEL</v>
          </cell>
          <cell r="G829" t="str">
            <v>WIRE</v>
          </cell>
          <cell r="H829" t="str">
            <v>WUL0479</v>
          </cell>
        </row>
        <row r="830">
          <cell r="F830" t="str">
            <v>1007#22/A W/BLK</v>
          </cell>
          <cell r="G830" t="str">
            <v>WIRE</v>
          </cell>
          <cell r="H830" t="str">
            <v>WUL0478</v>
          </cell>
        </row>
        <row r="831">
          <cell r="F831" t="str">
            <v>1007#22/A W/BLU</v>
          </cell>
          <cell r="G831" t="str">
            <v>WIRE</v>
          </cell>
          <cell r="H831" t="str">
            <v>WUL0477</v>
          </cell>
        </row>
        <row r="832">
          <cell r="F832" t="str">
            <v>1007#22/A W/GRN</v>
          </cell>
          <cell r="G832" t="str">
            <v>WIRE</v>
          </cell>
          <cell r="H832" t="str">
            <v>WUL0476</v>
          </cell>
        </row>
        <row r="833">
          <cell r="F833" t="str">
            <v>1007#22/A W/RED</v>
          </cell>
          <cell r="G833" t="str">
            <v>WIRE</v>
          </cell>
          <cell r="H833" t="str">
            <v>WUL0475</v>
          </cell>
        </row>
        <row r="834">
          <cell r="F834" t="str">
            <v>1007#26/A S/BLU</v>
          </cell>
          <cell r="G834" t="str">
            <v>WIRE</v>
          </cell>
          <cell r="H834" t="str">
            <v>WUL0473</v>
          </cell>
        </row>
        <row r="835">
          <cell r="F835" t="str">
            <v>1007#26/A GRY</v>
          </cell>
          <cell r="G835" t="str">
            <v>WIRE</v>
          </cell>
          <cell r="H835" t="str">
            <v>WUL0472</v>
          </cell>
        </row>
        <row r="836">
          <cell r="F836" t="str">
            <v>1007#26/A VIO</v>
          </cell>
          <cell r="G836" t="str">
            <v>WIRE</v>
          </cell>
          <cell r="H836" t="str">
            <v>WUL0471</v>
          </cell>
        </row>
        <row r="837">
          <cell r="F837" t="str">
            <v>1007#26/A BLU</v>
          </cell>
          <cell r="G837" t="str">
            <v>WIRE</v>
          </cell>
          <cell r="H837" t="str">
            <v>WUL0470</v>
          </cell>
        </row>
        <row r="838">
          <cell r="F838" t="str">
            <v>1007#26/A PNK</v>
          </cell>
          <cell r="G838" t="str">
            <v>WIRE</v>
          </cell>
          <cell r="H838" t="str">
            <v>WUL0469</v>
          </cell>
        </row>
        <row r="839">
          <cell r="F839" t="str">
            <v>1007#26/A YEL</v>
          </cell>
          <cell r="G839" t="str">
            <v>WIRE</v>
          </cell>
          <cell r="H839" t="str">
            <v>WUL0468</v>
          </cell>
        </row>
        <row r="840">
          <cell r="F840" t="str">
            <v>1007#26/A ORG</v>
          </cell>
          <cell r="G840" t="str">
            <v>WIRE</v>
          </cell>
          <cell r="H840" t="str">
            <v>WUL0467</v>
          </cell>
        </row>
        <row r="841">
          <cell r="F841" t="str">
            <v>1007#26/A RED</v>
          </cell>
          <cell r="G841" t="str">
            <v>WIRE</v>
          </cell>
          <cell r="H841" t="str">
            <v>WUL0466</v>
          </cell>
        </row>
        <row r="842">
          <cell r="F842" t="str">
            <v>1007#26/A BRN</v>
          </cell>
          <cell r="G842" t="str">
            <v>WIRE</v>
          </cell>
          <cell r="H842" t="str">
            <v>WUL0465</v>
          </cell>
        </row>
        <row r="843">
          <cell r="F843" t="str">
            <v>1007#26/A BLK</v>
          </cell>
          <cell r="G843" t="str">
            <v>WIRE</v>
          </cell>
          <cell r="H843" t="str">
            <v>WUL0464</v>
          </cell>
        </row>
        <row r="844">
          <cell r="F844" t="str">
            <v>1007#26/A GRN</v>
          </cell>
          <cell r="G844" t="str">
            <v>WIRE</v>
          </cell>
          <cell r="H844" t="str">
            <v>WUL0463</v>
          </cell>
        </row>
        <row r="845">
          <cell r="F845" t="str">
            <v>1007#26/A WHT</v>
          </cell>
          <cell r="G845" t="str">
            <v>WIRE</v>
          </cell>
          <cell r="H845" t="str">
            <v>WUL0462</v>
          </cell>
        </row>
        <row r="846">
          <cell r="F846" t="str">
            <v>1007#26/A W/VIO</v>
          </cell>
          <cell r="G846" t="str">
            <v>WIRE</v>
          </cell>
          <cell r="H846" t="str">
            <v>WUL0460</v>
          </cell>
        </row>
        <row r="847">
          <cell r="F847" t="str">
            <v>1007#26/A W/GRN</v>
          </cell>
          <cell r="G847" t="str">
            <v>WIRE</v>
          </cell>
          <cell r="H847" t="str">
            <v>WUL0459</v>
          </cell>
        </row>
        <row r="848">
          <cell r="F848" t="str">
            <v>1007#26/A W/BRN</v>
          </cell>
          <cell r="G848" t="str">
            <v>WIRE</v>
          </cell>
          <cell r="H848" t="str">
            <v>WUL0458</v>
          </cell>
        </row>
        <row r="849">
          <cell r="F849" t="str">
            <v>1007#26/A W/ORG</v>
          </cell>
          <cell r="G849" t="str">
            <v>WIRE</v>
          </cell>
          <cell r="H849" t="str">
            <v>WUL0457</v>
          </cell>
        </row>
        <row r="850">
          <cell r="F850" t="str">
            <v>1007#26/A W/BLU</v>
          </cell>
          <cell r="G850" t="str">
            <v>WIRE</v>
          </cell>
          <cell r="H850" t="str">
            <v>WUL0456</v>
          </cell>
        </row>
        <row r="851">
          <cell r="F851" t="str">
            <v>1007#26/A W/YEL</v>
          </cell>
          <cell r="G851" t="str">
            <v>WIRE</v>
          </cell>
          <cell r="H851" t="str">
            <v>WUL0455</v>
          </cell>
        </row>
        <row r="852">
          <cell r="F852" t="str">
            <v>1007#26/A W/BLK</v>
          </cell>
          <cell r="G852" t="str">
            <v>WIRE</v>
          </cell>
          <cell r="H852" t="str">
            <v>WUL0454</v>
          </cell>
        </row>
        <row r="853">
          <cell r="F853" t="str">
            <v>1007#26/A W/RED</v>
          </cell>
          <cell r="G853" t="str">
            <v>WIRE</v>
          </cell>
          <cell r="H853" t="str">
            <v>WUL0453</v>
          </cell>
        </row>
        <row r="854">
          <cell r="F854" t="str">
            <v>1007#24/A S/BLU</v>
          </cell>
          <cell r="G854" t="str">
            <v>WIRE</v>
          </cell>
          <cell r="H854" t="str">
            <v>WUL0452</v>
          </cell>
        </row>
        <row r="855">
          <cell r="F855" t="str">
            <v>1007#24/A WHT</v>
          </cell>
          <cell r="G855" t="str">
            <v>WIRE</v>
          </cell>
          <cell r="H855" t="str">
            <v>WUL0451</v>
          </cell>
        </row>
        <row r="856">
          <cell r="F856" t="str">
            <v>1007#24/A GRY</v>
          </cell>
          <cell r="G856" t="str">
            <v>WIRE</v>
          </cell>
          <cell r="H856" t="str">
            <v>WUL0450</v>
          </cell>
        </row>
        <row r="857">
          <cell r="F857" t="str">
            <v>1007#24/A VIO</v>
          </cell>
          <cell r="G857" t="str">
            <v>WIRE</v>
          </cell>
          <cell r="H857" t="str">
            <v>WUL0449</v>
          </cell>
        </row>
        <row r="858">
          <cell r="F858" t="str">
            <v>1007#24/A BLU</v>
          </cell>
          <cell r="G858" t="str">
            <v>WIRE</v>
          </cell>
          <cell r="H858" t="str">
            <v>WUL0448</v>
          </cell>
        </row>
        <row r="859">
          <cell r="F859" t="str">
            <v>1007#24/A PNK</v>
          </cell>
          <cell r="G859" t="str">
            <v>WIRE</v>
          </cell>
          <cell r="H859" t="str">
            <v>WUL0447</v>
          </cell>
        </row>
        <row r="860">
          <cell r="F860" t="str">
            <v>1007#24/A YEL</v>
          </cell>
          <cell r="G860" t="str">
            <v>WIRE</v>
          </cell>
          <cell r="H860" t="str">
            <v>WUL0446</v>
          </cell>
        </row>
        <row r="861">
          <cell r="F861" t="str">
            <v>1007#24/A ORG</v>
          </cell>
          <cell r="G861" t="str">
            <v>WIRE</v>
          </cell>
          <cell r="H861" t="str">
            <v>WUL0445</v>
          </cell>
        </row>
        <row r="862">
          <cell r="F862" t="str">
            <v>1007#24/A BRN</v>
          </cell>
          <cell r="G862" t="str">
            <v>WIRE</v>
          </cell>
          <cell r="H862" t="str">
            <v>WUL0444</v>
          </cell>
        </row>
        <row r="863">
          <cell r="F863" t="str">
            <v>1007#24/A BLK</v>
          </cell>
          <cell r="G863" t="str">
            <v>WIRE</v>
          </cell>
          <cell r="H863" t="str">
            <v>WUL0443</v>
          </cell>
        </row>
        <row r="864">
          <cell r="F864" t="str">
            <v>1007#24/A GRN</v>
          </cell>
          <cell r="G864" t="str">
            <v>WIRE</v>
          </cell>
          <cell r="H864" t="str">
            <v>WUL0442</v>
          </cell>
        </row>
        <row r="865">
          <cell r="F865" t="str">
            <v>1007#24/A W/BLU</v>
          </cell>
          <cell r="G865" t="str">
            <v>WIRE</v>
          </cell>
          <cell r="H865" t="str">
            <v>WUL0441</v>
          </cell>
        </row>
        <row r="866">
          <cell r="F866" t="str">
            <v>1007#24/A W/RED</v>
          </cell>
          <cell r="G866" t="str">
            <v>WIRE</v>
          </cell>
          <cell r="H866" t="str">
            <v>WUL0440</v>
          </cell>
        </row>
        <row r="867">
          <cell r="F867" t="str">
            <v>1007#24/A W/BLK</v>
          </cell>
          <cell r="G867" t="str">
            <v>WIRE</v>
          </cell>
          <cell r="H867" t="str">
            <v>WUL0439</v>
          </cell>
        </row>
        <row r="868">
          <cell r="F868" t="str">
            <v>1007#24/A W/YEL</v>
          </cell>
          <cell r="G868" t="str">
            <v>WIRE</v>
          </cell>
          <cell r="H868" t="str">
            <v>WUL0438</v>
          </cell>
        </row>
        <row r="869">
          <cell r="F869" t="str">
            <v>1007#24/A W/ORG</v>
          </cell>
          <cell r="G869" t="str">
            <v>WIRE</v>
          </cell>
          <cell r="H869" t="str">
            <v>WUL0437</v>
          </cell>
        </row>
        <row r="870">
          <cell r="F870" t="str">
            <v>1007#24/A W/VIO</v>
          </cell>
          <cell r="G870" t="str">
            <v>WIRE</v>
          </cell>
          <cell r="H870" t="str">
            <v>WUL0435</v>
          </cell>
        </row>
        <row r="871">
          <cell r="F871" t="str">
            <v>1007#24/A W/GRN</v>
          </cell>
          <cell r="G871" t="str">
            <v>WIRE</v>
          </cell>
          <cell r="H871" t="str">
            <v>WUL0434</v>
          </cell>
        </row>
        <row r="872">
          <cell r="F872" t="str">
            <v>1007#24/A W/BRN</v>
          </cell>
          <cell r="G872" t="str">
            <v>WIRE</v>
          </cell>
          <cell r="H872" t="str">
            <v>WUL0433</v>
          </cell>
        </row>
        <row r="873">
          <cell r="F873" t="str">
            <v>1333#22 BRN</v>
          </cell>
          <cell r="G873" t="str">
            <v>TEFLON</v>
          </cell>
          <cell r="H873" t="str">
            <v>WUL0429</v>
          </cell>
        </row>
        <row r="874">
          <cell r="F874" t="str">
            <v>1333#22 BLU</v>
          </cell>
          <cell r="G874" t="str">
            <v>TEFLON</v>
          </cell>
          <cell r="H874" t="str">
            <v>WUL0428</v>
          </cell>
        </row>
        <row r="875">
          <cell r="F875" t="str">
            <v>1007#26 W/VIO</v>
          </cell>
          <cell r="G875" t="str">
            <v>WIRE</v>
          </cell>
          <cell r="H875" t="str">
            <v>WUL0425</v>
          </cell>
        </row>
        <row r="876">
          <cell r="F876" t="str">
            <v>1007#26 W/GRN</v>
          </cell>
          <cell r="G876" t="str">
            <v>WIRE</v>
          </cell>
          <cell r="H876" t="str">
            <v>WUL0424</v>
          </cell>
        </row>
        <row r="877">
          <cell r="F877" t="str">
            <v>1007#26 W/BRN</v>
          </cell>
          <cell r="G877" t="str">
            <v>WIRE</v>
          </cell>
          <cell r="H877" t="str">
            <v>WUL0423</v>
          </cell>
        </row>
        <row r="878">
          <cell r="F878" t="str">
            <v>3239#24 GRY</v>
          </cell>
          <cell r="G878" t="str">
            <v>WIRE</v>
          </cell>
          <cell r="H878" t="str">
            <v>WUL0421</v>
          </cell>
        </row>
        <row r="879">
          <cell r="F879" t="str">
            <v>1569#22 GRN</v>
          </cell>
          <cell r="G879" t="str">
            <v>WIRE</v>
          </cell>
          <cell r="H879" t="str">
            <v>WUL0419</v>
          </cell>
        </row>
        <row r="880">
          <cell r="F880" t="str">
            <v>1015#14 BLU</v>
          </cell>
          <cell r="G880" t="str">
            <v>WIRE</v>
          </cell>
          <cell r="H880" t="str">
            <v>WUL0418</v>
          </cell>
        </row>
        <row r="881">
          <cell r="F881" t="str">
            <v>1569#26 PNK</v>
          </cell>
          <cell r="G881" t="str">
            <v>WIRE</v>
          </cell>
          <cell r="H881" t="str">
            <v>WUL0417</v>
          </cell>
        </row>
        <row r="882">
          <cell r="F882" t="str">
            <v>1569#26 S/BLU</v>
          </cell>
          <cell r="G882" t="str">
            <v>WIRE</v>
          </cell>
          <cell r="H882" t="str">
            <v>WUL0416</v>
          </cell>
        </row>
        <row r="883">
          <cell r="F883" t="str">
            <v>1569#26 BRN</v>
          </cell>
          <cell r="G883" t="str">
            <v>WIRE</v>
          </cell>
          <cell r="H883" t="str">
            <v>WUL0415</v>
          </cell>
        </row>
        <row r="884">
          <cell r="F884" t="str">
            <v>1569#26 VIO</v>
          </cell>
          <cell r="G884" t="str">
            <v>WIRE</v>
          </cell>
          <cell r="H884" t="str">
            <v>WUL0414</v>
          </cell>
        </row>
        <row r="885">
          <cell r="F885" t="str">
            <v>1569#26 GRY</v>
          </cell>
          <cell r="G885" t="str">
            <v>WIRE</v>
          </cell>
          <cell r="H885" t="str">
            <v>WUL0413</v>
          </cell>
        </row>
        <row r="886">
          <cell r="F886" t="str">
            <v>1569#26 BLU</v>
          </cell>
          <cell r="G886" t="str">
            <v>WIRE</v>
          </cell>
          <cell r="H886" t="str">
            <v>WUL0412</v>
          </cell>
        </row>
        <row r="887">
          <cell r="F887" t="str">
            <v>1569#26 GRN</v>
          </cell>
          <cell r="G887" t="str">
            <v>WIRE</v>
          </cell>
          <cell r="H887" t="str">
            <v>WUL0411</v>
          </cell>
        </row>
        <row r="888">
          <cell r="F888" t="str">
            <v>1569#26 YEL</v>
          </cell>
          <cell r="G888" t="str">
            <v>WIRE</v>
          </cell>
          <cell r="H888" t="str">
            <v>WUL0410</v>
          </cell>
        </row>
        <row r="889">
          <cell r="F889" t="str">
            <v>1569#26 ORG</v>
          </cell>
          <cell r="G889" t="str">
            <v>WIRE</v>
          </cell>
          <cell r="H889" t="str">
            <v>WUL0409</v>
          </cell>
        </row>
        <row r="890">
          <cell r="F890" t="str">
            <v>1569#26 RED</v>
          </cell>
          <cell r="G890" t="str">
            <v>WIRE</v>
          </cell>
          <cell r="H890" t="str">
            <v>WUL0408</v>
          </cell>
        </row>
        <row r="891">
          <cell r="F891" t="str">
            <v>1007#20 BRN</v>
          </cell>
          <cell r="G891" t="str">
            <v>WIRE</v>
          </cell>
          <cell r="H891" t="str">
            <v>WUL0407</v>
          </cell>
        </row>
        <row r="892">
          <cell r="F892" t="str">
            <v>IEC080.5SQ W/YEL</v>
          </cell>
          <cell r="G892" t="str">
            <v>WIRE</v>
          </cell>
          <cell r="H892" t="str">
            <v>WUL0406</v>
          </cell>
        </row>
        <row r="893">
          <cell r="F893" t="str">
            <v>1015#22 W/BLK</v>
          </cell>
          <cell r="G893" t="str">
            <v>WIRE</v>
          </cell>
          <cell r="H893" t="str">
            <v>WUL0404</v>
          </cell>
        </row>
        <row r="894">
          <cell r="F894" t="str">
            <v>1015#22 S/BLU</v>
          </cell>
          <cell r="G894" t="str">
            <v>WIRE</v>
          </cell>
          <cell r="H894" t="str">
            <v>WUL0403</v>
          </cell>
        </row>
        <row r="895">
          <cell r="F895" t="str">
            <v>1015#22 W/BLU</v>
          </cell>
          <cell r="G895" t="str">
            <v>WIRE</v>
          </cell>
          <cell r="H895" t="str">
            <v>WUL0402</v>
          </cell>
        </row>
        <row r="896">
          <cell r="F896" t="str">
            <v>1015#22 W/RED</v>
          </cell>
          <cell r="G896" t="str">
            <v>WIRE</v>
          </cell>
          <cell r="H896" t="str">
            <v>WUL0401</v>
          </cell>
        </row>
        <row r="897">
          <cell r="F897" t="str">
            <v>1061#26 S/BLU</v>
          </cell>
          <cell r="G897" t="str">
            <v>WIRE</v>
          </cell>
          <cell r="H897" t="str">
            <v>WUL0399</v>
          </cell>
        </row>
        <row r="898">
          <cell r="F898" t="str">
            <v>1061#26 PNK</v>
          </cell>
          <cell r="G898" t="str">
            <v>WIRE</v>
          </cell>
          <cell r="H898" t="str">
            <v>WUL0398</v>
          </cell>
        </row>
        <row r="899">
          <cell r="F899" t="str">
            <v>1061#26 RED</v>
          </cell>
          <cell r="G899" t="str">
            <v>WIRE</v>
          </cell>
          <cell r="H899" t="str">
            <v>WUL0397</v>
          </cell>
        </row>
        <row r="900">
          <cell r="F900" t="str">
            <v>1061#26 BRN</v>
          </cell>
          <cell r="G900" t="str">
            <v>WIRE</v>
          </cell>
          <cell r="H900" t="str">
            <v>WUL0396</v>
          </cell>
        </row>
        <row r="901">
          <cell r="F901" t="str">
            <v>IEC080.75SQ W/YEL</v>
          </cell>
          <cell r="G901" t="str">
            <v>WIRE</v>
          </cell>
          <cell r="H901" t="str">
            <v>WUL0395</v>
          </cell>
        </row>
        <row r="902">
          <cell r="F902" t="str">
            <v>1007#20 BLK</v>
          </cell>
          <cell r="G902" t="str">
            <v>WIRE</v>
          </cell>
          <cell r="H902" t="str">
            <v>WUL0393</v>
          </cell>
        </row>
        <row r="903">
          <cell r="F903" t="str">
            <v>1007#20 RED</v>
          </cell>
          <cell r="G903" t="str">
            <v>WIRE</v>
          </cell>
          <cell r="H903" t="str">
            <v>WUL0392</v>
          </cell>
        </row>
        <row r="904">
          <cell r="F904" t="str">
            <v>1569#26 BLK</v>
          </cell>
          <cell r="G904" t="str">
            <v>WIRE</v>
          </cell>
          <cell r="H904" t="str">
            <v>WUL0391</v>
          </cell>
        </row>
        <row r="905">
          <cell r="F905" t="str">
            <v>1569#26 WHT</v>
          </cell>
          <cell r="G905" t="str">
            <v>WIRE</v>
          </cell>
          <cell r="H905" t="str">
            <v>WUL0390</v>
          </cell>
        </row>
        <row r="906">
          <cell r="F906" t="str">
            <v>1569#22 GRY</v>
          </cell>
          <cell r="G906" t="str">
            <v>WIRE</v>
          </cell>
          <cell r="H906" t="str">
            <v>WUL0389</v>
          </cell>
        </row>
        <row r="907">
          <cell r="F907" t="str">
            <v>1569#24 S/BLU</v>
          </cell>
          <cell r="G907" t="str">
            <v>WIRE</v>
          </cell>
          <cell r="H907" t="str">
            <v>WUL0388</v>
          </cell>
        </row>
        <row r="908">
          <cell r="F908" t="str">
            <v>1061#26 WHT</v>
          </cell>
          <cell r="G908" t="str">
            <v>WIRE</v>
          </cell>
          <cell r="H908" t="str">
            <v>WUL0387</v>
          </cell>
        </row>
        <row r="909">
          <cell r="F909" t="str">
            <v>1061#26 YEL</v>
          </cell>
          <cell r="G909" t="str">
            <v>WIRE</v>
          </cell>
          <cell r="H909" t="str">
            <v>WUL0386</v>
          </cell>
        </row>
        <row r="910">
          <cell r="F910" t="str">
            <v>2464#24 6C GRY (BLK, WHT, RED, GRN, BLU, YEL)</v>
          </cell>
          <cell r="G910" t="str">
            <v>WIRE</v>
          </cell>
          <cell r="H910" t="str">
            <v>WUL0385</v>
          </cell>
        </row>
        <row r="911">
          <cell r="F911" t="str">
            <v>1569#22 BRN</v>
          </cell>
          <cell r="G911" t="str">
            <v>WIRE</v>
          </cell>
          <cell r="H911" t="str">
            <v>WUL0384</v>
          </cell>
        </row>
        <row r="912">
          <cell r="F912" t="str">
            <v>1569#24 GRN</v>
          </cell>
          <cell r="G912" t="str">
            <v>WIRE</v>
          </cell>
          <cell r="H912" t="str">
            <v>WUL0383</v>
          </cell>
        </row>
        <row r="913">
          <cell r="F913" t="str">
            <v>1569#24 BRN</v>
          </cell>
          <cell r="G913" t="str">
            <v>WIRE</v>
          </cell>
          <cell r="H913" t="str">
            <v>WUL0382</v>
          </cell>
        </row>
        <row r="914">
          <cell r="F914" t="str">
            <v>1569#24 GRY</v>
          </cell>
          <cell r="G914" t="str">
            <v>WIRE</v>
          </cell>
          <cell r="H914" t="str">
            <v>WUL0381</v>
          </cell>
        </row>
        <row r="915">
          <cell r="F915" t="str">
            <v>1569#22 WHT</v>
          </cell>
          <cell r="G915" t="str">
            <v>WIRE</v>
          </cell>
          <cell r="H915" t="str">
            <v>WUL0380</v>
          </cell>
        </row>
        <row r="916">
          <cell r="F916" t="str">
            <v>1569#22 S/BLU</v>
          </cell>
          <cell r="G916" t="str">
            <v>WIRE</v>
          </cell>
          <cell r="H916" t="str">
            <v>WUL0378</v>
          </cell>
        </row>
        <row r="917">
          <cell r="F917" t="str">
            <v>1569#24 VIO</v>
          </cell>
          <cell r="G917" t="str">
            <v>WIRE</v>
          </cell>
          <cell r="H917" t="str">
            <v>WUL0377</v>
          </cell>
        </row>
        <row r="918">
          <cell r="F918" t="str">
            <v>1569#22 BLU</v>
          </cell>
          <cell r="G918" t="str">
            <v>WIRE</v>
          </cell>
          <cell r="H918" t="str">
            <v>WUL0376</v>
          </cell>
        </row>
        <row r="919">
          <cell r="F919" t="str">
            <v>ROFHU(FX)8X25AWG(UL)-SR BLK</v>
          </cell>
          <cell r="G919" t="str">
            <v>WIRE</v>
          </cell>
          <cell r="H919" t="str">
            <v>WUL0375</v>
          </cell>
        </row>
        <row r="920">
          <cell r="F920" t="str">
            <v>1007#20 WHT</v>
          </cell>
          <cell r="G920" t="str">
            <v>WIRE</v>
          </cell>
          <cell r="H920" t="str">
            <v>WUL0374</v>
          </cell>
        </row>
        <row r="921">
          <cell r="F921" t="str">
            <v>1007#20 YEL</v>
          </cell>
          <cell r="G921" t="str">
            <v>WIRE</v>
          </cell>
          <cell r="H921" t="str">
            <v>WUL0373</v>
          </cell>
        </row>
        <row r="922">
          <cell r="F922" t="str">
            <v>3321#18 BRN</v>
          </cell>
          <cell r="G922" t="str">
            <v>WIRE</v>
          </cell>
          <cell r="H922" t="str">
            <v>WUL0371</v>
          </cell>
        </row>
        <row r="923">
          <cell r="F923" t="str">
            <v>1007#22 W/YEL</v>
          </cell>
          <cell r="G923" t="str">
            <v>WIRE</v>
          </cell>
          <cell r="H923" t="str">
            <v>WUL0370</v>
          </cell>
        </row>
        <row r="924">
          <cell r="F924" t="str">
            <v>1015#20 W/YEL</v>
          </cell>
          <cell r="G924" t="str">
            <v>WIRE</v>
          </cell>
          <cell r="H924" t="str">
            <v>WUL0369</v>
          </cell>
        </row>
        <row r="925">
          <cell r="F925" t="str">
            <v>1061#26 BLK</v>
          </cell>
          <cell r="G925" t="str">
            <v>WIRE</v>
          </cell>
          <cell r="H925" t="str">
            <v>WUL0368</v>
          </cell>
        </row>
        <row r="926">
          <cell r="F926" t="str">
            <v>1061#26 GRY</v>
          </cell>
          <cell r="G926" t="str">
            <v>WIRE</v>
          </cell>
          <cell r="H926" t="str">
            <v>WUL0367</v>
          </cell>
        </row>
        <row r="927">
          <cell r="F927" t="str">
            <v>1061#26 VIO</v>
          </cell>
          <cell r="G927" t="str">
            <v>WIRE</v>
          </cell>
          <cell r="H927" t="str">
            <v>WUL0366</v>
          </cell>
        </row>
        <row r="928">
          <cell r="F928" t="str">
            <v>1061#26 BLU</v>
          </cell>
          <cell r="G928" t="str">
            <v>WIRE</v>
          </cell>
          <cell r="H928" t="str">
            <v>WUL0365</v>
          </cell>
        </row>
        <row r="929">
          <cell r="F929" t="str">
            <v>1061#26 GRN</v>
          </cell>
          <cell r="G929" t="str">
            <v>WIRE</v>
          </cell>
          <cell r="H929" t="str">
            <v>WUL0364</v>
          </cell>
        </row>
        <row r="930">
          <cell r="F930" t="str">
            <v>1061#26 ORG</v>
          </cell>
          <cell r="G930" t="str">
            <v>WIRE</v>
          </cell>
          <cell r="H930" t="str">
            <v>WUL0363</v>
          </cell>
        </row>
        <row r="931">
          <cell r="F931" t="str">
            <v>1061#22 BLK</v>
          </cell>
          <cell r="G931" t="str">
            <v>WIRE</v>
          </cell>
          <cell r="H931" t="str">
            <v>WUL0362</v>
          </cell>
        </row>
        <row r="932">
          <cell r="F932" t="str">
            <v>1061#28 YEL</v>
          </cell>
          <cell r="G932" t="str">
            <v>WIRE</v>
          </cell>
          <cell r="H932" t="str">
            <v>WUL0361</v>
          </cell>
        </row>
        <row r="933">
          <cell r="F933" t="str">
            <v>1061#22 WHT</v>
          </cell>
          <cell r="G933" t="str">
            <v>WIRE</v>
          </cell>
          <cell r="H933" t="str">
            <v>WUL0360</v>
          </cell>
        </row>
        <row r="934">
          <cell r="F934" t="str">
            <v>1061#22 YEL</v>
          </cell>
          <cell r="G934" t="str">
            <v>WIRE</v>
          </cell>
          <cell r="H934" t="str">
            <v>WUL0359</v>
          </cell>
        </row>
        <row r="935">
          <cell r="F935" t="str">
            <v>1061#22 RED</v>
          </cell>
          <cell r="G935" t="str">
            <v>WIRE</v>
          </cell>
          <cell r="H935" t="str">
            <v>WUL0358</v>
          </cell>
        </row>
        <row r="936">
          <cell r="F936" t="str">
            <v>1015#20 P/BLU</v>
          </cell>
          <cell r="G936" t="str">
            <v>WIRE</v>
          </cell>
          <cell r="H936" t="str">
            <v>WUL0357</v>
          </cell>
        </row>
        <row r="937">
          <cell r="F937" t="str">
            <v>1569#22 YEL</v>
          </cell>
          <cell r="G937" t="str">
            <v>WIRE</v>
          </cell>
          <cell r="H937" t="str">
            <v>WUL0356</v>
          </cell>
        </row>
        <row r="938">
          <cell r="F938" t="str">
            <v>1061#22 BLU</v>
          </cell>
          <cell r="G938" t="str">
            <v>WIRE</v>
          </cell>
          <cell r="H938" t="str">
            <v>WUL0354</v>
          </cell>
        </row>
        <row r="939">
          <cell r="F939" t="str">
            <v>1061#22 BRN</v>
          </cell>
          <cell r="G939" t="str">
            <v>WIRE</v>
          </cell>
          <cell r="H939" t="str">
            <v>WUL0353</v>
          </cell>
        </row>
        <row r="940">
          <cell r="F940" t="str">
            <v>1061#24 WHT</v>
          </cell>
          <cell r="G940" t="str">
            <v>WIRE</v>
          </cell>
          <cell r="H940" t="str">
            <v>WUL0352</v>
          </cell>
        </row>
        <row r="941">
          <cell r="F941" t="str">
            <v>1061#24 RED</v>
          </cell>
          <cell r="G941" t="str">
            <v>WIRE</v>
          </cell>
          <cell r="H941" t="str">
            <v>WUL0349</v>
          </cell>
        </row>
        <row r="942">
          <cell r="F942" t="str">
            <v>1061#24 BLK</v>
          </cell>
          <cell r="G942" t="str">
            <v>WIRE</v>
          </cell>
          <cell r="H942" t="str">
            <v>WUL0347</v>
          </cell>
        </row>
        <row r="943">
          <cell r="F943" t="str">
            <v>1061#28 WHT</v>
          </cell>
          <cell r="G943" t="str">
            <v>WIRE</v>
          </cell>
          <cell r="H943" t="str">
            <v>WUL0346</v>
          </cell>
        </row>
        <row r="944">
          <cell r="F944" t="str">
            <v>1061#28 BLU</v>
          </cell>
          <cell r="G944" t="str">
            <v>WIRE</v>
          </cell>
          <cell r="H944" t="str">
            <v>WUL0345</v>
          </cell>
        </row>
        <row r="945">
          <cell r="F945" t="str">
            <v>1061#28 RED</v>
          </cell>
          <cell r="G945" t="str">
            <v>WIRE</v>
          </cell>
          <cell r="H945" t="str">
            <v>WUL0344</v>
          </cell>
        </row>
        <row r="946">
          <cell r="F946" t="str">
            <v>1061#28 BRN</v>
          </cell>
          <cell r="G946" t="str">
            <v>WIRE</v>
          </cell>
          <cell r="H946" t="str">
            <v>WUL0343</v>
          </cell>
        </row>
        <row r="947">
          <cell r="F947" t="str">
            <v>1061#28 BLK</v>
          </cell>
          <cell r="G947" t="str">
            <v>WIRE</v>
          </cell>
          <cell r="H947" t="str">
            <v>WUL0342</v>
          </cell>
        </row>
        <row r="948">
          <cell r="F948" t="str">
            <v>1007#22 W/BLK</v>
          </cell>
          <cell r="G948" t="str">
            <v>WIRE</v>
          </cell>
          <cell r="H948" t="str">
            <v>WUL0339</v>
          </cell>
        </row>
        <row r="949">
          <cell r="F949" t="str">
            <v>1007#22 W/BLU</v>
          </cell>
          <cell r="G949" t="str">
            <v>WIRE</v>
          </cell>
          <cell r="H949" t="str">
            <v>WUL0338</v>
          </cell>
        </row>
        <row r="950">
          <cell r="F950" t="str">
            <v>1007#22 W/GRN</v>
          </cell>
          <cell r="G950" t="str">
            <v>WIRE</v>
          </cell>
          <cell r="H950" t="str">
            <v>WUL0337</v>
          </cell>
        </row>
        <row r="951">
          <cell r="F951" t="str">
            <v>1007#22 W/RED</v>
          </cell>
          <cell r="G951" t="str">
            <v>WIRE</v>
          </cell>
          <cell r="H951" t="str">
            <v>WUL0336</v>
          </cell>
        </row>
        <row r="952">
          <cell r="F952" t="str">
            <v>1015#12 G/YEL</v>
          </cell>
          <cell r="G952" t="str">
            <v>WIRE</v>
          </cell>
          <cell r="H952" t="str">
            <v>WUL0335</v>
          </cell>
        </row>
        <row r="953">
          <cell r="F953" t="str">
            <v>1015#12 BLK</v>
          </cell>
          <cell r="G953" t="str">
            <v>WIRE</v>
          </cell>
          <cell r="H953" t="str">
            <v>WUL0334</v>
          </cell>
        </row>
        <row r="954">
          <cell r="F954" t="str">
            <v>1015#12 WHT</v>
          </cell>
          <cell r="G954" t="str">
            <v>WIRE</v>
          </cell>
          <cell r="H954" t="str">
            <v>WUL0333</v>
          </cell>
        </row>
        <row r="955">
          <cell r="F955" t="str">
            <v>1015#12 RED</v>
          </cell>
          <cell r="G955" t="str">
            <v>WIRE</v>
          </cell>
          <cell r="H955" t="str">
            <v>WUL0332</v>
          </cell>
        </row>
        <row r="956">
          <cell r="F956" t="str">
            <v>1015#12 BLU</v>
          </cell>
          <cell r="G956" t="str">
            <v>WIRE</v>
          </cell>
          <cell r="H956" t="str">
            <v>WUL0331</v>
          </cell>
        </row>
        <row r="957">
          <cell r="F957" t="str">
            <v>1569#22 RED</v>
          </cell>
          <cell r="G957" t="str">
            <v>WIRE</v>
          </cell>
          <cell r="H957" t="str">
            <v>WUL0313</v>
          </cell>
        </row>
        <row r="958">
          <cell r="F958" t="str">
            <v>1569#16 G/YEL</v>
          </cell>
          <cell r="G958" t="str">
            <v>WIRE</v>
          </cell>
          <cell r="H958" t="str">
            <v>WUL0311</v>
          </cell>
        </row>
        <row r="959">
          <cell r="F959" t="str">
            <v>1569#22 BLK</v>
          </cell>
          <cell r="G959" t="str">
            <v>WIRE</v>
          </cell>
          <cell r="H959" t="str">
            <v>WUL0310</v>
          </cell>
        </row>
        <row r="960">
          <cell r="F960" t="str">
            <v>1569#20 GRY</v>
          </cell>
          <cell r="G960" t="str">
            <v>WIRE</v>
          </cell>
          <cell r="H960" t="str">
            <v>WUL0308</v>
          </cell>
        </row>
        <row r="961">
          <cell r="F961" t="str">
            <v>1569#22 PNK</v>
          </cell>
          <cell r="G961" t="str">
            <v>WIRE</v>
          </cell>
          <cell r="H961" t="str">
            <v>WUL0307</v>
          </cell>
        </row>
        <row r="962">
          <cell r="F962" t="str">
            <v>1617#20 WHT</v>
          </cell>
          <cell r="G962" t="str">
            <v>WIRE</v>
          </cell>
          <cell r="H962" t="str">
            <v>WUL0306</v>
          </cell>
        </row>
        <row r="963">
          <cell r="F963" t="str">
            <v>1617#20 BLU</v>
          </cell>
          <cell r="G963" t="str">
            <v>WIRE</v>
          </cell>
          <cell r="H963" t="str">
            <v>WUL0305</v>
          </cell>
        </row>
        <row r="964">
          <cell r="F964" t="str">
            <v>1617#20 RED</v>
          </cell>
          <cell r="G964" t="str">
            <v>WIRE</v>
          </cell>
          <cell r="H964" t="str">
            <v>WUL0304</v>
          </cell>
        </row>
        <row r="965">
          <cell r="F965" t="str">
            <v>1617#20 BLK</v>
          </cell>
          <cell r="G965" t="str">
            <v>WIRE</v>
          </cell>
          <cell r="H965" t="str">
            <v>WUL0303</v>
          </cell>
        </row>
        <row r="966">
          <cell r="F966" t="str">
            <v>1569#18 G/YEL</v>
          </cell>
          <cell r="G966" t="str">
            <v>WIRE</v>
          </cell>
          <cell r="H966" t="str">
            <v>WUL0302</v>
          </cell>
        </row>
        <row r="967">
          <cell r="F967" t="str">
            <v>1569#18 GRN</v>
          </cell>
          <cell r="G967" t="str">
            <v>WIRE</v>
          </cell>
          <cell r="H967" t="str">
            <v>WUL0300</v>
          </cell>
        </row>
        <row r="968">
          <cell r="F968" t="str">
            <v>1569#18 GRY</v>
          </cell>
          <cell r="G968" t="str">
            <v>WIRE</v>
          </cell>
          <cell r="H968" t="str">
            <v>WUL0299</v>
          </cell>
        </row>
        <row r="969">
          <cell r="F969" t="str">
            <v>1569#16 WHT</v>
          </cell>
          <cell r="G969" t="str">
            <v>WIRE</v>
          </cell>
          <cell r="H969" t="str">
            <v>WUL0298</v>
          </cell>
        </row>
        <row r="970">
          <cell r="F970" t="str">
            <v>1015#16 S/BLU</v>
          </cell>
          <cell r="G970" t="str">
            <v>WIRE</v>
          </cell>
          <cell r="H970" t="str">
            <v>WUL0297</v>
          </cell>
        </row>
        <row r="971">
          <cell r="F971" t="str">
            <v>1015#16 YEL</v>
          </cell>
          <cell r="G971" t="str">
            <v>WIRE</v>
          </cell>
          <cell r="H971" t="str">
            <v>WUL0295</v>
          </cell>
        </row>
        <row r="972">
          <cell r="F972" t="str">
            <v>1015#16 BLU</v>
          </cell>
          <cell r="G972" t="str">
            <v>WIRE</v>
          </cell>
          <cell r="H972" t="str">
            <v>WUL0294</v>
          </cell>
        </row>
        <row r="973">
          <cell r="F973" t="str">
            <v>1015#16 BRN</v>
          </cell>
          <cell r="G973" t="str">
            <v>WIRE</v>
          </cell>
          <cell r="H973" t="str">
            <v>WUL0293</v>
          </cell>
        </row>
        <row r="974">
          <cell r="F974" t="str">
            <v>1007#26 W/ORG</v>
          </cell>
          <cell r="G974" t="str">
            <v>WIRE</v>
          </cell>
          <cell r="H974" t="str">
            <v>WUL0287</v>
          </cell>
        </row>
        <row r="975">
          <cell r="F975" t="str">
            <v>1015#18 BLK</v>
          </cell>
          <cell r="G975" t="str">
            <v>WIRE</v>
          </cell>
          <cell r="H975" t="str">
            <v>WUL0285</v>
          </cell>
        </row>
        <row r="976">
          <cell r="F976" t="str">
            <v>1007#26 S/BLU</v>
          </cell>
          <cell r="G976" t="str">
            <v>WIRE</v>
          </cell>
          <cell r="H976" t="str">
            <v>WUL0284</v>
          </cell>
        </row>
        <row r="977">
          <cell r="F977" t="str">
            <v>1007#26 GRY</v>
          </cell>
          <cell r="G977" t="str">
            <v>WIRE</v>
          </cell>
          <cell r="H977" t="str">
            <v>WUL0282</v>
          </cell>
        </row>
        <row r="978">
          <cell r="F978" t="str">
            <v>1007#26 VIO</v>
          </cell>
          <cell r="G978" t="str">
            <v>WIRE</v>
          </cell>
          <cell r="H978" t="str">
            <v>WUL0281</v>
          </cell>
        </row>
        <row r="979">
          <cell r="F979" t="str">
            <v>1007#26 BLU</v>
          </cell>
          <cell r="G979" t="str">
            <v>WIRE</v>
          </cell>
          <cell r="H979" t="str">
            <v>WUL0280</v>
          </cell>
        </row>
        <row r="980">
          <cell r="F980" t="str">
            <v>1007#26 PNK</v>
          </cell>
          <cell r="G980" t="str">
            <v>WIRE</v>
          </cell>
          <cell r="H980" t="str">
            <v>WUL0279</v>
          </cell>
        </row>
        <row r="981">
          <cell r="F981" t="str">
            <v>1007#26 YEL</v>
          </cell>
          <cell r="G981" t="str">
            <v>WIRE</v>
          </cell>
          <cell r="H981" t="str">
            <v>WUL0278</v>
          </cell>
        </row>
        <row r="982">
          <cell r="F982" t="str">
            <v>1007#26 ORG</v>
          </cell>
          <cell r="G982" t="str">
            <v>WIRE</v>
          </cell>
          <cell r="H982" t="str">
            <v>WUL0277</v>
          </cell>
        </row>
        <row r="983">
          <cell r="F983" t="str">
            <v>1007#26 RED</v>
          </cell>
          <cell r="G983" t="str">
            <v>WIRE</v>
          </cell>
          <cell r="H983" t="str">
            <v>WUL0276</v>
          </cell>
        </row>
        <row r="984">
          <cell r="F984" t="str">
            <v>1007#26 BRN</v>
          </cell>
          <cell r="G984" t="str">
            <v>WIRE</v>
          </cell>
          <cell r="H984" t="str">
            <v>WUL0275</v>
          </cell>
        </row>
        <row r="985">
          <cell r="F985" t="str">
            <v>1007#26 BLK</v>
          </cell>
          <cell r="G985" t="str">
            <v>WIRE</v>
          </cell>
          <cell r="H985" t="str">
            <v>WUL0274</v>
          </cell>
        </row>
        <row r="986">
          <cell r="F986" t="str">
            <v>1015#18 W/YEL</v>
          </cell>
          <cell r="G986" t="str">
            <v>WIRE</v>
          </cell>
          <cell r="H986" t="str">
            <v>WUL0273</v>
          </cell>
        </row>
        <row r="987">
          <cell r="F987" t="str">
            <v>1007#20 BLU</v>
          </cell>
          <cell r="G987" t="str">
            <v>WIRE</v>
          </cell>
          <cell r="H987" t="str">
            <v>WUL0272</v>
          </cell>
        </row>
        <row r="988">
          <cell r="F988" t="str">
            <v>1569#16 BLU</v>
          </cell>
          <cell r="G988" t="str">
            <v>WIRE</v>
          </cell>
          <cell r="H988" t="str">
            <v>WUL0271</v>
          </cell>
        </row>
        <row r="989">
          <cell r="F989" t="str">
            <v>1569#16 RED</v>
          </cell>
          <cell r="G989" t="str">
            <v>WIRE</v>
          </cell>
          <cell r="H989" t="str">
            <v>WUL0270</v>
          </cell>
        </row>
        <row r="990">
          <cell r="F990" t="str">
            <v>1569#16 BRN</v>
          </cell>
          <cell r="G990" t="str">
            <v>WIRE</v>
          </cell>
          <cell r="H990" t="str">
            <v>WUL0269</v>
          </cell>
        </row>
        <row r="991">
          <cell r="F991" t="str">
            <v>1569#16 BLK</v>
          </cell>
          <cell r="G991" t="str">
            <v>WIRE</v>
          </cell>
          <cell r="H991" t="str">
            <v>WUL0268</v>
          </cell>
        </row>
        <row r="992">
          <cell r="F992" t="str">
            <v>1569#20 BLK</v>
          </cell>
          <cell r="G992" t="str">
            <v>WIRE</v>
          </cell>
          <cell r="H992" t="str">
            <v>WUL0267</v>
          </cell>
        </row>
        <row r="993">
          <cell r="F993" t="str">
            <v>1569#18 BLU</v>
          </cell>
          <cell r="G993" t="str">
            <v>WIRE</v>
          </cell>
          <cell r="H993" t="str">
            <v>WUL0266</v>
          </cell>
        </row>
        <row r="994">
          <cell r="F994" t="str">
            <v>1569#18 RED</v>
          </cell>
          <cell r="G994" t="str">
            <v>WIRE</v>
          </cell>
          <cell r="H994" t="str">
            <v>WUL0265</v>
          </cell>
        </row>
        <row r="995">
          <cell r="F995" t="str">
            <v>1569#18 BRN</v>
          </cell>
          <cell r="G995" t="str">
            <v>WIRE</v>
          </cell>
          <cell r="H995" t="str">
            <v>WUL0264</v>
          </cell>
        </row>
        <row r="996">
          <cell r="F996" t="str">
            <v>1569#18 BLK</v>
          </cell>
          <cell r="G996" t="str">
            <v>WIRE</v>
          </cell>
          <cell r="H996" t="str">
            <v>WUL0263</v>
          </cell>
        </row>
        <row r="997">
          <cell r="F997" t="str">
            <v>1015#22 BLK</v>
          </cell>
          <cell r="G997" t="str">
            <v>WIRE</v>
          </cell>
          <cell r="H997" t="str">
            <v>WUL0262</v>
          </cell>
        </row>
        <row r="998">
          <cell r="F998" t="str">
            <v>1015#22 GRY</v>
          </cell>
          <cell r="G998" t="str">
            <v>WIRE</v>
          </cell>
          <cell r="H998" t="str">
            <v>WUL0261</v>
          </cell>
        </row>
        <row r="999">
          <cell r="F999" t="str">
            <v>1015#22 BLU</v>
          </cell>
          <cell r="G999" t="str">
            <v>WIRE</v>
          </cell>
          <cell r="H999" t="str">
            <v>WUL0260</v>
          </cell>
        </row>
        <row r="1000">
          <cell r="F1000" t="str">
            <v>1015#22 RED</v>
          </cell>
          <cell r="G1000" t="str">
            <v>WIRE</v>
          </cell>
          <cell r="H1000" t="str">
            <v>WUL0259</v>
          </cell>
        </row>
        <row r="1001">
          <cell r="F1001" t="str">
            <v>1015#22 WHT</v>
          </cell>
          <cell r="G1001" t="str">
            <v>WIRE</v>
          </cell>
          <cell r="H1001" t="str">
            <v>WUL0258</v>
          </cell>
        </row>
        <row r="1002">
          <cell r="F1002" t="str">
            <v>1015#18 P/BLU</v>
          </cell>
          <cell r="G1002" t="str">
            <v>WIRE</v>
          </cell>
          <cell r="H1002" t="str">
            <v>WUL0256</v>
          </cell>
        </row>
        <row r="1003">
          <cell r="F1003" t="str">
            <v>1015#18 G/YEL</v>
          </cell>
          <cell r="G1003" t="str">
            <v>WIRE</v>
          </cell>
          <cell r="H1003" t="str">
            <v>WUL0255</v>
          </cell>
        </row>
        <row r="1004">
          <cell r="F1004" t="str">
            <v>1015#18 W/BLU</v>
          </cell>
          <cell r="G1004" t="str">
            <v>WIRE</v>
          </cell>
          <cell r="H1004" t="str">
            <v>WUL0254</v>
          </cell>
        </row>
        <row r="1005">
          <cell r="F1005" t="str">
            <v>1015#18 W/BLK</v>
          </cell>
          <cell r="G1005" t="str">
            <v>WIRE</v>
          </cell>
          <cell r="H1005" t="str">
            <v>WUL0253</v>
          </cell>
        </row>
        <row r="1006">
          <cell r="F1006" t="str">
            <v>1015#18 S/BLU</v>
          </cell>
          <cell r="G1006" t="str">
            <v>WIRE</v>
          </cell>
          <cell r="H1006" t="str">
            <v>WUL0252</v>
          </cell>
        </row>
        <row r="1007">
          <cell r="F1007" t="str">
            <v>1015#18 WHT</v>
          </cell>
          <cell r="G1007" t="str">
            <v>WIRE</v>
          </cell>
          <cell r="H1007" t="str">
            <v>WUL0251</v>
          </cell>
        </row>
        <row r="1008">
          <cell r="F1008" t="str">
            <v>1015#18 GRY</v>
          </cell>
          <cell r="G1008" t="str">
            <v>WIRE</v>
          </cell>
          <cell r="H1008" t="str">
            <v>WUL0250</v>
          </cell>
        </row>
        <row r="1009">
          <cell r="F1009" t="str">
            <v>1015#18 VIO</v>
          </cell>
          <cell r="G1009" t="str">
            <v>WIRE</v>
          </cell>
          <cell r="H1009" t="str">
            <v>WUL0249</v>
          </cell>
        </row>
        <row r="1010">
          <cell r="F1010" t="str">
            <v>1015#18 BLU</v>
          </cell>
          <cell r="G1010" t="str">
            <v>WIRE</v>
          </cell>
          <cell r="H1010" t="str">
            <v>WUL0248</v>
          </cell>
        </row>
        <row r="1011">
          <cell r="F1011" t="str">
            <v>1015#18 PNK</v>
          </cell>
          <cell r="G1011" t="str">
            <v>WIRE</v>
          </cell>
          <cell r="H1011" t="str">
            <v>WUL0247</v>
          </cell>
        </row>
        <row r="1012">
          <cell r="F1012" t="str">
            <v>1015#18 YEL</v>
          </cell>
          <cell r="G1012" t="str">
            <v>WIRE</v>
          </cell>
          <cell r="H1012" t="str">
            <v>WUL0246</v>
          </cell>
        </row>
        <row r="1013">
          <cell r="F1013" t="str">
            <v>1015#18 RED</v>
          </cell>
          <cell r="G1013" t="str">
            <v>WIRE</v>
          </cell>
          <cell r="H1013" t="str">
            <v>WUL0245</v>
          </cell>
        </row>
        <row r="1014">
          <cell r="F1014" t="str">
            <v>1015#18 BRN</v>
          </cell>
          <cell r="G1014" t="str">
            <v>WIRE</v>
          </cell>
          <cell r="H1014" t="str">
            <v>WUL0244</v>
          </cell>
        </row>
        <row r="1015">
          <cell r="F1015" t="str">
            <v>1007#24 W/BLU</v>
          </cell>
          <cell r="G1015" t="str">
            <v>WIRE</v>
          </cell>
          <cell r="H1015" t="str">
            <v>WUL0243</v>
          </cell>
        </row>
        <row r="1016">
          <cell r="F1016" t="str">
            <v>1007#24 W/RED</v>
          </cell>
          <cell r="G1016" t="str">
            <v>WIRE</v>
          </cell>
          <cell r="H1016" t="str">
            <v>WUL0242</v>
          </cell>
        </row>
        <row r="1017">
          <cell r="F1017" t="str">
            <v>1007#24 W/BLK</v>
          </cell>
          <cell r="G1017" t="str">
            <v>WIRE</v>
          </cell>
          <cell r="H1017" t="str">
            <v>WUL0241</v>
          </cell>
        </row>
        <row r="1018">
          <cell r="F1018" t="str">
            <v>1007#24 S/BLU</v>
          </cell>
          <cell r="G1018" t="str">
            <v>WIRE</v>
          </cell>
          <cell r="H1018" t="str">
            <v>WUL0240</v>
          </cell>
        </row>
        <row r="1019">
          <cell r="F1019" t="str">
            <v>1007#24 WHT</v>
          </cell>
          <cell r="G1019" t="str">
            <v>WIRE</v>
          </cell>
          <cell r="H1019" t="str">
            <v>WUL0239</v>
          </cell>
        </row>
        <row r="1020">
          <cell r="F1020" t="str">
            <v>1007#24 GRY</v>
          </cell>
          <cell r="G1020" t="str">
            <v>WIRE</v>
          </cell>
          <cell r="H1020" t="str">
            <v>WUL0238</v>
          </cell>
        </row>
        <row r="1021">
          <cell r="F1021" t="str">
            <v>1007#24 VIO</v>
          </cell>
          <cell r="G1021" t="str">
            <v>WIRE</v>
          </cell>
          <cell r="H1021" t="str">
            <v>WUL0237</v>
          </cell>
        </row>
        <row r="1022">
          <cell r="F1022" t="str">
            <v>1007#24 BLU</v>
          </cell>
          <cell r="G1022" t="str">
            <v>WIRE</v>
          </cell>
          <cell r="H1022" t="str">
            <v>WUL0236</v>
          </cell>
        </row>
        <row r="1023">
          <cell r="F1023" t="str">
            <v>1007#24 PNK</v>
          </cell>
          <cell r="G1023" t="str">
            <v>WIRE</v>
          </cell>
          <cell r="H1023" t="str">
            <v>WUL0235</v>
          </cell>
        </row>
        <row r="1024">
          <cell r="F1024" t="str">
            <v>1007#24 YEL</v>
          </cell>
          <cell r="G1024" t="str">
            <v>WIRE</v>
          </cell>
          <cell r="H1024" t="str">
            <v>WUL0234</v>
          </cell>
        </row>
        <row r="1025">
          <cell r="F1025" t="str">
            <v>1007#24 ORG</v>
          </cell>
          <cell r="G1025" t="str">
            <v>WIRE</v>
          </cell>
          <cell r="H1025" t="str">
            <v>WUL0233</v>
          </cell>
        </row>
        <row r="1026">
          <cell r="F1026" t="str">
            <v>1007#24 RED</v>
          </cell>
          <cell r="G1026" t="str">
            <v>WIRE</v>
          </cell>
          <cell r="H1026" t="str">
            <v>WUL0232</v>
          </cell>
        </row>
        <row r="1027">
          <cell r="F1027" t="str">
            <v>1007#24 BRN</v>
          </cell>
          <cell r="G1027" t="str">
            <v>WIRE</v>
          </cell>
          <cell r="H1027" t="str">
            <v>WUL0231</v>
          </cell>
        </row>
        <row r="1028">
          <cell r="F1028" t="str">
            <v>1007#24 BLK</v>
          </cell>
          <cell r="G1028" t="str">
            <v>WIRE</v>
          </cell>
          <cell r="H1028" t="str">
            <v>WUL0230</v>
          </cell>
        </row>
        <row r="1029">
          <cell r="F1029" t="str">
            <v>1007#22 WHT</v>
          </cell>
          <cell r="G1029" t="str">
            <v>WIRE</v>
          </cell>
          <cell r="H1029" t="str">
            <v>WUL0229</v>
          </cell>
        </row>
        <row r="1030">
          <cell r="F1030" t="str">
            <v>1007#22 GRY</v>
          </cell>
          <cell r="G1030" t="str">
            <v>WIRE</v>
          </cell>
          <cell r="H1030" t="str">
            <v>WUL0228</v>
          </cell>
        </row>
        <row r="1031">
          <cell r="F1031" t="str">
            <v>1007#22 BLU</v>
          </cell>
          <cell r="G1031" t="str">
            <v>WIRE</v>
          </cell>
          <cell r="H1031" t="str">
            <v>WUL0227</v>
          </cell>
        </row>
        <row r="1032">
          <cell r="F1032" t="str">
            <v>1007#22 YEL</v>
          </cell>
          <cell r="G1032" t="str">
            <v>WIRE</v>
          </cell>
          <cell r="H1032" t="str">
            <v>WUL0226</v>
          </cell>
        </row>
        <row r="1033">
          <cell r="F1033" t="str">
            <v>1007#22 ORG</v>
          </cell>
          <cell r="G1033" t="str">
            <v>WIRE</v>
          </cell>
          <cell r="H1033" t="str">
            <v>WUL0225</v>
          </cell>
        </row>
        <row r="1034">
          <cell r="F1034" t="str">
            <v>1007#22 RED</v>
          </cell>
          <cell r="G1034" t="str">
            <v>WIRE</v>
          </cell>
          <cell r="H1034" t="str">
            <v>WUL0224</v>
          </cell>
        </row>
        <row r="1035">
          <cell r="F1035" t="str">
            <v>1007#22 BRN</v>
          </cell>
          <cell r="G1035" t="str">
            <v>WIRE</v>
          </cell>
          <cell r="H1035" t="str">
            <v>WUL0223</v>
          </cell>
        </row>
        <row r="1036">
          <cell r="F1036" t="str">
            <v>1007#22 BLK</v>
          </cell>
          <cell r="G1036" t="str">
            <v>WIRE</v>
          </cell>
          <cell r="H1036" t="str">
            <v>WUL0222</v>
          </cell>
        </row>
        <row r="1037">
          <cell r="F1037" t="str">
            <v>1333#18 BLU</v>
          </cell>
          <cell r="G1037" t="str">
            <v>TEFLON WIRE</v>
          </cell>
          <cell r="H1037" t="str">
            <v>WUL0220</v>
          </cell>
        </row>
        <row r="1038">
          <cell r="F1038" t="str">
            <v>1333#18 RED</v>
          </cell>
          <cell r="G1038" t="str">
            <v>TEFLON WIRE</v>
          </cell>
          <cell r="H1038" t="str">
            <v>WUL0219</v>
          </cell>
        </row>
        <row r="1039">
          <cell r="F1039" t="str">
            <v>1333#18 WHT</v>
          </cell>
          <cell r="G1039" t="str">
            <v>TEFLON WIRE</v>
          </cell>
          <cell r="H1039" t="str">
            <v>WUL0218</v>
          </cell>
        </row>
        <row r="1040">
          <cell r="F1040" t="str">
            <v>1333#18 GRN</v>
          </cell>
          <cell r="G1040" t="str">
            <v>TEFLON WIRE</v>
          </cell>
          <cell r="H1040" t="str">
            <v>WUL0217</v>
          </cell>
        </row>
        <row r="1041">
          <cell r="F1041" t="str">
            <v>1015#18 GRN</v>
          </cell>
          <cell r="G1041" t="str">
            <v>WIRE</v>
          </cell>
          <cell r="H1041" t="str">
            <v>WUL0214</v>
          </cell>
        </row>
        <row r="1042">
          <cell r="F1042" t="str">
            <v>SPT-2(NEW)/BLK</v>
          </cell>
          <cell r="G1042" t="str">
            <v>WIRE</v>
          </cell>
          <cell r="H1042" t="str">
            <v>WUL0201</v>
          </cell>
        </row>
        <row r="1043">
          <cell r="F1043" t="str">
            <v>SPT-2(OLD)</v>
          </cell>
          <cell r="G1043" t="str">
            <v>WIRE</v>
          </cell>
          <cell r="H1043" t="str">
            <v>WUL0200</v>
          </cell>
        </row>
        <row r="1044">
          <cell r="F1044" t="str">
            <v>IEC080.75SQ G/YEL</v>
          </cell>
          <cell r="G1044" t="str">
            <v>WIRE</v>
          </cell>
          <cell r="H1044" t="str">
            <v>WUL0196</v>
          </cell>
        </row>
        <row r="1045">
          <cell r="F1045" t="str">
            <v>IEC080.75SQ P/BLU</v>
          </cell>
          <cell r="G1045" t="str">
            <v>WIRE</v>
          </cell>
          <cell r="H1045" t="str">
            <v>WUL0195</v>
          </cell>
        </row>
        <row r="1046">
          <cell r="F1046" t="str">
            <v>IEC080.75SQ W/BLU</v>
          </cell>
          <cell r="G1046" t="str">
            <v>WIRE</v>
          </cell>
          <cell r="H1046" t="str">
            <v>WUL0194</v>
          </cell>
        </row>
        <row r="1047">
          <cell r="F1047" t="str">
            <v>IEC080.75SQ W/BLK</v>
          </cell>
          <cell r="G1047" t="str">
            <v>WIRE</v>
          </cell>
          <cell r="H1047" t="str">
            <v>WUL0192</v>
          </cell>
        </row>
        <row r="1048">
          <cell r="F1048" t="str">
            <v>IEC080.75SQ S/BLU</v>
          </cell>
          <cell r="G1048" t="str">
            <v>WIRE</v>
          </cell>
          <cell r="H1048" t="str">
            <v>WUL0191</v>
          </cell>
        </row>
        <row r="1049">
          <cell r="F1049" t="str">
            <v>IEC080.75SQ WHT</v>
          </cell>
          <cell r="G1049" t="str">
            <v>WIRE</v>
          </cell>
          <cell r="H1049" t="str">
            <v>WUL0190</v>
          </cell>
        </row>
        <row r="1050">
          <cell r="F1050" t="str">
            <v>IEC080.75SQ GRY</v>
          </cell>
          <cell r="G1050" t="str">
            <v>WIRE</v>
          </cell>
          <cell r="H1050" t="str">
            <v>WUL0189</v>
          </cell>
        </row>
        <row r="1051">
          <cell r="F1051" t="str">
            <v>IEC080.75SQ VIO</v>
          </cell>
          <cell r="G1051" t="str">
            <v>WIRE</v>
          </cell>
          <cell r="H1051" t="str">
            <v>WUL0188</v>
          </cell>
        </row>
        <row r="1052">
          <cell r="F1052" t="str">
            <v>IEC080.75SQ BLU</v>
          </cell>
          <cell r="G1052" t="str">
            <v>WIRE</v>
          </cell>
          <cell r="H1052" t="str">
            <v>WUL0187</v>
          </cell>
        </row>
        <row r="1053">
          <cell r="F1053" t="str">
            <v>IEC080.75SQ PNK</v>
          </cell>
          <cell r="G1053" t="str">
            <v>WIRE</v>
          </cell>
          <cell r="H1053" t="str">
            <v>WUL0186</v>
          </cell>
        </row>
        <row r="1054">
          <cell r="F1054" t="str">
            <v>IEC080.75SQ YEL</v>
          </cell>
          <cell r="G1054" t="str">
            <v>WIRE</v>
          </cell>
          <cell r="H1054" t="str">
            <v>WUL0185</v>
          </cell>
        </row>
        <row r="1055">
          <cell r="F1055" t="str">
            <v>IEC080.75SQ ORG</v>
          </cell>
          <cell r="G1055" t="str">
            <v>WIRE</v>
          </cell>
          <cell r="H1055" t="str">
            <v>WUL0184</v>
          </cell>
        </row>
        <row r="1056">
          <cell r="F1056" t="str">
            <v>IEC080.75SQ RED</v>
          </cell>
          <cell r="G1056" t="str">
            <v>WIRE</v>
          </cell>
          <cell r="H1056" t="str">
            <v>WUL0183</v>
          </cell>
        </row>
        <row r="1057">
          <cell r="F1057" t="str">
            <v>IEC080.75SQ BRN</v>
          </cell>
          <cell r="G1057" t="str">
            <v>WIRE</v>
          </cell>
          <cell r="H1057" t="str">
            <v>WUL0182</v>
          </cell>
        </row>
        <row r="1058">
          <cell r="F1058" t="str">
            <v>IEC080.75SQ BLK</v>
          </cell>
          <cell r="G1058" t="str">
            <v>WIRE</v>
          </cell>
          <cell r="H1058" t="str">
            <v>WUL0181</v>
          </cell>
        </row>
        <row r="1059">
          <cell r="F1059" t="str">
            <v>IEC080.5SQ G/YEL</v>
          </cell>
          <cell r="G1059" t="str">
            <v>WIRE</v>
          </cell>
          <cell r="H1059" t="str">
            <v>WUL0180</v>
          </cell>
        </row>
        <row r="1060">
          <cell r="F1060" t="str">
            <v>IEC080.5SQ W/BLU</v>
          </cell>
          <cell r="G1060" t="str">
            <v>WIRE</v>
          </cell>
          <cell r="H1060" t="str">
            <v>WUL0179</v>
          </cell>
        </row>
        <row r="1061">
          <cell r="F1061" t="str">
            <v>IEC080.5SQ W/RED</v>
          </cell>
          <cell r="G1061" t="str">
            <v>WIRE</v>
          </cell>
          <cell r="H1061" t="str">
            <v>WUL0178</v>
          </cell>
        </row>
        <row r="1062">
          <cell r="F1062" t="str">
            <v>IEC080.5SQ W/BLK</v>
          </cell>
          <cell r="G1062" t="str">
            <v>WIRE</v>
          </cell>
          <cell r="H1062" t="str">
            <v>WUL0177</v>
          </cell>
        </row>
        <row r="1063">
          <cell r="F1063" t="str">
            <v>IEC080.5SQ S/BLU</v>
          </cell>
          <cell r="G1063" t="str">
            <v>WIRE</v>
          </cell>
          <cell r="H1063" t="str">
            <v>WUL0176</v>
          </cell>
        </row>
        <row r="1064">
          <cell r="F1064" t="str">
            <v>IEC080.5SQ WHT</v>
          </cell>
          <cell r="G1064" t="str">
            <v>WIRE</v>
          </cell>
          <cell r="H1064" t="str">
            <v>WUL0175</v>
          </cell>
        </row>
        <row r="1065">
          <cell r="F1065" t="str">
            <v>IEC080.5SQ GRY</v>
          </cell>
          <cell r="G1065" t="str">
            <v>WIRE</v>
          </cell>
          <cell r="H1065" t="str">
            <v>WUL0174</v>
          </cell>
        </row>
        <row r="1066">
          <cell r="F1066" t="str">
            <v>IEC080.5SQ VIO</v>
          </cell>
          <cell r="G1066" t="str">
            <v>WIRE</v>
          </cell>
          <cell r="H1066" t="str">
            <v>WUL0173</v>
          </cell>
        </row>
        <row r="1067">
          <cell r="F1067" t="str">
            <v>IEC080.5SQ BLU</v>
          </cell>
          <cell r="G1067" t="str">
            <v>WIRE</v>
          </cell>
          <cell r="H1067" t="str">
            <v>WUL0172</v>
          </cell>
        </row>
        <row r="1068">
          <cell r="F1068" t="str">
            <v>IEC080.5SQ PNK</v>
          </cell>
          <cell r="G1068" t="str">
            <v>WIRE</v>
          </cell>
          <cell r="H1068" t="str">
            <v>WUL0171</v>
          </cell>
        </row>
        <row r="1069">
          <cell r="F1069" t="str">
            <v>IEC080.5SQ YEL</v>
          </cell>
          <cell r="G1069" t="str">
            <v>WIRE</v>
          </cell>
          <cell r="H1069" t="str">
            <v>WUL0170</v>
          </cell>
        </row>
        <row r="1070">
          <cell r="F1070" t="str">
            <v>IEC080.5SQ ORG</v>
          </cell>
          <cell r="G1070" t="str">
            <v>WIRE</v>
          </cell>
          <cell r="H1070" t="str">
            <v>WUL0169</v>
          </cell>
        </row>
        <row r="1071">
          <cell r="F1071" t="str">
            <v>IEC080.5SQ RED</v>
          </cell>
          <cell r="G1071" t="str">
            <v>WIRE</v>
          </cell>
          <cell r="H1071" t="str">
            <v>WUL0168</v>
          </cell>
        </row>
        <row r="1072">
          <cell r="F1072" t="str">
            <v>IEC080.5SQ BRN</v>
          </cell>
          <cell r="G1072" t="str">
            <v>WIRE</v>
          </cell>
          <cell r="H1072" t="str">
            <v>WUL0167</v>
          </cell>
        </row>
        <row r="1073">
          <cell r="F1073" t="str">
            <v>IEC080.5SQ BLK</v>
          </cell>
          <cell r="G1073" t="str">
            <v>WIRE</v>
          </cell>
          <cell r="H1073" t="str">
            <v>WUL0166</v>
          </cell>
        </row>
        <row r="1074">
          <cell r="F1074" t="str">
            <v>1015#22 G/YEL</v>
          </cell>
          <cell r="G1074" t="str">
            <v>WIRE</v>
          </cell>
          <cell r="H1074" t="str">
            <v>WUL0123</v>
          </cell>
        </row>
        <row r="1075">
          <cell r="F1075" t="str">
            <v>1569#24 ORG</v>
          </cell>
          <cell r="G1075" t="str">
            <v>WIRE</v>
          </cell>
          <cell r="H1075" t="str">
            <v>WUL0122</v>
          </cell>
        </row>
        <row r="1076">
          <cell r="F1076" t="str">
            <v>1569#24 RED</v>
          </cell>
          <cell r="G1076" t="str">
            <v>WIRE</v>
          </cell>
          <cell r="H1076" t="str">
            <v>WUL0121</v>
          </cell>
        </row>
        <row r="1077">
          <cell r="F1077" t="str">
            <v>1569#24 PNK</v>
          </cell>
          <cell r="G1077" t="str">
            <v>WIRE</v>
          </cell>
          <cell r="H1077" t="str">
            <v>WUL0120</v>
          </cell>
        </row>
        <row r="1078">
          <cell r="F1078" t="str">
            <v>2464#20(A)4C /BLK(YEONSEON)</v>
          </cell>
          <cell r="G1078" t="str">
            <v>WIRE</v>
          </cell>
          <cell r="H1078" t="str">
            <v>WUL0119</v>
          </cell>
        </row>
        <row r="1079">
          <cell r="F1079" t="str">
            <v>1569#22 VIO</v>
          </cell>
          <cell r="G1079" t="str">
            <v>WIRE</v>
          </cell>
          <cell r="H1079" t="str">
            <v>WUL0117</v>
          </cell>
        </row>
        <row r="1080">
          <cell r="F1080" t="str">
            <v>1015#16 ORG</v>
          </cell>
          <cell r="G1080" t="str">
            <v>WIRE</v>
          </cell>
          <cell r="H1080" t="str">
            <v>WUL0116</v>
          </cell>
        </row>
        <row r="1081">
          <cell r="F1081" t="str">
            <v>2464#20(A)3C /BLK(YEONSEON)</v>
          </cell>
          <cell r="G1081" t="str">
            <v>WIRE</v>
          </cell>
          <cell r="H1081" t="str">
            <v>WUL0115</v>
          </cell>
        </row>
        <row r="1082">
          <cell r="F1082" t="str">
            <v>2464#24(A)6C /GRY(YEONSEON)</v>
          </cell>
          <cell r="G1082" t="str">
            <v>WIRE</v>
          </cell>
          <cell r="H1082" t="str">
            <v>WUL0114</v>
          </cell>
        </row>
        <row r="1083">
          <cell r="F1083" t="str">
            <v>1569#20 ORG</v>
          </cell>
          <cell r="G1083" t="str">
            <v>WIRE</v>
          </cell>
          <cell r="H1083" t="str">
            <v>WUL0113</v>
          </cell>
        </row>
        <row r="1084">
          <cell r="F1084" t="str">
            <v>2464#24(A)3C /GRY(YEONSEON)</v>
          </cell>
          <cell r="G1084" t="str">
            <v>WIRE</v>
          </cell>
          <cell r="H1084" t="str">
            <v>WUL0112</v>
          </cell>
        </row>
        <row r="1085">
          <cell r="F1085" t="str">
            <v>1015#20 W/BLU</v>
          </cell>
          <cell r="G1085" t="str">
            <v>WIRE</v>
          </cell>
          <cell r="H1085" t="str">
            <v>WUL0111</v>
          </cell>
        </row>
        <row r="1086">
          <cell r="F1086" t="str">
            <v>1015#20 W/RED</v>
          </cell>
          <cell r="G1086" t="str">
            <v>WIRE</v>
          </cell>
          <cell r="H1086" t="str">
            <v>WUL0110</v>
          </cell>
        </row>
        <row r="1087">
          <cell r="F1087" t="str">
            <v>1007#18 VIO</v>
          </cell>
          <cell r="G1087" t="str">
            <v>WIRE</v>
          </cell>
          <cell r="H1087" t="str">
            <v>WUL0109</v>
          </cell>
        </row>
        <row r="1088">
          <cell r="F1088" t="str">
            <v>1007#18 GRN</v>
          </cell>
          <cell r="G1088" t="str">
            <v>WIRE</v>
          </cell>
          <cell r="H1088" t="str">
            <v>WUL0108</v>
          </cell>
        </row>
        <row r="1089">
          <cell r="F1089" t="str">
            <v>1015#20 W/BLK</v>
          </cell>
          <cell r="G1089" t="str">
            <v>WIRE</v>
          </cell>
          <cell r="H1089" t="str">
            <v>WUL0107</v>
          </cell>
        </row>
        <row r="1090">
          <cell r="F1090" t="str">
            <v>1007#22 G/YEL</v>
          </cell>
          <cell r="G1090" t="str">
            <v>WIRE</v>
          </cell>
          <cell r="H1090" t="str">
            <v>WUL0106</v>
          </cell>
        </row>
        <row r="1091">
          <cell r="F1091" t="str">
            <v>1007#26 W/BLU</v>
          </cell>
          <cell r="G1091" t="str">
            <v>WIRE</v>
          </cell>
          <cell r="H1091" t="str">
            <v>WUL0105</v>
          </cell>
        </row>
        <row r="1092">
          <cell r="F1092" t="str">
            <v>1007#26 W/YEL</v>
          </cell>
          <cell r="G1092" t="str">
            <v>WIRE</v>
          </cell>
          <cell r="H1092" t="str">
            <v>WUL0104</v>
          </cell>
        </row>
        <row r="1093">
          <cell r="F1093" t="str">
            <v>1007#26 GRN</v>
          </cell>
          <cell r="G1093" t="str">
            <v>WIRE</v>
          </cell>
          <cell r="H1093" t="str">
            <v>WUL0103</v>
          </cell>
        </row>
        <row r="1094">
          <cell r="F1094" t="str">
            <v>1007#26 W/BLK</v>
          </cell>
          <cell r="G1094" t="str">
            <v>WIRE</v>
          </cell>
          <cell r="H1094" t="str">
            <v>WUL0102</v>
          </cell>
        </row>
        <row r="1095">
          <cell r="F1095" t="str">
            <v>1007#26 W/RED</v>
          </cell>
          <cell r="G1095" t="str">
            <v>WIRE</v>
          </cell>
          <cell r="H1095" t="str">
            <v>WUL0101</v>
          </cell>
        </row>
        <row r="1096">
          <cell r="F1096" t="str">
            <v>1007#26 WHT</v>
          </cell>
          <cell r="G1096" t="str">
            <v>WIRE</v>
          </cell>
          <cell r="H1096" t="str">
            <v>WUL0100</v>
          </cell>
        </row>
        <row r="1097">
          <cell r="F1097" t="str">
            <v>1007#24 W/YEL</v>
          </cell>
          <cell r="G1097" t="str">
            <v>WIRE</v>
          </cell>
          <cell r="H1097" t="str">
            <v>WUL0099</v>
          </cell>
        </row>
        <row r="1098">
          <cell r="F1098" t="str">
            <v>UL2651#26-3C</v>
          </cell>
          <cell r="G1098" t="str">
            <v>FLAT WIRE</v>
          </cell>
          <cell r="H1098" t="str">
            <v>WUL0098</v>
          </cell>
        </row>
        <row r="1099">
          <cell r="F1099" t="str">
            <v>1569#20 BRN</v>
          </cell>
          <cell r="G1099" t="str">
            <v>WIRE</v>
          </cell>
          <cell r="H1099" t="str">
            <v>WUL0094</v>
          </cell>
        </row>
        <row r="1100">
          <cell r="F1100" t="str">
            <v>1007#24 W/ORG</v>
          </cell>
          <cell r="G1100" t="str">
            <v>WIRE</v>
          </cell>
          <cell r="H1100" t="str">
            <v>WUL0093</v>
          </cell>
        </row>
        <row r="1101">
          <cell r="F1101" t="str">
            <v>1007#24 GRN</v>
          </cell>
          <cell r="G1101" t="str">
            <v>WIRE</v>
          </cell>
          <cell r="H1101" t="str">
            <v>WUL0092</v>
          </cell>
        </row>
        <row r="1102">
          <cell r="F1102" t="str">
            <v>1569#18 WHT</v>
          </cell>
          <cell r="G1102" t="str">
            <v>WIRE</v>
          </cell>
          <cell r="H1102" t="str">
            <v>WUL0091</v>
          </cell>
        </row>
        <row r="1103">
          <cell r="F1103" t="str">
            <v>1015#14 RED</v>
          </cell>
          <cell r="G1103" t="str">
            <v>WIRE</v>
          </cell>
          <cell r="H1103" t="str">
            <v>WUL0085</v>
          </cell>
        </row>
        <row r="1104">
          <cell r="F1104" t="str">
            <v>1015#14 BLK</v>
          </cell>
          <cell r="G1104" t="str">
            <v>WIRE</v>
          </cell>
          <cell r="H1104" t="str">
            <v>WUL0084</v>
          </cell>
        </row>
        <row r="1105">
          <cell r="F1105" t="str">
            <v>1007#22 S/BLU</v>
          </cell>
          <cell r="G1105" t="str">
            <v>WIRE</v>
          </cell>
          <cell r="H1105" t="str">
            <v>WUL0083</v>
          </cell>
        </row>
        <row r="1106">
          <cell r="F1106" t="str">
            <v>1569#24 BLK</v>
          </cell>
          <cell r="G1106" t="str">
            <v>WIRE</v>
          </cell>
          <cell r="H1106" t="str">
            <v>WUL0082</v>
          </cell>
        </row>
        <row r="1107">
          <cell r="F1107" t="str">
            <v>1569#24 WHT</v>
          </cell>
          <cell r="G1107" t="str">
            <v>WIRE</v>
          </cell>
          <cell r="H1107" t="str">
            <v>WUL0081</v>
          </cell>
        </row>
        <row r="1108">
          <cell r="F1108" t="str">
            <v>1569#24 BLU</v>
          </cell>
          <cell r="G1108" t="str">
            <v>WIRE</v>
          </cell>
          <cell r="H1108" t="str">
            <v>WUL0080</v>
          </cell>
        </row>
        <row r="1109">
          <cell r="F1109" t="str">
            <v>1569#24 YEL</v>
          </cell>
          <cell r="G1109" t="str">
            <v>WIRE</v>
          </cell>
          <cell r="H1109" t="str">
            <v>WUL0079</v>
          </cell>
        </row>
        <row r="1110">
          <cell r="F1110" t="str">
            <v>1015#20 PNK</v>
          </cell>
          <cell r="G1110" t="str">
            <v>WIRE</v>
          </cell>
          <cell r="H1110" t="str">
            <v>WUL0078</v>
          </cell>
        </row>
        <row r="1111">
          <cell r="F1111" t="str">
            <v>1015#20 BLK</v>
          </cell>
          <cell r="G1111" t="str">
            <v>WIRE</v>
          </cell>
          <cell r="H1111" t="str">
            <v>WUL0077</v>
          </cell>
        </row>
        <row r="1112">
          <cell r="F1112" t="str">
            <v>1015#20 ORG</v>
          </cell>
          <cell r="G1112" t="str">
            <v>WIRE</v>
          </cell>
          <cell r="H1112" t="str">
            <v>WUL0076</v>
          </cell>
        </row>
        <row r="1113">
          <cell r="F1113" t="str">
            <v>1015#16 WHT</v>
          </cell>
          <cell r="G1113" t="str">
            <v>WIRE</v>
          </cell>
          <cell r="H1113" t="str">
            <v>WUL0074</v>
          </cell>
        </row>
        <row r="1114">
          <cell r="F1114" t="str">
            <v>1015#16 RED</v>
          </cell>
          <cell r="G1114" t="str">
            <v>WIRE</v>
          </cell>
          <cell r="H1114" t="str">
            <v>WUL0073</v>
          </cell>
        </row>
        <row r="1115">
          <cell r="F1115" t="str">
            <v>1015#16 BLK</v>
          </cell>
          <cell r="G1115" t="str">
            <v>WIRE</v>
          </cell>
          <cell r="H1115" t="str">
            <v>WUL0072</v>
          </cell>
        </row>
        <row r="1116">
          <cell r="F1116" t="str">
            <v>1007#22 GRN</v>
          </cell>
          <cell r="G1116" t="str">
            <v>WIRE</v>
          </cell>
          <cell r="H1116" t="str">
            <v>WUL0071</v>
          </cell>
        </row>
        <row r="1117">
          <cell r="F1117" t="str">
            <v>1007#22 VIO</v>
          </cell>
          <cell r="G1117" t="str">
            <v>WIRE</v>
          </cell>
          <cell r="H1117" t="str">
            <v>WUL0070</v>
          </cell>
        </row>
        <row r="1118">
          <cell r="F1118" t="str">
            <v>1007#22 PNK</v>
          </cell>
          <cell r="G1118" t="str">
            <v>WIRE</v>
          </cell>
          <cell r="H1118" t="str">
            <v>WUL0069</v>
          </cell>
        </row>
        <row r="1119">
          <cell r="F1119" t="str">
            <v>1015#20 GRN</v>
          </cell>
          <cell r="G1119" t="str">
            <v>WIRE</v>
          </cell>
          <cell r="H1119" t="str">
            <v>WUL0068</v>
          </cell>
        </row>
        <row r="1120">
          <cell r="F1120" t="str">
            <v>1015#18 ORG</v>
          </cell>
          <cell r="G1120" t="str">
            <v>WIRE</v>
          </cell>
          <cell r="H1120" t="str">
            <v>WUL0067</v>
          </cell>
        </row>
        <row r="1121">
          <cell r="F1121" t="str">
            <v>1015#22 ORG</v>
          </cell>
          <cell r="G1121" t="str">
            <v>WIRE</v>
          </cell>
          <cell r="H1121" t="str">
            <v>WUL0066</v>
          </cell>
        </row>
        <row r="1122">
          <cell r="F1122" t="str">
            <v>1015#22 GRN</v>
          </cell>
          <cell r="G1122" t="str">
            <v>WIRE</v>
          </cell>
          <cell r="H1122" t="str">
            <v>WUL0065</v>
          </cell>
        </row>
        <row r="1123">
          <cell r="F1123" t="str">
            <v>1015#22 YEL</v>
          </cell>
          <cell r="G1123" t="str">
            <v>WIRE</v>
          </cell>
          <cell r="H1123" t="str">
            <v>WUL0064</v>
          </cell>
        </row>
        <row r="1124">
          <cell r="F1124" t="str">
            <v>1015#22 PNK</v>
          </cell>
          <cell r="G1124" t="str">
            <v>WIRE</v>
          </cell>
          <cell r="H1124" t="str">
            <v>WUL0063</v>
          </cell>
        </row>
        <row r="1125">
          <cell r="F1125" t="str">
            <v>1015#22 VIO</v>
          </cell>
          <cell r="G1125" t="str">
            <v>WIRE</v>
          </cell>
          <cell r="H1125" t="str">
            <v>WUL0062</v>
          </cell>
        </row>
        <row r="1126">
          <cell r="F1126" t="str">
            <v>1015#22 BRN</v>
          </cell>
          <cell r="G1126" t="str">
            <v>WIRE</v>
          </cell>
          <cell r="H1126" t="str">
            <v>WUL0061</v>
          </cell>
        </row>
        <row r="1127">
          <cell r="F1127" t="str">
            <v>1007#24 W/VIO</v>
          </cell>
          <cell r="G1127" t="str">
            <v>WIRE</v>
          </cell>
          <cell r="H1127" t="str">
            <v>WUL0053</v>
          </cell>
        </row>
        <row r="1128">
          <cell r="F1128" t="str">
            <v>1007#24 W/GRN</v>
          </cell>
          <cell r="G1128" t="str">
            <v>WIRE</v>
          </cell>
          <cell r="H1128" t="str">
            <v>WUL0052</v>
          </cell>
        </row>
        <row r="1129">
          <cell r="F1129" t="str">
            <v>1007#24 W/BRN</v>
          </cell>
          <cell r="G1129" t="str">
            <v>WIRE</v>
          </cell>
          <cell r="H1129" t="str">
            <v>WUL0051</v>
          </cell>
        </row>
        <row r="1130">
          <cell r="F1130" t="str">
            <v>1007#24 Y/BLK</v>
          </cell>
          <cell r="G1130" t="str">
            <v>WIRE</v>
          </cell>
          <cell r="H1130" t="str">
            <v>WUL0050</v>
          </cell>
        </row>
        <row r="1131">
          <cell r="F1131" t="str">
            <v>1015#20 VIO</v>
          </cell>
          <cell r="G1131" t="str">
            <v>WIRE</v>
          </cell>
          <cell r="H1131" t="str">
            <v>WUL0046</v>
          </cell>
        </row>
        <row r="1132">
          <cell r="F1132" t="str">
            <v>2464#22(A)2C /BLK(YEONSEON)</v>
          </cell>
          <cell r="G1132" t="str">
            <v>WIRE</v>
          </cell>
          <cell r="H1132" t="str">
            <v>WUL0045</v>
          </cell>
        </row>
        <row r="1133">
          <cell r="F1133" t="str">
            <v>3321#18 BLU</v>
          </cell>
          <cell r="G1133" t="str">
            <v>WIRE</v>
          </cell>
          <cell r="H1133" t="str">
            <v>WUL0042</v>
          </cell>
        </row>
        <row r="1134">
          <cell r="F1134" t="str">
            <v>1015#20 WHT</v>
          </cell>
          <cell r="G1134" t="str">
            <v>WIRE</v>
          </cell>
          <cell r="H1134" t="str">
            <v>WUL0041</v>
          </cell>
        </row>
        <row r="1135">
          <cell r="F1135" t="str">
            <v>1015#20 GRY</v>
          </cell>
          <cell r="G1135" t="str">
            <v>WIRE</v>
          </cell>
          <cell r="H1135" t="str">
            <v>WUL0040</v>
          </cell>
        </row>
        <row r="1136">
          <cell r="F1136" t="str">
            <v>1015#20 YEL</v>
          </cell>
          <cell r="G1136" t="str">
            <v>WIRE</v>
          </cell>
          <cell r="H1136" t="str">
            <v>WUL0039</v>
          </cell>
        </row>
        <row r="1137">
          <cell r="F1137" t="str">
            <v>1015#20 RED</v>
          </cell>
          <cell r="G1137" t="str">
            <v>WIRE</v>
          </cell>
          <cell r="H1137" t="str">
            <v>WUL0038</v>
          </cell>
        </row>
        <row r="1138">
          <cell r="F1138" t="str">
            <v>1015#20 BLU</v>
          </cell>
          <cell r="G1138" t="str">
            <v>WIRE</v>
          </cell>
          <cell r="H1138" t="str">
            <v>WUL0037</v>
          </cell>
        </row>
        <row r="1139">
          <cell r="F1139" t="str">
            <v>1015#16 G/YEL</v>
          </cell>
          <cell r="G1139" t="str">
            <v>WIRE</v>
          </cell>
          <cell r="H1139" t="str">
            <v>WUL0036</v>
          </cell>
        </row>
        <row r="1140">
          <cell r="F1140" t="str">
            <v>1015#20 S/BLU</v>
          </cell>
          <cell r="G1140" t="str">
            <v>WIRE</v>
          </cell>
          <cell r="H1140" t="str">
            <v>WUL0035</v>
          </cell>
        </row>
        <row r="1141">
          <cell r="F1141" t="str">
            <v>1015#20 G/YEL</v>
          </cell>
          <cell r="G1141" t="str">
            <v>WIRE</v>
          </cell>
          <cell r="H1141" t="str">
            <v>WUL0034</v>
          </cell>
        </row>
        <row r="1142">
          <cell r="F1142" t="str">
            <v>1015#20 BRN</v>
          </cell>
          <cell r="G1142" t="str">
            <v>WIRE</v>
          </cell>
          <cell r="H1142" t="str">
            <v>WUL0033</v>
          </cell>
        </row>
        <row r="1143">
          <cell r="F1143" t="str">
            <v>1569#20 WHT</v>
          </cell>
          <cell r="G1143" t="str">
            <v>WIRE</v>
          </cell>
          <cell r="H1143" t="str">
            <v>WUL0031</v>
          </cell>
        </row>
        <row r="1144">
          <cell r="F1144" t="str">
            <v>1569#20 BLU</v>
          </cell>
          <cell r="G1144" t="str">
            <v>WIRE</v>
          </cell>
          <cell r="H1144" t="str">
            <v>WUL0030</v>
          </cell>
        </row>
        <row r="1145">
          <cell r="F1145" t="str">
            <v>1007#18 G/YEL</v>
          </cell>
          <cell r="G1145" t="str">
            <v>WIRE</v>
          </cell>
          <cell r="H1145" t="str">
            <v>WUL0025</v>
          </cell>
        </row>
        <row r="1146">
          <cell r="F1146" t="str">
            <v>1007#18 BLU</v>
          </cell>
          <cell r="G1146" t="str">
            <v>WIRE</v>
          </cell>
          <cell r="H1146" t="str">
            <v>WUL0024</v>
          </cell>
        </row>
        <row r="1147">
          <cell r="F1147" t="str">
            <v>1007#18 BLK</v>
          </cell>
          <cell r="G1147" t="str">
            <v>WIRE</v>
          </cell>
          <cell r="H1147" t="str">
            <v>WUL0023</v>
          </cell>
        </row>
        <row r="1148">
          <cell r="F1148" t="str">
            <v>1007#18 WHT</v>
          </cell>
          <cell r="G1148" t="str">
            <v>WIRE</v>
          </cell>
          <cell r="H1148" t="str">
            <v>WUL0021</v>
          </cell>
        </row>
        <row r="1149">
          <cell r="F1149" t="str">
            <v>1007#18 GRY</v>
          </cell>
          <cell r="G1149" t="str">
            <v>WIRE</v>
          </cell>
          <cell r="H1149" t="str">
            <v>WUL0020</v>
          </cell>
        </row>
        <row r="1150">
          <cell r="F1150" t="str">
            <v>1007#18 RED</v>
          </cell>
          <cell r="G1150" t="str">
            <v>WIRE</v>
          </cell>
          <cell r="H1150" t="str">
            <v>WUL0019</v>
          </cell>
        </row>
        <row r="1151">
          <cell r="F1151" t="str">
            <v>1007#18 YEL</v>
          </cell>
          <cell r="G1151" t="str">
            <v>WIRE</v>
          </cell>
          <cell r="H1151" t="str">
            <v>WUL0018</v>
          </cell>
        </row>
        <row r="1152">
          <cell r="F1152" t="str">
            <v>2095#26 6C</v>
          </cell>
          <cell r="G1152" t="str">
            <v>WIRE</v>
          </cell>
          <cell r="H1152" t="str">
            <v>WUL0017</v>
          </cell>
        </row>
        <row r="1153">
          <cell r="F1153" t="str">
            <v>1569#22 ORG</v>
          </cell>
          <cell r="G1153" t="str">
            <v>WIRE</v>
          </cell>
          <cell r="H1153" t="str">
            <v>WUL0016</v>
          </cell>
        </row>
        <row r="1154">
          <cell r="F1154" t="str">
            <v>1569#20 S/BLU</v>
          </cell>
          <cell r="G1154" t="str">
            <v>WIRE</v>
          </cell>
          <cell r="H1154" t="str">
            <v>WUL0015</v>
          </cell>
        </row>
        <row r="1155">
          <cell r="F1155" t="str">
            <v>1569#20 PNK</v>
          </cell>
          <cell r="G1155" t="str">
            <v>WIRE</v>
          </cell>
          <cell r="H1155" t="str">
            <v>WUL0014</v>
          </cell>
        </row>
        <row r="1156">
          <cell r="F1156" t="str">
            <v>1569#20 VIO</v>
          </cell>
          <cell r="G1156" t="str">
            <v>WIRE</v>
          </cell>
          <cell r="H1156" t="str">
            <v>WUL0013</v>
          </cell>
        </row>
        <row r="1157">
          <cell r="F1157" t="str">
            <v>1569#20 RED</v>
          </cell>
          <cell r="G1157" t="str">
            <v>WIRE</v>
          </cell>
          <cell r="H1157" t="str">
            <v>WUL0012</v>
          </cell>
        </row>
        <row r="1158">
          <cell r="F1158" t="str">
            <v>1569#20 YEL</v>
          </cell>
          <cell r="G1158" t="str">
            <v>WIRE</v>
          </cell>
          <cell r="H1158" t="str">
            <v>WUL0011</v>
          </cell>
        </row>
        <row r="1159">
          <cell r="F1159" t="str">
            <v>AVSSXF 2.50 R</v>
          </cell>
          <cell r="G1159" t="str">
            <v>GENERAL WIRE</v>
          </cell>
          <cell r="H1159" t="str">
            <v>WSX0250300</v>
          </cell>
        </row>
        <row r="1160">
          <cell r="F1160" t="str">
            <v>AVSSXF 2.50 W</v>
          </cell>
          <cell r="G1160" t="str">
            <v>GENERAL WIRE</v>
          </cell>
          <cell r="H1160" t="str">
            <v>WSX0250200</v>
          </cell>
        </row>
        <row r="1161">
          <cell r="F1161" t="str">
            <v>AVSSXF 2.50 B</v>
          </cell>
          <cell r="G1161" t="str">
            <v>GENERAL WIRE</v>
          </cell>
          <cell r="H1161" t="str">
            <v>WSX0250100</v>
          </cell>
        </row>
        <row r="1162">
          <cell r="F1162" t="str">
            <v>AVSSXF 2.00 P</v>
          </cell>
          <cell r="G1162" t="str">
            <v>GENERAL WIRE</v>
          </cell>
          <cell r="H1162" t="str">
            <v>WSX0200F00</v>
          </cell>
        </row>
        <row r="1163">
          <cell r="F1163" t="str">
            <v>AVSSXF 2.00 L</v>
          </cell>
          <cell r="G1163" t="str">
            <v>GENERAL WIRE</v>
          </cell>
          <cell r="H1163" t="str">
            <v>WSX0200700</v>
          </cell>
        </row>
        <row r="1164">
          <cell r="F1164" t="str">
            <v>AVSSXF 2.00 G</v>
          </cell>
          <cell r="G1164" t="str">
            <v>GENERAL WIRE</v>
          </cell>
          <cell r="H1164" t="str">
            <v>WSX0200400</v>
          </cell>
        </row>
        <row r="1165">
          <cell r="F1165" t="str">
            <v>AVSSXF 2.00 R</v>
          </cell>
          <cell r="G1165" t="str">
            <v>GENERAL WIRE</v>
          </cell>
          <cell r="H1165" t="str">
            <v>WSX0200300</v>
          </cell>
        </row>
        <row r="1166">
          <cell r="F1166" t="str">
            <v>AVSSXF 2.00 W</v>
          </cell>
          <cell r="G1166" t="str">
            <v>GENERAL WIRE</v>
          </cell>
          <cell r="H1166" t="str">
            <v>WSX0200200</v>
          </cell>
        </row>
        <row r="1167">
          <cell r="F1167" t="str">
            <v>AVSSXF 2.00 B</v>
          </cell>
          <cell r="G1167" t="str">
            <v>GENERAL WIRE</v>
          </cell>
          <cell r="H1167" t="str">
            <v>WSX0200100</v>
          </cell>
        </row>
        <row r="1168">
          <cell r="F1168" t="str">
            <v>AVSSXF 1.50 P</v>
          </cell>
          <cell r="G1168" t="str">
            <v>GENERAL WIRE</v>
          </cell>
          <cell r="H1168" t="str">
            <v>WSX0150F00</v>
          </cell>
        </row>
        <row r="1169">
          <cell r="F1169" t="str">
            <v>AVSSXF 1.50 L</v>
          </cell>
          <cell r="G1169" t="str">
            <v>GENERAL WIRE</v>
          </cell>
          <cell r="H1169" t="str">
            <v>WSX0150700</v>
          </cell>
        </row>
        <row r="1170">
          <cell r="F1170" t="str">
            <v>AVSSXF 1.50 R</v>
          </cell>
          <cell r="G1170" t="str">
            <v>GENERAL WIRE</v>
          </cell>
          <cell r="H1170" t="str">
            <v>WSX0150300</v>
          </cell>
        </row>
        <row r="1171">
          <cell r="F1171" t="str">
            <v>AVSSXF 1.50 W</v>
          </cell>
          <cell r="G1171" t="str">
            <v>GENERAL WIRE</v>
          </cell>
          <cell r="H1171" t="str">
            <v>WSX0150200</v>
          </cell>
        </row>
        <row r="1172">
          <cell r="F1172" t="str">
            <v>AVSSXF 1.50 B</v>
          </cell>
          <cell r="G1172" t="str">
            <v>GENERAL WIRE</v>
          </cell>
          <cell r="H1172" t="str">
            <v>WSX0150100</v>
          </cell>
        </row>
        <row r="1173">
          <cell r="F1173" t="str">
            <v>AVSSXF 1.25 P</v>
          </cell>
          <cell r="G1173" t="str">
            <v>GENERAL WIRE</v>
          </cell>
          <cell r="H1173" t="str">
            <v>WSX0125F00</v>
          </cell>
        </row>
        <row r="1174">
          <cell r="F1174" t="str">
            <v>AVSSXF 1.25 O</v>
          </cell>
          <cell r="G1174" t="str">
            <v>GENERAL WIRE</v>
          </cell>
          <cell r="H1174" t="str">
            <v>WSX0125A00</v>
          </cell>
        </row>
        <row r="1175">
          <cell r="F1175" t="str">
            <v>AVSSXF 01.25 GY</v>
          </cell>
          <cell r="G1175" t="str">
            <v>GENERAL WIRE</v>
          </cell>
          <cell r="H1175" t="str">
            <v>WSX0125800</v>
          </cell>
        </row>
        <row r="1176">
          <cell r="F1176" t="str">
            <v>AVSSXF 1.25 L</v>
          </cell>
          <cell r="G1176" t="str">
            <v>GENERAL WIRE</v>
          </cell>
          <cell r="H1176" t="str">
            <v>WSX0125700</v>
          </cell>
        </row>
        <row r="1177">
          <cell r="F1177" t="str">
            <v>AVSSXF 1.25 Y</v>
          </cell>
          <cell r="G1177" t="str">
            <v>GENERAL WIRE</v>
          </cell>
          <cell r="H1177" t="str">
            <v>WSX0125500</v>
          </cell>
        </row>
        <row r="1178">
          <cell r="F1178" t="str">
            <v>AVSSXF 1.25 G</v>
          </cell>
          <cell r="G1178" t="str">
            <v>GENERAL WIRE</v>
          </cell>
          <cell r="H1178" t="str">
            <v>WSX0125400</v>
          </cell>
        </row>
        <row r="1179">
          <cell r="F1179" t="str">
            <v>AVSSXF 1.25 R</v>
          </cell>
          <cell r="G1179" t="str">
            <v>GENERAL WIRE</v>
          </cell>
          <cell r="H1179" t="str">
            <v>WSX0125300</v>
          </cell>
        </row>
        <row r="1180">
          <cell r="F1180" t="str">
            <v>AVSSXF 1.25 W</v>
          </cell>
          <cell r="G1180" t="str">
            <v>GENERAL WIRE</v>
          </cell>
          <cell r="H1180" t="str">
            <v>WSX0125200</v>
          </cell>
        </row>
        <row r="1181">
          <cell r="F1181" t="str">
            <v>AVSSXF 1.25 B</v>
          </cell>
          <cell r="G1181" t="str">
            <v>GENERAL WIRE</v>
          </cell>
          <cell r="H1181" t="str">
            <v>WSX0125100</v>
          </cell>
        </row>
        <row r="1182">
          <cell r="F1182" t="str">
            <v>AVSSXF 1.00 P</v>
          </cell>
          <cell r="G1182" t="str">
            <v>GENERAL WIRE</v>
          </cell>
          <cell r="H1182" t="str">
            <v>WSX0100F00</v>
          </cell>
        </row>
        <row r="1183">
          <cell r="F1183" t="str">
            <v>AVSSXF 1.0 GR</v>
          </cell>
          <cell r="G1183" t="str">
            <v>GENERAL WIRE</v>
          </cell>
          <cell r="H1183" t="str">
            <v>WSX0100800</v>
          </cell>
        </row>
        <row r="1184">
          <cell r="F1184" t="str">
            <v>AVSSXF 1.00 Br</v>
          </cell>
          <cell r="G1184" t="str">
            <v>GENERAL WIRE</v>
          </cell>
          <cell r="H1184" t="str">
            <v>WSX0100600</v>
          </cell>
        </row>
        <row r="1185">
          <cell r="F1185" t="str">
            <v>AVSSXF 1.00 G</v>
          </cell>
          <cell r="G1185" t="str">
            <v>GENERAL WIRE</v>
          </cell>
          <cell r="H1185" t="str">
            <v>WSX0100400</v>
          </cell>
        </row>
        <row r="1186">
          <cell r="F1186" t="str">
            <v>AVSSXF 1.0 B</v>
          </cell>
          <cell r="G1186" t="str">
            <v>GENERAL WIRE</v>
          </cell>
          <cell r="H1186" t="str">
            <v>WSX0100100</v>
          </cell>
        </row>
        <row r="1187">
          <cell r="F1187" t="str">
            <v>AVSSXF 0.75 P</v>
          </cell>
          <cell r="G1187" t="str">
            <v>GENERAL WIRE</v>
          </cell>
          <cell r="H1187" t="str">
            <v>WSX0075F00</v>
          </cell>
        </row>
        <row r="1188">
          <cell r="F1188" t="str">
            <v>AVSSXF 0.75 O</v>
          </cell>
          <cell r="G1188" t="str">
            <v>GENERAL WIRE</v>
          </cell>
          <cell r="H1188" t="str">
            <v>WSX0075A00</v>
          </cell>
        </row>
        <row r="1189">
          <cell r="F1189" t="str">
            <v>AVSSXF 0.75 L</v>
          </cell>
          <cell r="G1189" t="str">
            <v>GENERAL WIRE</v>
          </cell>
          <cell r="H1189" t="str">
            <v>WSX0075700</v>
          </cell>
        </row>
        <row r="1190">
          <cell r="F1190" t="str">
            <v>AVSSXF 0.75 Br</v>
          </cell>
          <cell r="G1190" t="str">
            <v>GENERAL WIRE</v>
          </cell>
          <cell r="H1190" t="str">
            <v>WSX0075600</v>
          </cell>
        </row>
        <row r="1191">
          <cell r="F1191" t="str">
            <v>AVSSXF 0.75 Y</v>
          </cell>
          <cell r="G1191" t="str">
            <v>GENERAL WIRE</v>
          </cell>
          <cell r="H1191" t="str">
            <v>WSX0075500</v>
          </cell>
        </row>
        <row r="1192">
          <cell r="F1192" t="str">
            <v>AVSSXF 0.75 G</v>
          </cell>
          <cell r="G1192" t="str">
            <v>GENERAL WIRE</v>
          </cell>
          <cell r="H1192" t="str">
            <v>WSX0075400</v>
          </cell>
        </row>
        <row r="1193">
          <cell r="F1193" t="str">
            <v>AVSSXF 0.75 R</v>
          </cell>
          <cell r="G1193" t="str">
            <v>GENERAL WIRE</v>
          </cell>
          <cell r="H1193" t="str">
            <v>WSX0075300</v>
          </cell>
        </row>
        <row r="1194">
          <cell r="F1194" t="str">
            <v>AVSSXF 0.75 W</v>
          </cell>
          <cell r="G1194" t="str">
            <v>GENERAL WIRE</v>
          </cell>
          <cell r="H1194" t="str">
            <v>WSX0075200</v>
          </cell>
        </row>
        <row r="1195">
          <cell r="F1195" t="str">
            <v>AVSSXF 0.75 B</v>
          </cell>
          <cell r="G1195" t="str">
            <v>GENERAL WIRE</v>
          </cell>
          <cell r="H1195" t="str">
            <v>WSX0075100</v>
          </cell>
        </row>
        <row r="1196">
          <cell r="F1196" t="str">
            <v>AVSSXF 0.50 PB</v>
          </cell>
          <cell r="G1196" t="str">
            <v>GENERAL WIRE</v>
          </cell>
          <cell r="H1196" t="str">
            <v>WSX0050F10</v>
          </cell>
        </row>
        <row r="1197">
          <cell r="F1197" t="str">
            <v>AVSSXF 0.5 P</v>
          </cell>
          <cell r="G1197" t="str">
            <v>GENERAL WIRE</v>
          </cell>
          <cell r="H1197" t="str">
            <v>WSX0050F00</v>
          </cell>
        </row>
        <row r="1198">
          <cell r="F1198" t="str">
            <v>AVSSXF 0.50 OB</v>
          </cell>
          <cell r="G1198" t="str">
            <v>GENERAL WIRE</v>
          </cell>
          <cell r="H1198" t="str">
            <v>WSX0050A10</v>
          </cell>
        </row>
        <row r="1199">
          <cell r="F1199" t="str">
            <v>AVSSXF 0.50 O</v>
          </cell>
          <cell r="G1199" t="str">
            <v>GENERAL WIRE</v>
          </cell>
          <cell r="H1199" t="str">
            <v>WSX0050A00</v>
          </cell>
        </row>
        <row r="1200">
          <cell r="F1200" t="str">
            <v>AVSSXF 0.50 GrB</v>
          </cell>
          <cell r="G1200" t="str">
            <v>GENERAL WIRE</v>
          </cell>
          <cell r="H1200" t="str">
            <v>WSX0050810</v>
          </cell>
        </row>
        <row r="1201">
          <cell r="F1201" t="str">
            <v>AVSSXF 0.50 Gr</v>
          </cell>
          <cell r="G1201" t="str">
            <v>GENERAL WIRE</v>
          </cell>
          <cell r="H1201" t="str">
            <v>WSX0050800</v>
          </cell>
        </row>
        <row r="1202">
          <cell r="F1202" t="str">
            <v>AVSSXF 0.50 LO</v>
          </cell>
          <cell r="G1202" t="str">
            <v>GENERAL WIRE</v>
          </cell>
          <cell r="H1202" t="str">
            <v>WSX00507A0</v>
          </cell>
        </row>
        <row r="1203">
          <cell r="F1203" t="str">
            <v>AVSSXF 0.50 LB</v>
          </cell>
          <cell r="G1203" t="str">
            <v>GENERAL WIRE</v>
          </cell>
          <cell r="H1203" t="str">
            <v>WSX0050710</v>
          </cell>
        </row>
        <row r="1204">
          <cell r="F1204" t="str">
            <v>AVSSXF 0.50 L</v>
          </cell>
          <cell r="G1204" t="str">
            <v>GENERAL WIRE</v>
          </cell>
          <cell r="H1204" t="str">
            <v>WSX0050700</v>
          </cell>
        </row>
        <row r="1205">
          <cell r="F1205" t="str">
            <v>AVSSXF 0.5 BR/O</v>
          </cell>
          <cell r="G1205" t="str">
            <v>GENERAL WIRE</v>
          </cell>
          <cell r="H1205" t="str">
            <v>WSX00506A0</v>
          </cell>
        </row>
        <row r="1206">
          <cell r="F1206" t="str">
            <v>AVSSXF 0.5 BR/B</v>
          </cell>
          <cell r="G1206" t="str">
            <v>GENERAL WIRE</v>
          </cell>
          <cell r="H1206" t="str">
            <v>WSX0050610</v>
          </cell>
        </row>
        <row r="1207">
          <cell r="F1207" t="str">
            <v>AVSSXF 0.50 Br</v>
          </cell>
          <cell r="G1207" t="str">
            <v>GENERAL WIRE</v>
          </cell>
          <cell r="H1207" t="str">
            <v>WSX0050600</v>
          </cell>
        </row>
        <row r="1208">
          <cell r="F1208" t="str">
            <v>AVSSXF 0.5 Y/O</v>
          </cell>
          <cell r="G1208" t="str">
            <v>GENERAL WIRE</v>
          </cell>
          <cell r="H1208" t="str">
            <v>WSX00505A0</v>
          </cell>
        </row>
        <row r="1209">
          <cell r="F1209" t="str">
            <v>AVSSXF 0.5 Y/B</v>
          </cell>
          <cell r="G1209" t="str">
            <v>GENERAL WIRE</v>
          </cell>
          <cell r="H1209" t="str">
            <v>WSX0050510</v>
          </cell>
        </row>
        <row r="1210">
          <cell r="F1210" t="str">
            <v>AVSSXF 0.50 Y</v>
          </cell>
          <cell r="G1210" t="str">
            <v>GENERAL WIRE</v>
          </cell>
          <cell r="H1210" t="str">
            <v>WSX0050500</v>
          </cell>
        </row>
        <row r="1211">
          <cell r="F1211" t="str">
            <v>AVSSXF 0.50 GO</v>
          </cell>
          <cell r="G1211" t="str">
            <v>GENERAL WIRE</v>
          </cell>
          <cell r="H1211" t="str">
            <v>WSX00504A0</v>
          </cell>
        </row>
        <row r="1212">
          <cell r="F1212" t="str">
            <v>AVSSXF 0.50 GB</v>
          </cell>
          <cell r="G1212" t="str">
            <v>GENERAL WIRE</v>
          </cell>
          <cell r="H1212" t="str">
            <v>WSX0050410</v>
          </cell>
        </row>
        <row r="1213">
          <cell r="F1213" t="str">
            <v>AVSSXF 0.50 G</v>
          </cell>
          <cell r="G1213" t="str">
            <v>GENERAL WIRE</v>
          </cell>
          <cell r="H1213" t="str">
            <v>WSX0050400</v>
          </cell>
        </row>
        <row r="1214">
          <cell r="F1214" t="str">
            <v>AVSSXF 0.5 R/O</v>
          </cell>
          <cell r="G1214" t="str">
            <v>GENERAL WIRE</v>
          </cell>
          <cell r="H1214" t="str">
            <v>WSX00503A0</v>
          </cell>
        </row>
        <row r="1215">
          <cell r="F1215" t="str">
            <v>AVSSXF 0.5 R/B</v>
          </cell>
          <cell r="G1215" t="str">
            <v>GENERAL WIRE</v>
          </cell>
          <cell r="H1215" t="str">
            <v>WSX0050310</v>
          </cell>
        </row>
        <row r="1216">
          <cell r="F1216" t="str">
            <v>AVSSXF 0.50 R</v>
          </cell>
          <cell r="G1216" t="str">
            <v>GENERAL WIRE</v>
          </cell>
          <cell r="H1216" t="str">
            <v>WSX0050300</v>
          </cell>
        </row>
        <row r="1217">
          <cell r="F1217" t="str">
            <v>AVSSXF 0.50 WO</v>
          </cell>
          <cell r="G1217" t="str">
            <v>GENERAL WIRE</v>
          </cell>
          <cell r="H1217" t="str">
            <v>WSX00502A0</v>
          </cell>
        </row>
        <row r="1218">
          <cell r="F1218" t="str">
            <v>AVSSXF 0.50 WB</v>
          </cell>
          <cell r="G1218" t="str">
            <v>GENERAL WIRE</v>
          </cell>
          <cell r="H1218" t="str">
            <v>WSX0050210</v>
          </cell>
        </row>
        <row r="1219">
          <cell r="F1219" t="str">
            <v>AVSSXF 0.50 W</v>
          </cell>
          <cell r="G1219" t="str">
            <v>GENERAL WIRE</v>
          </cell>
          <cell r="H1219" t="str">
            <v>WSX0050200</v>
          </cell>
        </row>
        <row r="1220">
          <cell r="F1220" t="str">
            <v>AVSSXF 0.50 BO</v>
          </cell>
          <cell r="G1220" t="str">
            <v>GENERAL WIRE</v>
          </cell>
          <cell r="H1220" t="str">
            <v>WSX00501A0</v>
          </cell>
        </row>
        <row r="1221">
          <cell r="F1221" t="str">
            <v>AVSSXF 0.5 B</v>
          </cell>
          <cell r="G1221" t="str">
            <v>GENERAL WIRE</v>
          </cell>
          <cell r="H1221" t="str">
            <v>WSX0050100</v>
          </cell>
        </row>
        <row r="1222">
          <cell r="F1222" t="str">
            <v>AVSSXF 0.30 PB</v>
          </cell>
          <cell r="G1222" t="str">
            <v>GENERAL WIRE</v>
          </cell>
          <cell r="H1222" t="str">
            <v>WSX0030F10</v>
          </cell>
        </row>
        <row r="1223">
          <cell r="F1223" t="str">
            <v>AVSSXF 0.3 P</v>
          </cell>
          <cell r="G1223" t="str">
            <v>GENERAL WIRE</v>
          </cell>
          <cell r="H1223" t="str">
            <v>WSX0030F00</v>
          </cell>
        </row>
        <row r="1224">
          <cell r="F1224" t="str">
            <v>AVSSXF 0.3 O</v>
          </cell>
          <cell r="G1224" t="str">
            <v>GENERAL WIRE</v>
          </cell>
          <cell r="H1224" t="str">
            <v>WSX0030A00</v>
          </cell>
        </row>
        <row r="1225">
          <cell r="F1225" t="str">
            <v>AVSSXF 0.30 GrB</v>
          </cell>
          <cell r="G1225" t="str">
            <v>GENERAL WIRE</v>
          </cell>
          <cell r="H1225" t="str">
            <v>WSX0030810</v>
          </cell>
        </row>
        <row r="1226">
          <cell r="F1226" t="str">
            <v>AVSSXF 0.3 GR</v>
          </cell>
          <cell r="G1226" t="str">
            <v>GENERAL WIRE</v>
          </cell>
          <cell r="H1226" t="str">
            <v>WSX0030800</v>
          </cell>
        </row>
        <row r="1227">
          <cell r="F1227" t="str">
            <v>AVSSXF 0.30 LO</v>
          </cell>
          <cell r="G1227" t="str">
            <v>GENERAL WIRE</v>
          </cell>
          <cell r="H1227" t="str">
            <v>WSX00307A0</v>
          </cell>
        </row>
        <row r="1228">
          <cell r="F1228" t="str">
            <v>AVSSXF 0.3 L/B</v>
          </cell>
          <cell r="G1228" t="str">
            <v>GENERAL WIRE</v>
          </cell>
          <cell r="H1228" t="str">
            <v>WSX0030710</v>
          </cell>
        </row>
        <row r="1229">
          <cell r="F1229" t="str">
            <v>AVSSXF 0.3 L</v>
          </cell>
          <cell r="G1229" t="str">
            <v>GENERAL WIRE</v>
          </cell>
          <cell r="H1229" t="str">
            <v>WSX0030700</v>
          </cell>
        </row>
        <row r="1230">
          <cell r="F1230" t="str">
            <v>AVSSXF 0.30 BrO</v>
          </cell>
          <cell r="G1230" t="str">
            <v>GENERAL WIRE</v>
          </cell>
          <cell r="H1230" t="str">
            <v>WSX00306A0</v>
          </cell>
        </row>
        <row r="1231">
          <cell r="F1231" t="str">
            <v>AVSSXF 0.30 BrB</v>
          </cell>
          <cell r="G1231" t="str">
            <v>GENERAL WIRE</v>
          </cell>
          <cell r="H1231" t="str">
            <v>WSX0030610</v>
          </cell>
        </row>
        <row r="1232">
          <cell r="F1232" t="str">
            <v>AVSSXF 0.3 BR</v>
          </cell>
          <cell r="G1232" t="str">
            <v>GENERAL WIRE</v>
          </cell>
          <cell r="H1232" t="str">
            <v>WSX0030600</v>
          </cell>
        </row>
        <row r="1233">
          <cell r="F1233" t="str">
            <v>AVSSXF 0.30 YO</v>
          </cell>
          <cell r="G1233" t="str">
            <v>GENERAL WIRE</v>
          </cell>
          <cell r="H1233" t="str">
            <v>WSX00305A0</v>
          </cell>
        </row>
        <row r="1234">
          <cell r="F1234" t="str">
            <v>AVSSXF 0.30 YB</v>
          </cell>
          <cell r="G1234" t="str">
            <v>GENERAL WIRE</v>
          </cell>
          <cell r="H1234" t="str">
            <v>WSX0030510</v>
          </cell>
        </row>
        <row r="1235">
          <cell r="F1235" t="str">
            <v>AVSSXF 0.3 Y</v>
          </cell>
          <cell r="G1235" t="str">
            <v>GENERAL WIRE</v>
          </cell>
          <cell r="H1235" t="str">
            <v>WSX0030500</v>
          </cell>
        </row>
        <row r="1236">
          <cell r="F1236" t="str">
            <v>AVSSXF 0.30 GO</v>
          </cell>
          <cell r="G1236" t="str">
            <v>GENERAL WIRE</v>
          </cell>
          <cell r="H1236" t="str">
            <v>WSX00304A0</v>
          </cell>
        </row>
        <row r="1237">
          <cell r="F1237" t="str">
            <v>AVSSXF 0.3 G</v>
          </cell>
          <cell r="G1237" t="str">
            <v>GENERAL WIRE</v>
          </cell>
          <cell r="H1237" t="str">
            <v>WSX0030400</v>
          </cell>
        </row>
        <row r="1238">
          <cell r="F1238" t="str">
            <v>AVSSXF 0.30 RB</v>
          </cell>
          <cell r="G1238" t="str">
            <v>GENERAL WIRE</v>
          </cell>
          <cell r="H1238" t="str">
            <v>WSX0030310</v>
          </cell>
        </row>
        <row r="1239">
          <cell r="F1239" t="str">
            <v>AVSSXF 0.3 R</v>
          </cell>
          <cell r="G1239" t="str">
            <v>GENERAL WIRE</v>
          </cell>
          <cell r="H1239" t="str">
            <v>WSX0030300</v>
          </cell>
        </row>
        <row r="1240">
          <cell r="F1240" t="str">
            <v>AVSSXF 0.30 WO</v>
          </cell>
          <cell r="G1240" t="str">
            <v>GENERAL WIRE</v>
          </cell>
          <cell r="H1240" t="str">
            <v>WSX00302A0</v>
          </cell>
        </row>
        <row r="1241">
          <cell r="F1241" t="str">
            <v>AVSSXF 0.30 WB</v>
          </cell>
          <cell r="G1241" t="str">
            <v>GENERAL WIRE</v>
          </cell>
          <cell r="H1241" t="str">
            <v>WSX0030210</v>
          </cell>
        </row>
        <row r="1242">
          <cell r="F1242" t="str">
            <v>AVSSXF 0.3 W</v>
          </cell>
          <cell r="G1242" t="str">
            <v>GENERAL WIRE</v>
          </cell>
          <cell r="H1242" t="str">
            <v>WSX0030200</v>
          </cell>
        </row>
        <row r="1243">
          <cell r="F1243" t="str">
            <v>AVSSXF 0.3 B/O</v>
          </cell>
          <cell r="G1243" t="str">
            <v>GENERAL WIRE</v>
          </cell>
          <cell r="H1243" t="str">
            <v>WSX00301A0</v>
          </cell>
        </row>
        <row r="1244">
          <cell r="F1244" t="str">
            <v>AVSSXF 0.3 B</v>
          </cell>
          <cell r="G1244" t="str">
            <v>GENERAL WIRE</v>
          </cell>
          <cell r="H1244" t="str">
            <v>WSX0030100</v>
          </cell>
        </row>
        <row r="1245">
          <cell r="F1245" t="str">
            <v>AVSS 2.00 R</v>
          </cell>
          <cell r="G1245" t="str">
            <v>GENERAL WIRE</v>
          </cell>
          <cell r="H1245" t="str">
            <v>WSS0200300</v>
          </cell>
        </row>
        <row r="1246">
          <cell r="F1246" t="str">
            <v>AVSS 1.25 P</v>
          </cell>
          <cell r="G1246" t="str">
            <v>GENERAL WIRE</v>
          </cell>
          <cell r="H1246" t="str">
            <v>WSS0125F00</v>
          </cell>
        </row>
        <row r="1247">
          <cell r="F1247" t="str">
            <v>AVSS 1.25 O</v>
          </cell>
          <cell r="G1247" t="str">
            <v>GENERAL WIRE</v>
          </cell>
          <cell r="H1247" t="str">
            <v>WSS0125A00</v>
          </cell>
        </row>
        <row r="1248">
          <cell r="F1248" t="str">
            <v>AVSS 1.25 GR</v>
          </cell>
          <cell r="G1248" t="str">
            <v>GENERAL WIRE</v>
          </cell>
          <cell r="H1248" t="str">
            <v>WSS0125800</v>
          </cell>
        </row>
        <row r="1249">
          <cell r="F1249" t="str">
            <v>AVSS 1.25 L</v>
          </cell>
          <cell r="G1249" t="str">
            <v>GENERAL WIRE</v>
          </cell>
          <cell r="H1249" t="str">
            <v>WSS0125700</v>
          </cell>
        </row>
        <row r="1250">
          <cell r="F1250" t="str">
            <v>AVSS 1.25 BR</v>
          </cell>
          <cell r="G1250" t="str">
            <v>GENERAL WIRE</v>
          </cell>
          <cell r="H1250" t="str">
            <v>WSS0125600</v>
          </cell>
        </row>
        <row r="1251">
          <cell r="F1251" t="str">
            <v>AVSS 1.25 Y</v>
          </cell>
          <cell r="G1251" t="str">
            <v>GENERAL WIRE</v>
          </cell>
          <cell r="H1251" t="str">
            <v>WSS0125500</v>
          </cell>
        </row>
        <row r="1252">
          <cell r="F1252" t="str">
            <v>AVSS 1.25 G</v>
          </cell>
          <cell r="G1252" t="str">
            <v>GENERAL WIRE</v>
          </cell>
          <cell r="H1252" t="str">
            <v>WSS0125400</v>
          </cell>
        </row>
        <row r="1253">
          <cell r="F1253" t="str">
            <v>AVSS 1.25 R</v>
          </cell>
          <cell r="G1253" t="str">
            <v>GENERAL WIRE</v>
          </cell>
          <cell r="H1253" t="str">
            <v>WSS0125300</v>
          </cell>
        </row>
        <row r="1254">
          <cell r="F1254" t="str">
            <v>AVSS 1.25 W</v>
          </cell>
          <cell r="G1254" t="str">
            <v>GENERAL WIRE</v>
          </cell>
          <cell r="H1254" t="str">
            <v>WSS0125200</v>
          </cell>
        </row>
        <row r="1255">
          <cell r="F1255" t="str">
            <v>AVSS 1.25 B/O</v>
          </cell>
          <cell r="G1255" t="str">
            <v>GENERAL WIRE</v>
          </cell>
          <cell r="H1255" t="str">
            <v>WSS01251A0</v>
          </cell>
        </row>
        <row r="1256">
          <cell r="F1256" t="str">
            <v>AVSS 1.25 B</v>
          </cell>
          <cell r="G1256" t="str">
            <v>GENERAL WIRE</v>
          </cell>
          <cell r="H1256" t="str">
            <v>WSS0125100</v>
          </cell>
        </row>
        <row r="1257">
          <cell r="F1257" t="str">
            <v>AVSS 0.85 P</v>
          </cell>
          <cell r="G1257" t="str">
            <v>GENERAL WIRE</v>
          </cell>
          <cell r="H1257" t="str">
            <v>WSS0085F00</v>
          </cell>
        </row>
        <row r="1258">
          <cell r="F1258" t="str">
            <v>AVSS 0.85 O</v>
          </cell>
          <cell r="G1258" t="str">
            <v>GENERAL WIRE</v>
          </cell>
          <cell r="H1258" t="str">
            <v>WSS0085A00</v>
          </cell>
        </row>
        <row r="1259">
          <cell r="F1259" t="str">
            <v>AVSS 0.85 GR</v>
          </cell>
          <cell r="G1259" t="str">
            <v>GENERAL WIRE</v>
          </cell>
          <cell r="H1259" t="str">
            <v>WSS0085800</v>
          </cell>
        </row>
        <row r="1260">
          <cell r="F1260" t="str">
            <v>AVSS 0.85 L</v>
          </cell>
          <cell r="G1260" t="str">
            <v>GENERAL WIRE</v>
          </cell>
          <cell r="H1260" t="str">
            <v>WSS0085700</v>
          </cell>
        </row>
        <row r="1261">
          <cell r="F1261" t="str">
            <v>AVSS 0.85 BR</v>
          </cell>
          <cell r="G1261" t="str">
            <v>GENERAL WIRE</v>
          </cell>
          <cell r="H1261" t="str">
            <v>WSS0085600</v>
          </cell>
        </row>
        <row r="1262">
          <cell r="F1262" t="str">
            <v>AVSS 0.85 Y</v>
          </cell>
          <cell r="G1262" t="str">
            <v>GENERAL WIRE</v>
          </cell>
          <cell r="H1262" t="str">
            <v>WSS0085500</v>
          </cell>
        </row>
        <row r="1263">
          <cell r="F1263" t="str">
            <v>AVSS 0.85 G</v>
          </cell>
          <cell r="G1263" t="str">
            <v>GENERAL WIRE</v>
          </cell>
          <cell r="H1263" t="str">
            <v>WSS0085400</v>
          </cell>
        </row>
        <row r="1264">
          <cell r="F1264" t="str">
            <v>AVSS 0.85 R</v>
          </cell>
          <cell r="G1264" t="str">
            <v>GENERAL WIRE</v>
          </cell>
          <cell r="H1264" t="str">
            <v>WSS0085300</v>
          </cell>
        </row>
        <row r="1265">
          <cell r="F1265" t="str">
            <v>AVSS 0.85 W</v>
          </cell>
          <cell r="G1265" t="str">
            <v>GENERAL WIRE</v>
          </cell>
          <cell r="H1265" t="str">
            <v>WSS0085200</v>
          </cell>
        </row>
        <row r="1266">
          <cell r="F1266" t="str">
            <v>AVSS 0.85 B</v>
          </cell>
          <cell r="G1266" t="str">
            <v>GENERAL WIRE</v>
          </cell>
          <cell r="H1266" t="str">
            <v>WSS0085100</v>
          </cell>
        </row>
        <row r="1267">
          <cell r="F1267" t="str">
            <v>AVSS 0.5 P/B</v>
          </cell>
          <cell r="G1267" t="str">
            <v>GENERAL WIRE</v>
          </cell>
          <cell r="H1267" t="str">
            <v>WSS0050F10</v>
          </cell>
        </row>
        <row r="1268">
          <cell r="F1268" t="str">
            <v>AVSS 0.5 P</v>
          </cell>
          <cell r="G1268" t="str">
            <v>GENERAL WIRE</v>
          </cell>
          <cell r="H1268" t="str">
            <v>WSS0050F00</v>
          </cell>
        </row>
        <row r="1269">
          <cell r="F1269" t="str">
            <v>AVSS 0.5 O</v>
          </cell>
          <cell r="G1269" t="str">
            <v>GENERAL WIRE</v>
          </cell>
          <cell r="H1269" t="str">
            <v>WSS0050A00</v>
          </cell>
        </row>
        <row r="1270">
          <cell r="F1270" t="str">
            <v>AVSS 0.5 GR/O</v>
          </cell>
          <cell r="G1270" t="str">
            <v>GENERAL WIRE</v>
          </cell>
          <cell r="H1270" t="str">
            <v>WSS00508A0</v>
          </cell>
        </row>
        <row r="1271">
          <cell r="F1271" t="str">
            <v>AVSS 0.5 Gr/B</v>
          </cell>
          <cell r="G1271" t="str">
            <v>GENERAL WIRE</v>
          </cell>
          <cell r="H1271" t="str">
            <v>WSS0050810</v>
          </cell>
        </row>
        <row r="1272">
          <cell r="F1272" t="str">
            <v>AVSS 0.5 Gr</v>
          </cell>
          <cell r="G1272" t="str">
            <v>GENERAL WIRE</v>
          </cell>
          <cell r="H1272" t="str">
            <v>WSS0050800</v>
          </cell>
        </row>
        <row r="1273">
          <cell r="F1273" t="str">
            <v>AVSS 0.50 LB</v>
          </cell>
          <cell r="G1273" t="str">
            <v>GENERAL WIRE</v>
          </cell>
          <cell r="H1273" t="str">
            <v>WSS0050710</v>
          </cell>
        </row>
        <row r="1274">
          <cell r="F1274" t="str">
            <v>AVSS 0.5 L</v>
          </cell>
          <cell r="G1274" t="str">
            <v>GENERAL WIRE</v>
          </cell>
          <cell r="H1274" t="str">
            <v>WSS0050700</v>
          </cell>
        </row>
        <row r="1275">
          <cell r="F1275" t="str">
            <v>AVSS 0.5 BR/B</v>
          </cell>
          <cell r="G1275" t="str">
            <v>GENERAL WIRE</v>
          </cell>
          <cell r="H1275" t="str">
            <v>WSS0050610</v>
          </cell>
        </row>
        <row r="1276">
          <cell r="F1276" t="str">
            <v>AVSS 0.5 BR</v>
          </cell>
          <cell r="G1276" t="str">
            <v>GENERAL WIRE</v>
          </cell>
          <cell r="H1276" t="str">
            <v>WSS0050600</v>
          </cell>
        </row>
        <row r="1277">
          <cell r="F1277" t="str">
            <v>AVSS 0.5 Y/B</v>
          </cell>
          <cell r="G1277" t="str">
            <v>GENERAL WIRE</v>
          </cell>
          <cell r="H1277" t="str">
            <v>WSS0050510</v>
          </cell>
        </row>
        <row r="1278">
          <cell r="F1278" t="str">
            <v>AVSS 0.5 Y</v>
          </cell>
          <cell r="G1278" t="str">
            <v>GENERAL WIRE</v>
          </cell>
          <cell r="H1278" t="str">
            <v>WSS0050500</v>
          </cell>
        </row>
        <row r="1279">
          <cell r="F1279" t="str">
            <v>AVSS 0.5 G/B</v>
          </cell>
          <cell r="G1279" t="str">
            <v>GENERAL WIRE</v>
          </cell>
          <cell r="H1279" t="str">
            <v>WSS0050410</v>
          </cell>
        </row>
        <row r="1280">
          <cell r="F1280" t="str">
            <v>AVSS 0.5 G</v>
          </cell>
          <cell r="G1280" t="str">
            <v>GENERAL WIRE</v>
          </cell>
          <cell r="H1280" t="str">
            <v>WSS0050400</v>
          </cell>
        </row>
        <row r="1281">
          <cell r="F1281" t="str">
            <v>AVSS 0.5 R/O</v>
          </cell>
          <cell r="G1281" t="str">
            <v>GENERAL WIRE</v>
          </cell>
          <cell r="H1281" t="str">
            <v>WSS00503A0</v>
          </cell>
        </row>
        <row r="1282">
          <cell r="F1282" t="str">
            <v>AVSS 0.5 R/B</v>
          </cell>
          <cell r="G1282" t="str">
            <v>GENERAL WIRE</v>
          </cell>
          <cell r="H1282" t="str">
            <v>WSS0050310</v>
          </cell>
        </row>
        <row r="1283">
          <cell r="F1283" t="str">
            <v>AVSS 0.5 R</v>
          </cell>
          <cell r="G1283" t="str">
            <v>GENERAL WIRE</v>
          </cell>
          <cell r="H1283" t="str">
            <v>WSS0050300</v>
          </cell>
        </row>
        <row r="1284">
          <cell r="F1284" t="str">
            <v>AVSS 0.5 W/B</v>
          </cell>
          <cell r="G1284" t="str">
            <v>GENERAL WIRE</v>
          </cell>
          <cell r="H1284" t="str">
            <v>WSS0050210</v>
          </cell>
        </row>
        <row r="1285">
          <cell r="F1285" t="str">
            <v>AVSS 0.5 W</v>
          </cell>
          <cell r="G1285" t="str">
            <v>GENERAL WIRE</v>
          </cell>
          <cell r="H1285" t="str">
            <v>WSS0050200</v>
          </cell>
        </row>
        <row r="1286">
          <cell r="F1286" t="str">
            <v>AVSS 0.50 BO</v>
          </cell>
          <cell r="G1286" t="str">
            <v>GENERAL WIRE</v>
          </cell>
          <cell r="H1286" t="str">
            <v>WSS00501A0</v>
          </cell>
        </row>
        <row r="1287">
          <cell r="F1287" t="str">
            <v>AVSS 0.5 B</v>
          </cell>
          <cell r="G1287" t="str">
            <v>GENERAL WIRE</v>
          </cell>
          <cell r="H1287" t="str">
            <v>WSS0050100</v>
          </cell>
        </row>
        <row r="1288">
          <cell r="F1288" t="str">
            <v>AVSS 0.3 P/B</v>
          </cell>
          <cell r="G1288" t="str">
            <v>GENERAL WIRE</v>
          </cell>
          <cell r="H1288" t="str">
            <v>WSS0030F10</v>
          </cell>
        </row>
        <row r="1289">
          <cell r="F1289" t="str">
            <v>AVSS 0.3 P</v>
          </cell>
          <cell r="G1289" t="str">
            <v>GENERAL WIRE</v>
          </cell>
          <cell r="H1289" t="str">
            <v>WSS0030F00</v>
          </cell>
        </row>
        <row r="1290">
          <cell r="F1290" t="str">
            <v>AVSS 0.3 O/B</v>
          </cell>
          <cell r="G1290" t="str">
            <v>GENERAL WIRE</v>
          </cell>
          <cell r="H1290" t="str">
            <v>WSS0030A10</v>
          </cell>
        </row>
        <row r="1291">
          <cell r="F1291" t="str">
            <v>AVSS 0.3 O</v>
          </cell>
          <cell r="G1291" t="str">
            <v>GENERAL WIRE</v>
          </cell>
          <cell r="H1291" t="str">
            <v>WSS0030A00</v>
          </cell>
        </row>
        <row r="1292">
          <cell r="F1292" t="str">
            <v>AVSS 0.3 GR/O</v>
          </cell>
          <cell r="G1292" t="str">
            <v>GENERAL WIRE</v>
          </cell>
          <cell r="H1292" t="str">
            <v>WSS00308A0</v>
          </cell>
        </row>
        <row r="1293">
          <cell r="F1293" t="str">
            <v>AVSS 0.3 GR/B</v>
          </cell>
          <cell r="G1293" t="str">
            <v>GENERAL WIRE</v>
          </cell>
          <cell r="H1293" t="str">
            <v>WSS0030810</v>
          </cell>
        </row>
        <row r="1294">
          <cell r="F1294" t="str">
            <v>AVSS 0.3 GR</v>
          </cell>
          <cell r="G1294" t="str">
            <v>GENERAL WIRE</v>
          </cell>
          <cell r="H1294" t="str">
            <v>WSS0030800</v>
          </cell>
        </row>
        <row r="1295">
          <cell r="F1295" t="str">
            <v>AVSS 0.3 L/O</v>
          </cell>
          <cell r="G1295" t="str">
            <v>GENERAL WIRE</v>
          </cell>
          <cell r="H1295" t="str">
            <v>WSS00307A0</v>
          </cell>
        </row>
        <row r="1296">
          <cell r="F1296" t="str">
            <v>AVSS 0.3 L/B</v>
          </cell>
          <cell r="G1296" t="str">
            <v>GENERAL WIRE</v>
          </cell>
          <cell r="H1296" t="str">
            <v>WSS0030710</v>
          </cell>
        </row>
        <row r="1297">
          <cell r="F1297" t="str">
            <v>AVSS 0.3 L</v>
          </cell>
          <cell r="G1297" t="str">
            <v>GENERAL WIRE</v>
          </cell>
          <cell r="H1297" t="str">
            <v>WSS0030700</v>
          </cell>
        </row>
        <row r="1298">
          <cell r="F1298" t="str">
            <v>AVSS 0.3 BR/O</v>
          </cell>
          <cell r="G1298" t="str">
            <v>GENERAL WIRE</v>
          </cell>
          <cell r="H1298" t="str">
            <v>WSS00306A0</v>
          </cell>
        </row>
        <row r="1299">
          <cell r="F1299" t="str">
            <v>AVSS 0.3 BR/B</v>
          </cell>
          <cell r="G1299" t="str">
            <v>GENERAL WIRE</v>
          </cell>
          <cell r="H1299" t="str">
            <v>WSS0030610</v>
          </cell>
        </row>
        <row r="1300">
          <cell r="F1300" t="str">
            <v>AVSS 0.3 BR</v>
          </cell>
          <cell r="G1300" t="str">
            <v>GENERAL WIRE</v>
          </cell>
          <cell r="H1300" t="str">
            <v>WSS0030600</v>
          </cell>
        </row>
        <row r="1301">
          <cell r="F1301" t="str">
            <v>AVSS 0.3 Y/O</v>
          </cell>
          <cell r="G1301" t="str">
            <v>GENERAL WIRE</v>
          </cell>
          <cell r="H1301" t="str">
            <v>WSS00305A0</v>
          </cell>
        </row>
        <row r="1302">
          <cell r="F1302" t="str">
            <v>AVSS 0.3 Y/B</v>
          </cell>
          <cell r="G1302" t="str">
            <v>GENERAL WIRE</v>
          </cell>
          <cell r="H1302" t="str">
            <v>WSS0030510</v>
          </cell>
        </row>
        <row r="1303">
          <cell r="F1303" t="str">
            <v>AVSS 0.3 Y</v>
          </cell>
          <cell r="G1303" t="str">
            <v>GENERAL WIRE</v>
          </cell>
          <cell r="H1303" t="str">
            <v>WSS0030500</v>
          </cell>
        </row>
        <row r="1304">
          <cell r="F1304" t="str">
            <v>AVSS 0.30 GO</v>
          </cell>
          <cell r="G1304" t="str">
            <v>GENERAL WIRE</v>
          </cell>
          <cell r="H1304" t="str">
            <v>WSS00304A0</v>
          </cell>
        </row>
        <row r="1305">
          <cell r="F1305" t="str">
            <v>AVSS 0.3 G/B</v>
          </cell>
          <cell r="G1305" t="str">
            <v>GENERAL WIRE</v>
          </cell>
          <cell r="H1305" t="str">
            <v>WSS0030410</v>
          </cell>
        </row>
        <row r="1306">
          <cell r="F1306" t="str">
            <v>AVSS 0.3 G</v>
          </cell>
          <cell r="G1306" t="str">
            <v>GENERAL WIRE</v>
          </cell>
          <cell r="H1306" t="str">
            <v>WSS0030400</v>
          </cell>
        </row>
        <row r="1307">
          <cell r="F1307" t="str">
            <v>AVSS 0.3 R/O</v>
          </cell>
          <cell r="G1307" t="str">
            <v>GENERAL WIRE</v>
          </cell>
          <cell r="H1307" t="str">
            <v>WSS00303A0</v>
          </cell>
        </row>
        <row r="1308">
          <cell r="F1308" t="str">
            <v>AVSS 0.3 R/B</v>
          </cell>
          <cell r="G1308" t="str">
            <v>GENERAL WIRE</v>
          </cell>
          <cell r="H1308" t="str">
            <v>WSS0030310</v>
          </cell>
        </row>
        <row r="1309">
          <cell r="F1309" t="str">
            <v>AVSS 0.3 R</v>
          </cell>
          <cell r="G1309" t="str">
            <v>GENERAL WIRE</v>
          </cell>
          <cell r="H1309" t="str">
            <v>WSS0030300</v>
          </cell>
        </row>
        <row r="1310">
          <cell r="F1310" t="str">
            <v>AVSS 0.3 W/O</v>
          </cell>
          <cell r="G1310" t="str">
            <v>GENERAL WIRE</v>
          </cell>
          <cell r="H1310" t="str">
            <v>WSS00302A0</v>
          </cell>
        </row>
        <row r="1311">
          <cell r="F1311" t="str">
            <v>AVSS 0.3 W/B</v>
          </cell>
          <cell r="G1311" t="str">
            <v>GENERAL WIRE</v>
          </cell>
          <cell r="H1311" t="str">
            <v>WSS0030210</v>
          </cell>
        </row>
        <row r="1312">
          <cell r="F1312" t="str">
            <v>AVSS 0.3 W</v>
          </cell>
          <cell r="G1312" t="str">
            <v>GENERAL WIRE</v>
          </cell>
          <cell r="H1312" t="str">
            <v>WSS0030200</v>
          </cell>
        </row>
        <row r="1313">
          <cell r="F1313" t="str">
            <v>AVSS 0.3 B/O</v>
          </cell>
          <cell r="G1313" t="str">
            <v>GENERAL WIRE</v>
          </cell>
          <cell r="H1313" t="str">
            <v>WSS00301A0</v>
          </cell>
        </row>
        <row r="1314">
          <cell r="F1314" t="str">
            <v>AVSS 0.3 B</v>
          </cell>
          <cell r="G1314" t="str">
            <v>GENERAL WIRE</v>
          </cell>
          <cell r="H1314" t="str">
            <v>WSS0030100</v>
          </cell>
        </row>
        <row r="1315">
          <cell r="F1315" t="str">
            <v>SLDXF2 0.30 B/R</v>
          </cell>
          <cell r="G1315" t="str">
            <v>GENERAL WIRE</v>
          </cell>
          <cell r="H1315" t="str">
            <v>WSHE2-11300</v>
          </cell>
        </row>
        <row r="1316">
          <cell r="F1316" t="str">
            <v>SLD3 2.00 Y/W/B</v>
          </cell>
          <cell r="G1316" t="str">
            <v>GENERAL WIRE</v>
          </cell>
          <cell r="H1316" t="str">
            <v>WSH43-51250</v>
          </cell>
        </row>
        <row r="1317">
          <cell r="F1317" t="str">
            <v>SLD3 0.50 R/G/Br</v>
          </cell>
          <cell r="G1317" t="str">
            <v>GENERAL WIRE</v>
          </cell>
          <cell r="H1317" t="str">
            <v>WSH43-24630</v>
          </cell>
        </row>
        <row r="1318">
          <cell r="F1318" t="str">
            <v>SLD2 0.50 W/G</v>
          </cell>
          <cell r="G1318" t="str">
            <v>GENERAL WIRE</v>
          </cell>
          <cell r="H1318" t="str">
            <v>WSH42-24200</v>
          </cell>
        </row>
        <row r="1319">
          <cell r="F1319" t="str">
            <v>AVSS BS 2*0.3 B,R</v>
          </cell>
          <cell r="G1319" t="str">
            <v>GENERAL WIRE</v>
          </cell>
          <cell r="H1319" t="str">
            <v>WSH42-11300</v>
          </cell>
        </row>
        <row r="1320">
          <cell r="F1320" t="str">
            <v>AESSXF-BS 3*2.0 B,W,Y</v>
          </cell>
          <cell r="G1320" t="str">
            <v>GENERAL WIRE</v>
          </cell>
          <cell r="H1320" t="str">
            <v>WSH23-51250</v>
          </cell>
        </row>
        <row r="1321">
          <cell r="F1321" t="str">
            <v>SLDX3 0.50 B/Y/W</v>
          </cell>
          <cell r="G1321" t="str">
            <v>GENERAL WIRE</v>
          </cell>
          <cell r="H1321" t="str">
            <v>WSH23-21520</v>
          </cell>
        </row>
        <row r="1322">
          <cell r="F1322" t="str">
            <v>AESSXF-BS 2*0.5 Br,R</v>
          </cell>
          <cell r="G1322" t="str">
            <v>SHIELD WIRE</v>
          </cell>
          <cell r="H1322" t="str">
            <v>WSH22-26300</v>
          </cell>
        </row>
        <row r="1323">
          <cell r="F1323" t="str">
            <v>SLDX2 0.50 W/G</v>
          </cell>
          <cell r="G1323" t="str">
            <v>GENERAL WIRE</v>
          </cell>
          <cell r="H1323" t="str">
            <v>WSH22-22400</v>
          </cell>
        </row>
        <row r="1324">
          <cell r="F1324" t="str">
            <v>SLDX 0.50 G</v>
          </cell>
          <cell r="G1324" t="str">
            <v>GENERAL WIRE</v>
          </cell>
          <cell r="H1324" t="str">
            <v>WSH21-24000</v>
          </cell>
        </row>
        <row r="1325">
          <cell r="F1325" t="str">
            <v>CIVUS-BS 2C 0.35 W,G</v>
          </cell>
          <cell r="G1325" t="str">
            <v>SHIELD WIRE</v>
          </cell>
          <cell r="H1325" t="str">
            <v>WSH12-12400</v>
          </cell>
        </row>
        <row r="1326">
          <cell r="F1326" t="str">
            <v>CIVUS-BS 2C 0.35 B,R</v>
          </cell>
          <cell r="G1326" t="str">
            <v>SHIELD WIRE</v>
          </cell>
          <cell r="H1326" t="str">
            <v>WSH12-11300</v>
          </cell>
        </row>
        <row r="1327">
          <cell r="F1327" t="str">
            <v>FLALUY 1.25 La/O</v>
          </cell>
          <cell r="G1327" t="str">
            <v>GENERAL WIRE</v>
          </cell>
          <cell r="H1327" t="str">
            <v>WLU0125KA0</v>
          </cell>
        </row>
        <row r="1328">
          <cell r="F1328" t="str">
            <v>FLALUY 1.25 La/Gr</v>
          </cell>
          <cell r="G1328" t="str">
            <v>GENERAL WIRE</v>
          </cell>
          <cell r="H1328" t="str">
            <v>WLU0125K80</v>
          </cell>
        </row>
        <row r="1329">
          <cell r="F1329" t="str">
            <v>FLALUY 1.25 La/Br</v>
          </cell>
          <cell r="G1329" t="str">
            <v>GENERAL WIRE</v>
          </cell>
          <cell r="H1329" t="str">
            <v>WLU0125K60</v>
          </cell>
        </row>
        <row r="1330">
          <cell r="F1330" t="str">
            <v>FLALUY 1.25 La/Y</v>
          </cell>
          <cell r="G1330" t="str">
            <v>GENERAL WIRE</v>
          </cell>
          <cell r="H1330" t="str">
            <v>WLU0125K50</v>
          </cell>
        </row>
        <row r="1331">
          <cell r="F1331" t="str">
            <v>FLALUY 1.25 LaG</v>
          </cell>
          <cell r="G1331" t="str">
            <v>GENERAL WIRE</v>
          </cell>
          <cell r="H1331" t="str">
            <v>WLU0125K40</v>
          </cell>
        </row>
        <row r="1332">
          <cell r="F1332" t="str">
            <v>FLALUY 1.25 LaR</v>
          </cell>
          <cell r="G1332" t="str">
            <v>GENERAL WIRE</v>
          </cell>
          <cell r="H1332" t="str">
            <v>WLU0125K30</v>
          </cell>
        </row>
        <row r="1333">
          <cell r="F1333" t="str">
            <v>FLALUY 1.25 La/W</v>
          </cell>
          <cell r="G1333" t="str">
            <v>GENERAL WIRE</v>
          </cell>
          <cell r="H1333" t="str">
            <v>WLU0125K20</v>
          </cell>
        </row>
        <row r="1334">
          <cell r="F1334" t="str">
            <v>FLALUY 1.25 LaB</v>
          </cell>
          <cell r="G1334" t="str">
            <v>GENERAL WIRE</v>
          </cell>
          <cell r="H1334" t="str">
            <v>WLU0125K10</v>
          </cell>
        </row>
        <row r="1335">
          <cell r="F1335" t="str">
            <v>FLALUY 0.75 La/P</v>
          </cell>
          <cell r="G1335" t="str">
            <v>GENERAL WIRE</v>
          </cell>
          <cell r="H1335" t="str">
            <v>WLU0075KF0</v>
          </cell>
        </row>
        <row r="1336">
          <cell r="F1336" t="str">
            <v>FLALUY 0.75 LaO</v>
          </cell>
          <cell r="G1336" t="str">
            <v>GENERAL WIRE</v>
          </cell>
          <cell r="H1336" t="str">
            <v>WLU0075KA0</v>
          </cell>
        </row>
        <row r="1337">
          <cell r="F1337" t="str">
            <v>FLALUY 0.75 LaGr</v>
          </cell>
          <cell r="G1337" t="str">
            <v>GENERAL WIRE</v>
          </cell>
          <cell r="H1337" t="str">
            <v>WLU0075K80</v>
          </cell>
        </row>
        <row r="1338">
          <cell r="F1338" t="str">
            <v>FLALUY 0.75 La/L</v>
          </cell>
          <cell r="G1338" t="str">
            <v>GENERAL WIRE</v>
          </cell>
          <cell r="H1338" t="str">
            <v>WLU0075K70</v>
          </cell>
        </row>
        <row r="1339">
          <cell r="F1339" t="str">
            <v>FLALUY 0.75 LaBr</v>
          </cell>
          <cell r="G1339" t="str">
            <v>GENERAL WIRE</v>
          </cell>
          <cell r="H1339" t="str">
            <v>WLU0075K60</v>
          </cell>
        </row>
        <row r="1340">
          <cell r="F1340" t="str">
            <v>FLALUY 0.75 LaY</v>
          </cell>
          <cell r="G1340" t="str">
            <v>GENERAL WIRE</v>
          </cell>
          <cell r="H1340" t="str">
            <v>WLU0075K50</v>
          </cell>
        </row>
        <row r="1341">
          <cell r="F1341" t="str">
            <v>FLALUY 0.75 LaG</v>
          </cell>
          <cell r="G1341" t="str">
            <v>GENERAL WIRE</v>
          </cell>
          <cell r="H1341" t="str">
            <v>WLU0075K40</v>
          </cell>
        </row>
        <row r="1342">
          <cell r="F1342" t="str">
            <v>FLALUY 0.75 LaR</v>
          </cell>
          <cell r="G1342" t="str">
            <v>GENERAL WIRE</v>
          </cell>
          <cell r="H1342" t="str">
            <v>WLU0075K30</v>
          </cell>
        </row>
        <row r="1343">
          <cell r="F1343" t="str">
            <v>FLALUY 0.75 LaW</v>
          </cell>
          <cell r="G1343" t="str">
            <v>GENERAL WIRE</v>
          </cell>
          <cell r="H1343" t="str">
            <v>WLU0075K20</v>
          </cell>
        </row>
        <row r="1344">
          <cell r="F1344" t="str">
            <v>FLALUY 0.75 LaB</v>
          </cell>
          <cell r="G1344" t="str">
            <v>GENERAL WIRE</v>
          </cell>
          <cell r="H1344" t="str">
            <v>WLU0075K10</v>
          </cell>
        </row>
        <row r="1345">
          <cell r="F1345" t="str">
            <v>AEXHF 08.00 B</v>
          </cell>
          <cell r="G1345" t="str">
            <v>GENERAL WIRE</v>
          </cell>
          <cell r="H1345" t="str">
            <v>WHF0800100</v>
          </cell>
        </row>
        <row r="1346">
          <cell r="F1346" t="str">
            <v>AEXHF 1.25 BW</v>
          </cell>
          <cell r="G1346" t="str">
            <v>WIRE</v>
          </cell>
          <cell r="H1346" t="str">
            <v>WHF0125120</v>
          </cell>
        </row>
        <row r="1347">
          <cell r="F1347" t="str">
            <v>AEXHF 0.85 O</v>
          </cell>
          <cell r="G1347" t="str">
            <v>WIRE</v>
          </cell>
          <cell r="H1347" t="str">
            <v>WHF0085A00</v>
          </cell>
        </row>
        <row r="1348">
          <cell r="F1348" t="str">
            <v>AEXHF 0.85 G</v>
          </cell>
          <cell r="G1348" t="str">
            <v>WIRE</v>
          </cell>
          <cell r="H1348" t="str">
            <v>WHF0085400</v>
          </cell>
        </row>
        <row r="1349">
          <cell r="F1349" t="str">
            <v>AEXHF 0.85 R</v>
          </cell>
          <cell r="G1349" t="str">
            <v>GENERAL WIRE</v>
          </cell>
          <cell r="H1349" t="str">
            <v>WHF0085300</v>
          </cell>
        </row>
        <row r="1350">
          <cell r="F1350" t="str">
            <v>AEXHF 0.85 W</v>
          </cell>
          <cell r="G1350" t="str">
            <v>WIRE</v>
          </cell>
          <cell r="H1350" t="str">
            <v>WHF0085200</v>
          </cell>
        </row>
        <row r="1351">
          <cell r="F1351" t="str">
            <v>AEXHF 0.85 B</v>
          </cell>
          <cell r="G1351" t="str">
            <v>GENERAL WIRE</v>
          </cell>
          <cell r="H1351" t="str">
            <v>WHF0085100</v>
          </cell>
        </row>
        <row r="1352">
          <cell r="F1352" t="str">
            <v>AEXHF 0.50 L</v>
          </cell>
          <cell r="G1352" t="str">
            <v>WIRE</v>
          </cell>
          <cell r="H1352" t="str">
            <v>WHF0050700</v>
          </cell>
        </row>
        <row r="1353">
          <cell r="F1353" t="str">
            <v>AEXHF 0.50 Y</v>
          </cell>
          <cell r="G1353" t="str">
            <v>WIRE</v>
          </cell>
          <cell r="H1353" t="str">
            <v>WHF0050500</v>
          </cell>
        </row>
        <row r="1354">
          <cell r="F1354" t="str">
            <v>AEXHF 0.50 R</v>
          </cell>
          <cell r="G1354" t="str">
            <v>WIRE</v>
          </cell>
          <cell r="H1354" t="str">
            <v>WHF0050300</v>
          </cell>
        </row>
        <row r="1355">
          <cell r="F1355" t="str">
            <v>FLR2X-B 4.0 G</v>
          </cell>
          <cell r="G1355" t="str">
            <v>GENERAL WIRE</v>
          </cell>
          <cell r="H1355" t="str">
            <v>WFT0400400</v>
          </cell>
        </row>
        <row r="1356">
          <cell r="F1356" t="str">
            <v>FLR2X-B 4.00 R</v>
          </cell>
          <cell r="G1356" t="str">
            <v>GENERAL WIRE</v>
          </cell>
          <cell r="H1356" t="str">
            <v>WFT0400300</v>
          </cell>
        </row>
        <row r="1357">
          <cell r="F1357" t="str">
            <v>FLR2X-B 4.00 W</v>
          </cell>
          <cell r="G1357" t="str">
            <v>GENERAL WIRE</v>
          </cell>
          <cell r="H1357" t="str">
            <v>WFT0400200</v>
          </cell>
        </row>
        <row r="1358">
          <cell r="F1358" t="str">
            <v>FLR2X-B 4.0 B</v>
          </cell>
          <cell r="G1358" t="str">
            <v>GENERAL WIRE</v>
          </cell>
          <cell r="H1358" t="str">
            <v>WFT0400100</v>
          </cell>
        </row>
        <row r="1359">
          <cell r="F1359" t="str">
            <v>AESSXF 2.5 BR</v>
          </cell>
          <cell r="G1359" t="str">
            <v>GENERAL WIRE</v>
          </cell>
          <cell r="H1359" t="str">
            <v>WEX0250600</v>
          </cell>
        </row>
        <row r="1360">
          <cell r="F1360" t="str">
            <v>AESSXF 2.5 G</v>
          </cell>
          <cell r="G1360" t="str">
            <v>GENERAL WIRE</v>
          </cell>
          <cell r="H1360" t="str">
            <v>WEX0250400</v>
          </cell>
        </row>
        <row r="1361">
          <cell r="F1361" t="str">
            <v>AESSXF 2.5 R</v>
          </cell>
          <cell r="G1361" t="str">
            <v>GENERAL WIRE</v>
          </cell>
          <cell r="H1361" t="str">
            <v>WEX0250300</v>
          </cell>
        </row>
        <row r="1362">
          <cell r="F1362" t="str">
            <v>AESSXF 2.5 W</v>
          </cell>
          <cell r="G1362" t="str">
            <v>GENERAL WIRE</v>
          </cell>
          <cell r="H1362" t="str">
            <v>WEX0250200</v>
          </cell>
        </row>
        <row r="1363">
          <cell r="F1363" t="str">
            <v>AESSXF 2.5 B</v>
          </cell>
          <cell r="G1363" t="str">
            <v>GENERAL WIRE</v>
          </cell>
          <cell r="H1363" t="str">
            <v>WEX0250100</v>
          </cell>
        </row>
        <row r="1364">
          <cell r="F1364" t="str">
            <v>AESSXF 02.00 Gr</v>
          </cell>
          <cell r="G1364" t="str">
            <v>GENERAL WIRE</v>
          </cell>
          <cell r="H1364" t="str">
            <v>WEX0200800</v>
          </cell>
        </row>
        <row r="1365">
          <cell r="F1365" t="str">
            <v>AESSXF 2.00 L</v>
          </cell>
          <cell r="G1365" t="str">
            <v>GENERAL WIRE</v>
          </cell>
          <cell r="H1365" t="str">
            <v>WEX0200700</v>
          </cell>
        </row>
        <row r="1366">
          <cell r="F1366" t="str">
            <v>AESSXF 2.00 G</v>
          </cell>
          <cell r="G1366" t="str">
            <v>GENERAL WIRE</v>
          </cell>
          <cell r="H1366" t="str">
            <v>WEX0200400</v>
          </cell>
        </row>
        <row r="1367">
          <cell r="F1367" t="str">
            <v>AESSXF 2.00 R</v>
          </cell>
          <cell r="G1367" t="str">
            <v>GENERAL WIRE</v>
          </cell>
          <cell r="H1367" t="str">
            <v>WEX0200300</v>
          </cell>
        </row>
        <row r="1368">
          <cell r="F1368" t="str">
            <v>AESSXF 2.00 W</v>
          </cell>
          <cell r="G1368" t="str">
            <v>GENERAL WIRE</v>
          </cell>
          <cell r="H1368" t="str">
            <v>WEX0200200</v>
          </cell>
        </row>
        <row r="1369">
          <cell r="F1369" t="str">
            <v>AESSXF 2.00 B</v>
          </cell>
          <cell r="G1369" t="str">
            <v>GENERAL WIRE</v>
          </cell>
          <cell r="H1369" t="str">
            <v>WEX0200100</v>
          </cell>
        </row>
        <row r="1370">
          <cell r="F1370" t="str">
            <v>AESSXF 1.25 L</v>
          </cell>
          <cell r="G1370" t="str">
            <v>GENERAL WIRE</v>
          </cell>
          <cell r="H1370" t="str">
            <v>WEX0125700</v>
          </cell>
        </row>
        <row r="1371">
          <cell r="F1371" t="str">
            <v>AESSXF 1.25 W</v>
          </cell>
          <cell r="G1371" t="str">
            <v>GENERAL WIRE</v>
          </cell>
          <cell r="H1371" t="str">
            <v>WEX0125200</v>
          </cell>
        </row>
        <row r="1372">
          <cell r="F1372" t="str">
            <v>AESSXF 0.5 O</v>
          </cell>
          <cell r="G1372" t="str">
            <v>GENERAL WIRE</v>
          </cell>
          <cell r="H1372" t="str">
            <v>WEX0050A00</v>
          </cell>
        </row>
        <row r="1373">
          <cell r="F1373" t="str">
            <v>AESSXF 0.5 Gr</v>
          </cell>
          <cell r="G1373" t="str">
            <v>GENERAL WIRE</v>
          </cell>
          <cell r="H1373" t="str">
            <v>WEX0050800</v>
          </cell>
        </row>
        <row r="1374">
          <cell r="F1374" t="str">
            <v>AESSXF 0.5 BR</v>
          </cell>
          <cell r="G1374" t="str">
            <v>GENERAL WIRE</v>
          </cell>
          <cell r="H1374" t="str">
            <v>WEX0050600</v>
          </cell>
        </row>
        <row r="1375">
          <cell r="F1375" t="str">
            <v>AESSXF 0.5 Y</v>
          </cell>
          <cell r="G1375" t="str">
            <v>GENERAL WIRE</v>
          </cell>
          <cell r="H1375" t="str">
            <v>WEX0050500</v>
          </cell>
        </row>
        <row r="1376">
          <cell r="F1376" t="str">
            <v>AESSXF 0.5 G</v>
          </cell>
          <cell r="G1376" t="str">
            <v>GENERAL WIRE</v>
          </cell>
          <cell r="H1376" t="str">
            <v>WEX0050400</v>
          </cell>
        </row>
        <row r="1377">
          <cell r="F1377" t="str">
            <v>AESSXF 0.5 R</v>
          </cell>
          <cell r="G1377" t="str">
            <v>GENERAL WIRE</v>
          </cell>
          <cell r="H1377" t="str">
            <v>WEX0050300</v>
          </cell>
        </row>
        <row r="1378">
          <cell r="F1378" t="str">
            <v>AESSXF 0.5 W</v>
          </cell>
          <cell r="G1378" t="str">
            <v>GENERAL WIRE</v>
          </cell>
          <cell r="H1378" t="str">
            <v>WEX0050200</v>
          </cell>
        </row>
        <row r="1379">
          <cell r="F1379" t="str">
            <v>AESSXF 0.50 BO</v>
          </cell>
          <cell r="G1379" t="str">
            <v>GENERAL WIRE</v>
          </cell>
          <cell r="H1379" t="str">
            <v>WEX00501A0</v>
          </cell>
        </row>
        <row r="1380">
          <cell r="F1380" t="str">
            <v>AESSXF 0.50 B</v>
          </cell>
          <cell r="G1380" t="str">
            <v>GENERAL WIRE</v>
          </cell>
          <cell r="H1380" t="str">
            <v>WEX0050100</v>
          </cell>
        </row>
        <row r="1381">
          <cell r="F1381" t="str">
            <v>AESSXF 0.30 P</v>
          </cell>
          <cell r="G1381" t="str">
            <v>GENERAL WIRE</v>
          </cell>
          <cell r="H1381" t="str">
            <v>WEX0030F00</v>
          </cell>
        </row>
        <row r="1382">
          <cell r="F1382" t="str">
            <v>AESSXF 0.30 O</v>
          </cell>
          <cell r="G1382" t="str">
            <v>GENERAL WIRE</v>
          </cell>
          <cell r="H1382" t="str">
            <v>WEX0030A00</v>
          </cell>
        </row>
        <row r="1383">
          <cell r="F1383" t="str">
            <v>AESSXF 0.30 Gr</v>
          </cell>
          <cell r="G1383" t="str">
            <v>GENERAL WIRE</v>
          </cell>
          <cell r="H1383" t="str">
            <v>WEX0030800</v>
          </cell>
        </row>
        <row r="1384">
          <cell r="F1384" t="str">
            <v>AESSXF 00.30 L/B</v>
          </cell>
          <cell r="G1384" t="str">
            <v>GENERAL WIRE</v>
          </cell>
          <cell r="H1384" t="str">
            <v>WEX0030710</v>
          </cell>
        </row>
        <row r="1385">
          <cell r="F1385" t="str">
            <v>AESSXF 0.30 L</v>
          </cell>
          <cell r="G1385" t="str">
            <v>GENERAL WIRE</v>
          </cell>
          <cell r="H1385" t="str">
            <v>WEX0030700</v>
          </cell>
        </row>
        <row r="1386">
          <cell r="F1386" t="str">
            <v>AESSXF 0.30 Br</v>
          </cell>
          <cell r="G1386" t="str">
            <v>GENERAL WIRE</v>
          </cell>
          <cell r="H1386" t="str">
            <v>WEX0030600</v>
          </cell>
        </row>
        <row r="1387">
          <cell r="F1387" t="str">
            <v>AESSXF 0.30 Y/O</v>
          </cell>
          <cell r="G1387" t="str">
            <v>GENERAL WIRE</v>
          </cell>
          <cell r="H1387" t="str">
            <v>WEX00305A0</v>
          </cell>
        </row>
        <row r="1388">
          <cell r="F1388" t="str">
            <v>AESSXF 0.30 Y</v>
          </cell>
          <cell r="G1388" t="str">
            <v>GENERAL WIRE</v>
          </cell>
          <cell r="H1388" t="str">
            <v>WEX0030500</v>
          </cell>
        </row>
        <row r="1389">
          <cell r="F1389" t="str">
            <v>AESSXF 0.30 G</v>
          </cell>
          <cell r="G1389" t="str">
            <v>GENERAL WIRE</v>
          </cell>
          <cell r="H1389" t="str">
            <v>WEX0030400</v>
          </cell>
        </row>
        <row r="1390">
          <cell r="F1390" t="str">
            <v>AESSXF 0.30 R</v>
          </cell>
          <cell r="G1390" t="str">
            <v>GENERAL WIRE</v>
          </cell>
          <cell r="H1390" t="str">
            <v>WEX0030300</v>
          </cell>
        </row>
        <row r="1391">
          <cell r="F1391" t="str">
            <v>AESSXF 0.30 W</v>
          </cell>
          <cell r="G1391" t="str">
            <v>GENERAL WIRE</v>
          </cell>
          <cell r="H1391" t="str">
            <v>WEX0030200</v>
          </cell>
        </row>
        <row r="1392">
          <cell r="F1392" t="str">
            <v>AESSXF 0.30 B</v>
          </cell>
          <cell r="G1392" t="str">
            <v>GENERAL WIRE</v>
          </cell>
          <cell r="H1392" t="str">
            <v>WEX0030100</v>
          </cell>
        </row>
        <row r="1393">
          <cell r="F1393" t="str">
            <v>AEXF 8.0 R</v>
          </cell>
          <cell r="G1393" t="str">
            <v>GENERAL WIRE</v>
          </cell>
          <cell r="H1393" t="str">
            <v>WEF0800300</v>
          </cell>
        </row>
        <row r="1394">
          <cell r="F1394" t="str">
            <v>AEXF 8.0 B</v>
          </cell>
          <cell r="G1394" t="str">
            <v>GENERAL WIRE</v>
          </cell>
          <cell r="H1394" t="str">
            <v>WEF0800100</v>
          </cell>
        </row>
        <row r="1395">
          <cell r="F1395" t="str">
            <v>AEXF 5.00 L</v>
          </cell>
          <cell r="G1395" t="str">
            <v>GENERAL WIRE</v>
          </cell>
          <cell r="H1395" t="str">
            <v>WEF0500700</v>
          </cell>
        </row>
        <row r="1396">
          <cell r="F1396" t="str">
            <v>AEXF 5.00 R</v>
          </cell>
          <cell r="G1396" t="str">
            <v>GENERAL WIRE</v>
          </cell>
          <cell r="H1396" t="str">
            <v>WEF0500300</v>
          </cell>
        </row>
        <row r="1397">
          <cell r="F1397" t="str">
            <v>AEXF 5.00 W</v>
          </cell>
          <cell r="G1397" t="str">
            <v>GENERAL WIRE</v>
          </cell>
          <cell r="H1397" t="str">
            <v>WEF0500200</v>
          </cell>
        </row>
        <row r="1398">
          <cell r="F1398" t="str">
            <v>AEXF 5.00 B</v>
          </cell>
          <cell r="G1398" t="str">
            <v>GENERAL WIRE</v>
          </cell>
          <cell r="H1398" t="str">
            <v>WEF0500100</v>
          </cell>
        </row>
        <row r="1399">
          <cell r="F1399" t="str">
            <v>AEXF 3.0 P</v>
          </cell>
          <cell r="G1399" t="str">
            <v>GENERAL WIRE</v>
          </cell>
          <cell r="H1399" t="str">
            <v>WEF0300F00</v>
          </cell>
        </row>
        <row r="1400">
          <cell r="F1400" t="str">
            <v>AEXF 3.0 G</v>
          </cell>
          <cell r="G1400" t="str">
            <v>GENERAL WIRE</v>
          </cell>
          <cell r="H1400" t="str">
            <v>WEF0300400</v>
          </cell>
        </row>
        <row r="1401">
          <cell r="F1401" t="str">
            <v>AEXF 3.00 R</v>
          </cell>
          <cell r="G1401" t="str">
            <v>GENERAL WIRE</v>
          </cell>
          <cell r="H1401" t="str">
            <v>WEF0300300</v>
          </cell>
        </row>
        <row r="1402">
          <cell r="F1402" t="str">
            <v>AEXF 3.00 W</v>
          </cell>
          <cell r="G1402" t="str">
            <v>GENERAL WIRE</v>
          </cell>
          <cell r="H1402" t="str">
            <v>WEF0300200</v>
          </cell>
        </row>
        <row r="1403">
          <cell r="F1403" t="str">
            <v>AEXF 3.00 B</v>
          </cell>
          <cell r="G1403" t="str">
            <v>GENERAL WIRE</v>
          </cell>
          <cell r="H1403" t="str">
            <v>WEF0300100</v>
          </cell>
        </row>
        <row r="1404">
          <cell r="F1404" t="str">
            <v>AEXF 1.25 PB</v>
          </cell>
          <cell r="G1404" t="str">
            <v>WIRE</v>
          </cell>
          <cell r="H1404" t="str">
            <v>WEF0125F10</v>
          </cell>
        </row>
        <row r="1405">
          <cell r="F1405" t="str">
            <v>AEXF 1.25 W</v>
          </cell>
          <cell r="G1405" t="str">
            <v>WIRE</v>
          </cell>
          <cell r="H1405" t="str">
            <v>WEF0125200</v>
          </cell>
        </row>
        <row r="1406">
          <cell r="F1406" t="str">
            <v>AEXF 1.25 BW</v>
          </cell>
          <cell r="G1406" t="str">
            <v>WIRE</v>
          </cell>
          <cell r="H1406" t="str">
            <v>WEF0125120</v>
          </cell>
        </row>
        <row r="1407">
          <cell r="F1407" t="str">
            <v>AEXF 0.85 PB</v>
          </cell>
          <cell r="G1407" t="str">
            <v>WIRE</v>
          </cell>
          <cell r="H1407" t="str">
            <v>WEF0085F10</v>
          </cell>
        </row>
        <row r="1408">
          <cell r="F1408" t="str">
            <v>AEXF 0.85 P</v>
          </cell>
          <cell r="G1408" t="str">
            <v>WIRE</v>
          </cell>
          <cell r="H1408" t="str">
            <v>WEF0085F00</v>
          </cell>
        </row>
        <row r="1409">
          <cell r="F1409" t="str">
            <v>AEXF 0.85 Gr</v>
          </cell>
          <cell r="G1409" t="str">
            <v>WIRE</v>
          </cell>
          <cell r="H1409" t="str">
            <v>WEF0085800</v>
          </cell>
        </row>
        <row r="1410">
          <cell r="F1410" t="str">
            <v>AEXF 0.85 GB</v>
          </cell>
          <cell r="G1410" t="str">
            <v>WIRE</v>
          </cell>
          <cell r="H1410" t="str">
            <v>WEF0085410</v>
          </cell>
        </row>
        <row r="1411">
          <cell r="F1411" t="str">
            <v>AEXF 0.85 W</v>
          </cell>
          <cell r="G1411" t="str">
            <v>WIRE</v>
          </cell>
          <cell r="H1411" t="str">
            <v>WEF0085200</v>
          </cell>
        </row>
        <row r="1412">
          <cell r="F1412" t="str">
            <v>AEXF 0.85 BY</v>
          </cell>
          <cell r="G1412" t="str">
            <v>WIRE</v>
          </cell>
          <cell r="H1412" t="str">
            <v>WEF0085150</v>
          </cell>
        </row>
        <row r="1413">
          <cell r="F1413" t="str">
            <v>AEXF 0.85 BW</v>
          </cell>
          <cell r="G1413" t="str">
            <v>WIRE</v>
          </cell>
          <cell r="H1413" t="str">
            <v>WEF0085120</v>
          </cell>
        </row>
        <row r="1414">
          <cell r="F1414" t="str">
            <v>AEXF 0.85 B</v>
          </cell>
          <cell r="G1414" t="str">
            <v>WIRE</v>
          </cell>
          <cell r="H1414" t="str">
            <v>WEF0085100</v>
          </cell>
        </row>
        <row r="1415">
          <cell r="F1415" t="str">
            <v>AEXF 0.50 L</v>
          </cell>
          <cell r="G1415" t="str">
            <v>WIRE</v>
          </cell>
          <cell r="H1415" t="str">
            <v>WEF0050700</v>
          </cell>
        </row>
        <row r="1416">
          <cell r="F1416" t="str">
            <v>AEXF 0.50 YB</v>
          </cell>
          <cell r="G1416" t="str">
            <v>WIRE</v>
          </cell>
          <cell r="H1416" t="str">
            <v>WEF0050510</v>
          </cell>
        </row>
        <row r="1417">
          <cell r="F1417" t="str">
            <v>AEXF 0.50 Y</v>
          </cell>
          <cell r="G1417" t="str">
            <v>WIRE</v>
          </cell>
          <cell r="H1417" t="str">
            <v>WEF0050500</v>
          </cell>
        </row>
        <row r="1418">
          <cell r="F1418" t="str">
            <v>AEXF 0.50 R</v>
          </cell>
          <cell r="G1418" t="str">
            <v>WIRE</v>
          </cell>
          <cell r="H1418" t="str">
            <v>WEF0050300</v>
          </cell>
        </row>
        <row r="1419">
          <cell r="F1419" t="str">
            <v>AEXF 0.50 BW</v>
          </cell>
          <cell r="G1419" t="str">
            <v>WIRE</v>
          </cell>
          <cell r="H1419" t="str">
            <v>WEF0050120</v>
          </cell>
        </row>
        <row r="1420">
          <cell r="F1420" t="str">
            <v>CIVUS 1.0 Br</v>
          </cell>
          <cell r="G1420" t="str">
            <v>GENERAL WIRE</v>
          </cell>
          <cell r="H1420" t="str">
            <v>WCW0100600</v>
          </cell>
        </row>
        <row r="1421">
          <cell r="F1421" t="str">
            <v>CIVUS 1.0 R</v>
          </cell>
          <cell r="G1421" t="str">
            <v>GENERAL WIRE</v>
          </cell>
          <cell r="H1421" t="str">
            <v>WCW0100300</v>
          </cell>
        </row>
        <row r="1422">
          <cell r="F1422" t="str">
            <v>CIVUS 1.0 W</v>
          </cell>
          <cell r="G1422" t="str">
            <v>GENERAL WIRE</v>
          </cell>
          <cell r="H1422" t="str">
            <v>WCW0100200</v>
          </cell>
        </row>
        <row r="1423">
          <cell r="F1423" t="str">
            <v>CIVUS 1.0 B</v>
          </cell>
          <cell r="G1423" t="str">
            <v>GENERAL WIRE</v>
          </cell>
          <cell r="H1423" t="str">
            <v>WCW0100100</v>
          </cell>
        </row>
        <row r="1424">
          <cell r="F1424" t="str">
            <v>CIVUS 0.75 O</v>
          </cell>
          <cell r="G1424" t="str">
            <v>GENERAL WIRE</v>
          </cell>
          <cell r="H1424" t="str">
            <v>WCW0075A00</v>
          </cell>
        </row>
        <row r="1425">
          <cell r="F1425" t="str">
            <v>CIVUS 0.75 Gr</v>
          </cell>
          <cell r="G1425" t="str">
            <v>GENERAL WIRE</v>
          </cell>
          <cell r="H1425" t="str">
            <v>WCW0075800</v>
          </cell>
        </row>
        <row r="1426">
          <cell r="F1426" t="str">
            <v>CIVUS 0.75 Br</v>
          </cell>
          <cell r="G1426" t="str">
            <v>GENERAL WIRE</v>
          </cell>
          <cell r="H1426" t="str">
            <v>WCW0075600</v>
          </cell>
        </row>
        <row r="1427">
          <cell r="F1427" t="str">
            <v>CIVUS 0.75 Y</v>
          </cell>
          <cell r="G1427" t="str">
            <v>GENERAL WIRE</v>
          </cell>
          <cell r="H1427" t="str">
            <v>WCW0075500</v>
          </cell>
        </row>
        <row r="1428">
          <cell r="F1428" t="str">
            <v>CIVUS 0.75 G</v>
          </cell>
          <cell r="G1428" t="str">
            <v>GENERAL WIRE</v>
          </cell>
          <cell r="H1428" t="str">
            <v>WCW0075400</v>
          </cell>
        </row>
        <row r="1429">
          <cell r="F1429" t="str">
            <v>CIVUS 0.75 R</v>
          </cell>
          <cell r="G1429" t="str">
            <v>GENERAL WIRE</v>
          </cell>
          <cell r="H1429" t="str">
            <v>WCW0075300</v>
          </cell>
        </row>
        <row r="1430">
          <cell r="F1430" t="str">
            <v>CIVUS 0.75 B</v>
          </cell>
          <cell r="G1430" t="str">
            <v>GENERAL WIRE</v>
          </cell>
          <cell r="H1430" t="str">
            <v>WCW0075100</v>
          </cell>
        </row>
        <row r="1431">
          <cell r="F1431" t="str">
            <v>CIVUS 0.50 P</v>
          </cell>
          <cell r="G1431" t="str">
            <v>GENERAL WIRE</v>
          </cell>
          <cell r="H1431" t="str">
            <v>WCW0050F00</v>
          </cell>
        </row>
        <row r="1432">
          <cell r="F1432" t="str">
            <v>CIVUS 0.5 O</v>
          </cell>
          <cell r="G1432" t="str">
            <v>GENERAL WIRE</v>
          </cell>
          <cell r="H1432" t="str">
            <v>WCW0050A00</v>
          </cell>
        </row>
        <row r="1433">
          <cell r="F1433" t="str">
            <v>CIVUS 0.50 L/O</v>
          </cell>
          <cell r="G1433" t="str">
            <v>GENERAL WIRE</v>
          </cell>
          <cell r="H1433" t="str">
            <v>WCW00507A0</v>
          </cell>
        </row>
        <row r="1434">
          <cell r="F1434" t="str">
            <v>CIVUS 0.5 L</v>
          </cell>
          <cell r="G1434" t="str">
            <v>GENERAL WIRE</v>
          </cell>
          <cell r="H1434" t="str">
            <v>WCW0050700</v>
          </cell>
        </row>
        <row r="1435">
          <cell r="F1435" t="str">
            <v>CIVUS 0.50 BrB</v>
          </cell>
          <cell r="G1435" t="str">
            <v>GENERAL WIRE</v>
          </cell>
          <cell r="H1435" t="str">
            <v>WCW0050610</v>
          </cell>
        </row>
        <row r="1436">
          <cell r="F1436" t="str">
            <v>CIVUS 0.5 Br</v>
          </cell>
          <cell r="G1436" t="str">
            <v>GENERAL WIRE</v>
          </cell>
          <cell r="H1436" t="str">
            <v>WCW0050600</v>
          </cell>
        </row>
        <row r="1437">
          <cell r="F1437" t="str">
            <v>CIVUS 0.50 Y/B</v>
          </cell>
          <cell r="G1437" t="str">
            <v>GENERAL WIRE</v>
          </cell>
          <cell r="H1437" t="str">
            <v>WCW0050510</v>
          </cell>
        </row>
        <row r="1438">
          <cell r="F1438" t="str">
            <v>CIVUS 0.50 Y</v>
          </cell>
          <cell r="G1438" t="str">
            <v>GENERAL WIRE</v>
          </cell>
          <cell r="H1438" t="str">
            <v>WCW0050500</v>
          </cell>
        </row>
        <row r="1439">
          <cell r="F1439" t="str">
            <v>CIVUS 0.5 G/O</v>
          </cell>
          <cell r="G1439" t="str">
            <v>GENERAL WIRE</v>
          </cell>
          <cell r="H1439" t="str">
            <v>WCW00504A0</v>
          </cell>
        </row>
        <row r="1440">
          <cell r="F1440" t="str">
            <v>CIVUS 0.5 G/B</v>
          </cell>
          <cell r="G1440" t="str">
            <v>GENERAL WIRE</v>
          </cell>
          <cell r="H1440" t="str">
            <v>WCW0050410</v>
          </cell>
        </row>
        <row r="1441">
          <cell r="F1441" t="str">
            <v>CIVUS 0.50 G</v>
          </cell>
          <cell r="G1441" t="str">
            <v>GENERAL WIRE</v>
          </cell>
          <cell r="H1441" t="str">
            <v>WCW0050400</v>
          </cell>
        </row>
        <row r="1442">
          <cell r="F1442" t="str">
            <v>CIVUS 0.5 R</v>
          </cell>
          <cell r="G1442" t="str">
            <v>GENERAL WIRE</v>
          </cell>
          <cell r="H1442" t="str">
            <v>WCW0050300</v>
          </cell>
        </row>
        <row r="1443">
          <cell r="F1443" t="str">
            <v>CIVUS 0.50 W</v>
          </cell>
          <cell r="G1443" t="str">
            <v>GENERAL WIRE</v>
          </cell>
          <cell r="H1443" t="str">
            <v>WCW0050200</v>
          </cell>
        </row>
        <row r="1444">
          <cell r="F1444" t="str">
            <v>CIVUS 0.5 B</v>
          </cell>
          <cell r="G1444" t="str">
            <v>GENERAL WIRE</v>
          </cell>
          <cell r="H1444" t="str">
            <v>WCW0050100</v>
          </cell>
        </row>
        <row r="1445">
          <cell r="F1445" t="str">
            <v>CIVUS 0.35 P/B</v>
          </cell>
          <cell r="G1445" t="str">
            <v>GENERAL WIRE</v>
          </cell>
          <cell r="H1445" t="str">
            <v>WCW0035F10</v>
          </cell>
        </row>
        <row r="1446">
          <cell r="F1446" t="str">
            <v>CIVUS 0.35 P</v>
          </cell>
          <cell r="G1446" t="str">
            <v>GENERAL WIRE</v>
          </cell>
          <cell r="H1446" t="str">
            <v>WCW0035F00</v>
          </cell>
        </row>
        <row r="1447">
          <cell r="F1447" t="str">
            <v>CIVUS 0.35 O/B</v>
          </cell>
          <cell r="G1447" t="str">
            <v>GENERAL WIRE</v>
          </cell>
          <cell r="H1447" t="str">
            <v>WCW0035A10</v>
          </cell>
        </row>
        <row r="1448">
          <cell r="F1448" t="str">
            <v>CIVUS 0.35 O</v>
          </cell>
          <cell r="G1448" t="str">
            <v>GENERAL WIRE</v>
          </cell>
          <cell r="H1448" t="str">
            <v>WCW0035A00</v>
          </cell>
        </row>
        <row r="1449">
          <cell r="F1449" t="str">
            <v>CIVUS 0.35 GrB</v>
          </cell>
          <cell r="G1449" t="str">
            <v>GENERAL WIRE</v>
          </cell>
          <cell r="H1449" t="str">
            <v>WCW0035810</v>
          </cell>
        </row>
        <row r="1450">
          <cell r="F1450" t="str">
            <v>CIVUS 0.35 GR</v>
          </cell>
          <cell r="G1450" t="str">
            <v>GENERAL WIRE</v>
          </cell>
          <cell r="H1450" t="str">
            <v>WCW0035800</v>
          </cell>
        </row>
        <row r="1451">
          <cell r="F1451" t="str">
            <v>CIVUS 0.35 L/O</v>
          </cell>
          <cell r="G1451" t="str">
            <v>GENERAL WIRE</v>
          </cell>
          <cell r="H1451" t="str">
            <v>WCW00357A0</v>
          </cell>
        </row>
        <row r="1452">
          <cell r="F1452" t="str">
            <v>CIVUS 0.35 L/B</v>
          </cell>
          <cell r="G1452" t="str">
            <v>GENERAL WIRE</v>
          </cell>
          <cell r="H1452" t="str">
            <v>WCW0035710</v>
          </cell>
        </row>
        <row r="1453">
          <cell r="F1453" t="str">
            <v>CIVUS 0.35 L</v>
          </cell>
          <cell r="G1453" t="str">
            <v>GENERAL WIRE</v>
          </cell>
          <cell r="H1453" t="str">
            <v>WCW0035700</v>
          </cell>
        </row>
        <row r="1454">
          <cell r="F1454" t="str">
            <v>CIVUS 0.35 BrO</v>
          </cell>
          <cell r="G1454" t="str">
            <v>GENERAL WIRE</v>
          </cell>
          <cell r="H1454" t="str">
            <v>WCW00356A0</v>
          </cell>
        </row>
        <row r="1455">
          <cell r="F1455" t="str">
            <v>CIVUS 0.35 Br/B</v>
          </cell>
          <cell r="G1455" t="str">
            <v>GENERAL WIRE</v>
          </cell>
          <cell r="H1455" t="str">
            <v>WCW0035610</v>
          </cell>
        </row>
        <row r="1456">
          <cell r="F1456" t="str">
            <v>CIVUS 0.35 BR</v>
          </cell>
          <cell r="G1456" t="str">
            <v>GENERAL WIRE</v>
          </cell>
          <cell r="H1456" t="str">
            <v>WCW0035600</v>
          </cell>
        </row>
        <row r="1457">
          <cell r="F1457" t="str">
            <v>CIVUS 0.35 Y/0</v>
          </cell>
          <cell r="G1457" t="str">
            <v>GENERAL WIRE</v>
          </cell>
          <cell r="H1457" t="str">
            <v>WCW00355A0</v>
          </cell>
        </row>
        <row r="1458">
          <cell r="F1458" t="str">
            <v>CIVUS 0.35 YB</v>
          </cell>
          <cell r="G1458" t="str">
            <v>GENERAL WIRE</v>
          </cell>
          <cell r="H1458" t="str">
            <v>WCW0035510</v>
          </cell>
        </row>
        <row r="1459">
          <cell r="F1459" t="str">
            <v>CIVUS 0.35 Y</v>
          </cell>
          <cell r="G1459" t="str">
            <v>GENERAL WIRE</v>
          </cell>
          <cell r="H1459" t="str">
            <v>WCW0035500</v>
          </cell>
        </row>
        <row r="1460">
          <cell r="F1460" t="str">
            <v>CIVUS 0.35 G/O</v>
          </cell>
          <cell r="G1460" t="str">
            <v>GENERAL WIRE</v>
          </cell>
          <cell r="H1460" t="str">
            <v>WCW00354A0</v>
          </cell>
        </row>
        <row r="1461">
          <cell r="F1461" t="str">
            <v>CIVUS 0.35 G/B</v>
          </cell>
          <cell r="G1461" t="str">
            <v>GENERAL WIRE</v>
          </cell>
          <cell r="H1461" t="str">
            <v>WCW0035410</v>
          </cell>
        </row>
        <row r="1462">
          <cell r="F1462" t="str">
            <v>CIVUS 0.35 G</v>
          </cell>
          <cell r="G1462" t="str">
            <v>GENERAL WIRE</v>
          </cell>
          <cell r="H1462" t="str">
            <v>WCW0035400</v>
          </cell>
        </row>
        <row r="1463">
          <cell r="F1463" t="str">
            <v>CIVUS 0.35 RO</v>
          </cell>
          <cell r="G1463" t="str">
            <v>GENERAL WIRE</v>
          </cell>
          <cell r="H1463" t="str">
            <v>WCW00353A0</v>
          </cell>
        </row>
        <row r="1464">
          <cell r="F1464" t="str">
            <v>CIVUS 0.35 R/B</v>
          </cell>
          <cell r="G1464" t="str">
            <v>GENERAL WIRE</v>
          </cell>
          <cell r="H1464" t="str">
            <v>WCW0035310</v>
          </cell>
        </row>
        <row r="1465">
          <cell r="F1465" t="str">
            <v>CIVUS 0.35 R</v>
          </cell>
          <cell r="G1465" t="str">
            <v>GENERAL WIRE</v>
          </cell>
          <cell r="H1465" t="str">
            <v>WCW0035300</v>
          </cell>
        </row>
        <row r="1466">
          <cell r="F1466" t="str">
            <v>CIVUS 0.35 W/O</v>
          </cell>
          <cell r="G1466" t="str">
            <v>GENERAL WIRE</v>
          </cell>
          <cell r="H1466" t="str">
            <v>WCW00352A0</v>
          </cell>
        </row>
        <row r="1467">
          <cell r="F1467" t="str">
            <v>CIVUS 0.35 W/B</v>
          </cell>
          <cell r="G1467" t="str">
            <v>GENERAL WIRE</v>
          </cell>
          <cell r="H1467" t="str">
            <v>WCW0035210</v>
          </cell>
        </row>
        <row r="1468">
          <cell r="F1468" t="str">
            <v>CIVUS 0.35 W</v>
          </cell>
          <cell r="G1468" t="str">
            <v>GENERAL WIRE</v>
          </cell>
          <cell r="H1468" t="str">
            <v>WCW0035200</v>
          </cell>
        </row>
        <row r="1469">
          <cell r="F1469" t="str">
            <v>CIVUS 0.35 B/O</v>
          </cell>
          <cell r="G1469" t="str">
            <v>GENERAL WIRE</v>
          </cell>
          <cell r="H1469" t="str">
            <v>WCW00351A0</v>
          </cell>
        </row>
        <row r="1470">
          <cell r="F1470" t="str">
            <v>CIVUS 0.35 B</v>
          </cell>
          <cell r="G1470" t="str">
            <v>GENERAL WIRE</v>
          </cell>
          <cell r="H1470" t="str">
            <v>WCW0035100</v>
          </cell>
        </row>
        <row r="1471">
          <cell r="F1471" t="str">
            <v>CHFUS 0.22 P</v>
          </cell>
          <cell r="G1471" t="str">
            <v>GENERAL WIRE</v>
          </cell>
          <cell r="H1471" t="str">
            <v>WCH0022F00</v>
          </cell>
        </row>
        <row r="1472">
          <cell r="F1472" t="str">
            <v>CHFUS 0.22 O</v>
          </cell>
          <cell r="G1472" t="str">
            <v>GENERAL WIRE</v>
          </cell>
          <cell r="H1472" t="str">
            <v>WCH0022A00</v>
          </cell>
        </row>
        <row r="1473">
          <cell r="F1473" t="str">
            <v>CHFUS 0.22 GR</v>
          </cell>
          <cell r="G1473" t="str">
            <v>GENERAL WIRE</v>
          </cell>
          <cell r="H1473" t="str">
            <v>WCH0022800</v>
          </cell>
        </row>
        <row r="1474">
          <cell r="F1474" t="str">
            <v>CHFUS 0.22 L</v>
          </cell>
          <cell r="G1474" t="str">
            <v>GENERAL WIRE</v>
          </cell>
          <cell r="H1474" t="str">
            <v>WCH0022700</v>
          </cell>
        </row>
        <row r="1475">
          <cell r="F1475" t="str">
            <v>CHFUS 0.22 BR</v>
          </cell>
          <cell r="G1475" t="str">
            <v>GENERAL WIRE</v>
          </cell>
          <cell r="H1475" t="str">
            <v>WCH0022600</v>
          </cell>
        </row>
        <row r="1476">
          <cell r="F1476" t="str">
            <v>CHFUS 0.22 Y</v>
          </cell>
          <cell r="G1476" t="str">
            <v>GENERAL WIRE</v>
          </cell>
          <cell r="H1476" t="str">
            <v>WCH0022500</v>
          </cell>
        </row>
        <row r="1477">
          <cell r="F1477" t="str">
            <v>CHFUS 0.22 G</v>
          </cell>
          <cell r="G1477" t="str">
            <v>GENERAL WIRE</v>
          </cell>
          <cell r="H1477" t="str">
            <v>WCH0022400</v>
          </cell>
        </row>
        <row r="1478">
          <cell r="F1478" t="str">
            <v>CHFUS 0.22 R</v>
          </cell>
          <cell r="G1478" t="str">
            <v>GENERAL WIRE</v>
          </cell>
          <cell r="H1478" t="str">
            <v>WCH0022300</v>
          </cell>
        </row>
        <row r="1479">
          <cell r="F1479" t="str">
            <v>CHFUS 0.22 W</v>
          </cell>
          <cell r="G1479" t="str">
            <v>GENERAL WIRE</v>
          </cell>
          <cell r="H1479" t="str">
            <v>WCH0022200</v>
          </cell>
        </row>
        <row r="1480">
          <cell r="F1480" t="str">
            <v>CHFUS 0.22 B</v>
          </cell>
          <cell r="G1480" t="str">
            <v>GENERAL WIRE</v>
          </cell>
          <cell r="H1480" t="str">
            <v>WCH0022100</v>
          </cell>
        </row>
        <row r="1481">
          <cell r="F1481" t="str">
            <v>AVSSHF 2.5 P</v>
          </cell>
          <cell r="G1481" t="str">
            <v>GENERAL WIRE</v>
          </cell>
          <cell r="H1481" t="str">
            <v>WBC0250F00</v>
          </cell>
        </row>
        <row r="1482">
          <cell r="F1482" t="str">
            <v>AVSSHF 2.50 L</v>
          </cell>
          <cell r="G1482" t="str">
            <v>GENERAL WIRE</v>
          </cell>
          <cell r="H1482" t="str">
            <v>WBC0250700</v>
          </cell>
        </row>
        <row r="1483">
          <cell r="F1483" t="str">
            <v>AVSSHF 2.5 G</v>
          </cell>
          <cell r="G1483" t="str">
            <v>GENERAL WIRE</v>
          </cell>
          <cell r="H1483" t="str">
            <v>WBC0250400</v>
          </cell>
        </row>
        <row r="1484">
          <cell r="F1484" t="str">
            <v>AVSSHF 2.5 R</v>
          </cell>
          <cell r="G1484" t="str">
            <v>GENERAL WIRE</v>
          </cell>
          <cell r="H1484" t="str">
            <v>WBC0250300</v>
          </cell>
        </row>
        <row r="1485">
          <cell r="F1485" t="str">
            <v>AVSSHF 2.5</v>
          </cell>
          <cell r="G1485" t="str">
            <v>GENERAL WIRE</v>
          </cell>
          <cell r="H1485" t="str">
            <v>WBC0250100</v>
          </cell>
        </row>
        <row r="1486">
          <cell r="F1486" t="str">
            <v>AVSSHF 2.0 P</v>
          </cell>
          <cell r="G1486" t="str">
            <v>GENERAL WIRE</v>
          </cell>
          <cell r="H1486" t="str">
            <v>WBC0200F00</v>
          </cell>
        </row>
        <row r="1487">
          <cell r="F1487" t="str">
            <v>AVSSHF 2.0 GR</v>
          </cell>
          <cell r="G1487" t="str">
            <v>GENERAL WIRE</v>
          </cell>
          <cell r="H1487" t="str">
            <v>WBC0200800</v>
          </cell>
        </row>
        <row r="1488">
          <cell r="F1488" t="str">
            <v>AVSSHF 2.0 L</v>
          </cell>
          <cell r="G1488" t="str">
            <v>GENERAL WIRE</v>
          </cell>
          <cell r="H1488" t="str">
            <v>WBC0200700</v>
          </cell>
        </row>
        <row r="1489">
          <cell r="F1489" t="str">
            <v>AVSSHF 2.0 G</v>
          </cell>
          <cell r="G1489" t="str">
            <v>GENERAL WIRE</v>
          </cell>
          <cell r="H1489" t="str">
            <v>WBC0200400</v>
          </cell>
        </row>
        <row r="1490">
          <cell r="F1490" t="str">
            <v>AVSSHF 2.0 R</v>
          </cell>
          <cell r="G1490" t="str">
            <v>GENERAL WIRE</v>
          </cell>
          <cell r="H1490" t="str">
            <v>WBC0200300</v>
          </cell>
        </row>
        <row r="1491">
          <cell r="F1491" t="str">
            <v>AVSSHF 2.0 W</v>
          </cell>
          <cell r="G1491" t="str">
            <v>GENERAL WIRE</v>
          </cell>
          <cell r="H1491" t="str">
            <v>WBC0200200</v>
          </cell>
        </row>
        <row r="1492">
          <cell r="F1492" t="str">
            <v>AVSSHF 2.0 B</v>
          </cell>
          <cell r="G1492" t="str">
            <v>GENERAL WIRE</v>
          </cell>
          <cell r="H1492" t="str">
            <v>WBC0200100</v>
          </cell>
        </row>
        <row r="1493">
          <cell r="F1493" t="str">
            <v>AVSSHF 1.5 L</v>
          </cell>
          <cell r="G1493" t="str">
            <v>GENERAL WIRE</v>
          </cell>
          <cell r="H1493" t="str">
            <v>WBC0150700</v>
          </cell>
        </row>
        <row r="1494">
          <cell r="F1494" t="str">
            <v>AVSSHF 1.5 R</v>
          </cell>
          <cell r="G1494" t="str">
            <v>GENERAL WIRE</v>
          </cell>
          <cell r="H1494" t="str">
            <v>WBC0150300</v>
          </cell>
        </row>
        <row r="1495">
          <cell r="F1495" t="str">
            <v>AVSSHF 1.5 W</v>
          </cell>
          <cell r="G1495" t="str">
            <v>GENERAL WIRE</v>
          </cell>
          <cell r="H1495" t="str">
            <v>WBC0150200</v>
          </cell>
        </row>
        <row r="1496">
          <cell r="F1496" t="str">
            <v>AVSSHF 1.5 B</v>
          </cell>
          <cell r="G1496" t="str">
            <v>GENERAL WIRE</v>
          </cell>
          <cell r="H1496" t="str">
            <v>WBC0150100</v>
          </cell>
        </row>
        <row r="1497">
          <cell r="F1497" t="str">
            <v>AVSSHF 1.25 P</v>
          </cell>
          <cell r="G1497" t="str">
            <v>GENERAL WIRE</v>
          </cell>
          <cell r="H1497" t="str">
            <v>WBC0125F00</v>
          </cell>
        </row>
        <row r="1498">
          <cell r="F1498" t="str">
            <v>AVSSHF 1.25 Gr</v>
          </cell>
          <cell r="G1498" t="str">
            <v>GENERAL WIRE</v>
          </cell>
          <cell r="H1498" t="str">
            <v>WBC0125800</v>
          </cell>
        </row>
        <row r="1499">
          <cell r="F1499" t="str">
            <v>AVSSHF 1.25 L</v>
          </cell>
          <cell r="G1499" t="str">
            <v>GENERAL WIRE</v>
          </cell>
          <cell r="H1499" t="str">
            <v>WBC0125700</v>
          </cell>
        </row>
        <row r="1500">
          <cell r="F1500" t="str">
            <v>AVSSHF 1.25 Br</v>
          </cell>
          <cell r="G1500" t="str">
            <v>GENERAL WIRE</v>
          </cell>
          <cell r="H1500" t="str">
            <v>WBC0125600</v>
          </cell>
        </row>
        <row r="1501">
          <cell r="F1501" t="str">
            <v>AVSSHF 1.25 G</v>
          </cell>
          <cell r="G1501" t="str">
            <v>GENERAL WIRE</v>
          </cell>
          <cell r="H1501" t="str">
            <v>WBC0125400</v>
          </cell>
        </row>
        <row r="1502">
          <cell r="F1502" t="str">
            <v>AVSSHF 1.25 R</v>
          </cell>
          <cell r="G1502" t="str">
            <v>GENERAL WIRE</v>
          </cell>
          <cell r="H1502" t="str">
            <v>WBC0125300</v>
          </cell>
        </row>
        <row r="1503">
          <cell r="F1503" t="str">
            <v>AVSSHF 1.25 W</v>
          </cell>
          <cell r="G1503" t="str">
            <v>GENERAL WIRE</v>
          </cell>
          <cell r="H1503" t="str">
            <v>WBC0125200</v>
          </cell>
        </row>
        <row r="1504">
          <cell r="F1504" t="str">
            <v>AVSSHF 1.25 B</v>
          </cell>
          <cell r="G1504" t="str">
            <v>GENERAL WIRE</v>
          </cell>
          <cell r="H1504" t="str">
            <v>WBC0125100</v>
          </cell>
        </row>
        <row r="1505">
          <cell r="F1505" t="str">
            <v>AVSSHF 1.0 P</v>
          </cell>
          <cell r="G1505" t="str">
            <v>GENERAL WIRE</v>
          </cell>
          <cell r="H1505" t="str">
            <v>WBC0100F00</v>
          </cell>
        </row>
        <row r="1506">
          <cell r="F1506" t="str">
            <v>AVSSHF 1.0 G</v>
          </cell>
          <cell r="G1506" t="str">
            <v>GENERAL WIRE</v>
          </cell>
          <cell r="H1506" t="str">
            <v>WBC0100400</v>
          </cell>
        </row>
        <row r="1507">
          <cell r="F1507" t="str">
            <v>AVSSHF 1.0 W</v>
          </cell>
          <cell r="G1507" t="str">
            <v>GENERAL WIRE</v>
          </cell>
          <cell r="H1507" t="str">
            <v>WBC0100200</v>
          </cell>
        </row>
        <row r="1508">
          <cell r="F1508" t="str">
            <v>AVSSHF 1.0 B</v>
          </cell>
          <cell r="G1508" t="str">
            <v>GENERAL WIRE</v>
          </cell>
          <cell r="H1508" t="str">
            <v>WBC0100100</v>
          </cell>
        </row>
        <row r="1509">
          <cell r="F1509" t="str">
            <v>AVSSHF 0.75 P</v>
          </cell>
          <cell r="G1509" t="str">
            <v>GENERAL WIRE</v>
          </cell>
          <cell r="H1509" t="str">
            <v>WBC0075F00</v>
          </cell>
        </row>
        <row r="1510">
          <cell r="F1510" t="str">
            <v>AVSSHF 0.75 L</v>
          </cell>
          <cell r="G1510" t="str">
            <v>GENERAL WIRE</v>
          </cell>
          <cell r="H1510" t="str">
            <v>WBC0075700</v>
          </cell>
        </row>
        <row r="1511">
          <cell r="F1511" t="str">
            <v>AVSSHF 0.75 Br</v>
          </cell>
          <cell r="G1511" t="str">
            <v>GENERAL WIRE</v>
          </cell>
          <cell r="H1511" t="str">
            <v>WBC0075600</v>
          </cell>
        </row>
        <row r="1512">
          <cell r="F1512" t="str">
            <v>AVSSHF 0.75 Y</v>
          </cell>
          <cell r="G1512" t="str">
            <v>GENERAL WIRE</v>
          </cell>
          <cell r="H1512" t="str">
            <v>WBC0075500</v>
          </cell>
        </row>
        <row r="1513">
          <cell r="F1513" t="str">
            <v>AVSSHF 0.75 G</v>
          </cell>
          <cell r="G1513" t="str">
            <v>GENERAL WIRE</v>
          </cell>
          <cell r="H1513" t="str">
            <v>WBC0075400</v>
          </cell>
        </row>
        <row r="1514">
          <cell r="F1514" t="str">
            <v>AVSSHF 0.75 W</v>
          </cell>
          <cell r="G1514" t="str">
            <v>GENERAL WIRE</v>
          </cell>
          <cell r="H1514" t="str">
            <v>WBC0075200</v>
          </cell>
        </row>
        <row r="1515">
          <cell r="F1515" t="str">
            <v>AVSSHF 0.75 B</v>
          </cell>
          <cell r="G1515" t="str">
            <v>GENERAL WIRE</v>
          </cell>
          <cell r="H1515" t="str">
            <v>WBC0075100</v>
          </cell>
        </row>
        <row r="1516">
          <cell r="F1516" t="str">
            <v>AVSSHF 0.5 P/B</v>
          </cell>
          <cell r="G1516" t="str">
            <v>GENERAL WIRE</v>
          </cell>
          <cell r="H1516" t="str">
            <v>WBC0050F10</v>
          </cell>
        </row>
        <row r="1517">
          <cell r="F1517" t="str">
            <v>AVSSHF 0.5 P</v>
          </cell>
          <cell r="G1517" t="str">
            <v>GENERAL WIRE</v>
          </cell>
          <cell r="H1517" t="str">
            <v>WBC0050F00</v>
          </cell>
        </row>
        <row r="1518">
          <cell r="F1518" t="str">
            <v>AVSSHF 0.50 O/B</v>
          </cell>
          <cell r="G1518" t="str">
            <v>GENERAL WIRE</v>
          </cell>
          <cell r="H1518" t="str">
            <v>WBC0050A10</v>
          </cell>
        </row>
        <row r="1519">
          <cell r="F1519" t="str">
            <v>AVSSHF 0.5 O</v>
          </cell>
          <cell r="G1519" t="str">
            <v>GENERAL WIRE</v>
          </cell>
          <cell r="H1519" t="str">
            <v>WBC0050A00</v>
          </cell>
        </row>
        <row r="1520">
          <cell r="F1520" t="str">
            <v>AVSSHF 0.5 Gr/O</v>
          </cell>
          <cell r="G1520" t="str">
            <v>GENERAL WIRE</v>
          </cell>
          <cell r="H1520" t="str">
            <v>WBC00508A0</v>
          </cell>
        </row>
        <row r="1521">
          <cell r="F1521" t="str">
            <v>AVSSHF 0.5 GR</v>
          </cell>
          <cell r="G1521" t="str">
            <v>GENERAL WIRE</v>
          </cell>
          <cell r="H1521" t="str">
            <v>WBC0050800</v>
          </cell>
        </row>
        <row r="1522">
          <cell r="F1522" t="str">
            <v>AVSSHF 0.5 L/B</v>
          </cell>
          <cell r="G1522" t="str">
            <v>GENERAL WIRE</v>
          </cell>
          <cell r="H1522" t="str">
            <v>WBC0050710</v>
          </cell>
        </row>
        <row r="1523">
          <cell r="F1523" t="str">
            <v>AVSSHF 0.5 L</v>
          </cell>
          <cell r="G1523" t="str">
            <v>GENERAL WIRE</v>
          </cell>
          <cell r="H1523" t="str">
            <v>WBC0050700</v>
          </cell>
        </row>
        <row r="1524">
          <cell r="F1524" t="str">
            <v>AVSSHF 0.5 Br/B</v>
          </cell>
          <cell r="G1524" t="str">
            <v>GENERAL WIRE</v>
          </cell>
          <cell r="H1524" t="str">
            <v>WBC0050610</v>
          </cell>
        </row>
        <row r="1525">
          <cell r="F1525" t="str">
            <v>AVSSHF 0.5 BR</v>
          </cell>
          <cell r="G1525" t="str">
            <v>GENERAL WIRE</v>
          </cell>
          <cell r="H1525" t="str">
            <v>WBC0050600</v>
          </cell>
        </row>
        <row r="1526">
          <cell r="F1526" t="str">
            <v>AVSSHF 0.5 Y</v>
          </cell>
          <cell r="G1526" t="str">
            <v>GENERAL WIRE</v>
          </cell>
          <cell r="H1526" t="str">
            <v>WBC0050500</v>
          </cell>
        </row>
        <row r="1527">
          <cell r="F1527" t="str">
            <v>AVSSHF 0.5 G/B</v>
          </cell>
          <cell r="G1527" t="str">
            <v>GENERAL WIRE</v>
          </cell>
          <cell r="H1527" t="str">
            <v>WBC0050410</v>
          </cell>
        </row>
        <row r="1528">
          <cell r="F1528" t="str">
            <v>AVSSHF 0.5 G</v>
          </cell>
          <cell r="G1528" t="str">
            <v>GENERAL WIRE</v>
          </cell>
          <cell r="H1528" t="str">
            <v>WBC0050400</v>
          </cell>
        </row>
        <row r="1529">
          <cell r="F1529" t="str">
            <v>AVSSHF 0.5 R</v>
          </cell>
          <cell r="G1529" t="str">
            <v>GENERAL WIRE</v>
          </cell>
          <cell r="H1529" t="str">
            <v>WBC0050300</v>
          </cell>
        </row>
        <row r="1530">
          <cell r="F1530" t="str">
            <v>AVSSHF 0.5 W/O</v>
          </cell>
          <cell r="G1530" t="str">
            <v>GENERAL WIRE</v>
          </cell>
          <cell r="H1530" t="str">
            <v>WBC00502A0</v>
          </cell>
        </row>
        <row r="1531">
          <cell r="F1531" t="str">
            <v>AVSSHF 0.5 W/B</v>
          </cell>
          <cell r="G1531" t="str">
            <v>GENERAL WIRE</v>
          </cell>
          <cell r="H1531" t="str">
            <v>WBC0050210</v>
          </cell>
        </row>
        <row r="1532">
          <cell r="F1532" t="str">
            <v>AVSSHF 0.5 W</v>
          </cell>
          <cell r="G1532" t="str">
            <v>GENERAL WIRE</v>
          </cell>
          <cell r="H1532" t="str">
            <v>WBC0050200</v>
          </cell>
        </row>
        <row r="1533">
          <cell r="F1533" t="str">
            <v>AVSSHF 0.5 B/O</v>
          </cell>
          <cell r="G1533" t="str">
            <v>GENERAL WIRE</v>
          </cell>
          <cell r="H1533" t="str">
            <v>WBC00501A0</v>
          </cell>
        </row>
        <row r="1534">
          <cell r="F1534" t="str">
            <v>AVSSHF 0.5 B</v>
          </cell>
          <cell r="G1534" t="str">
            <v>GENERAL WIRE</v>
          </cell>
          <cell r="H1534" t="str">
            <v>WBC0050100</v>
          </cell>
        </row>
        <row r="1535">
          <cell r="F1535" t="str">
            <v>AVSSHF 0.3 P/B</v>
          </cell>
          <cell r="G1535" t="str">
            <v>GENERAL WIRE</v>
          </cell>
          <cell r="H1535" t="str">
            <v>WBC0030F10</v>
          </cell>
        </row>
        <row r="1536">
          <cell r="F1536" t="str">
            <v>AVSSHF 0.30 P</v>
          </cell>
          <cell r="G1536" t="str">
            <v>GENERAL WIRE</v>
          </cell>
          <cell r="H1536" t="str">
            <v>WBC0030F00</v>
          </cell>
        </row>
        <row r="1537">
          <cell r="F1537" t="str">
            <v>AVSSHF 0.3 O/B</v>
          </cell>
          <cell r="G1537" t="str">
            <v>GENERAL WIRE</v>
          </cell>
          <cell r="H1537" t="str">
            <v>WBC0030A10</v>
          </cell>
        </row>
        <row r="1538">
          <cell r="F1538" t="str">
            <v>AVSSHF 0.30 O</v>
          </cell>
          <cell r="G1538" t="str">
            <v>GENERAL WIRE</v>
          </cell>
          <cell r="H1538" t="str">
            <v>WBC0030A00</v>
          </cell>
        </row>
        <row r="1539">
          <cell r="F1539" t="str">
            <v>AVSSHF 0.3 Gr/O</v>
          </cell>
          <cell r="G1539" t="str">
            <v>GENERAL WIRE</v>
          </cell>
          <cell r="H1539" t="str">
            <v>WBC00308A0</v>
          </cell>
        </row>
        <row r="1540">
          <cell r="F1540" t="str">
            <v>AVSSHF 0.30 GrB</v>
          </cell>
          <cell r="G1540" t="str">
            <v>GENERAL WIRE</v>
          </cell>
          <cell r="H1540" t="str">
            <v>WBC0030810</v>
          </cell>
        </row>
        <row r="1541">
          <cell r="F1541" t="str">
            <v>AVSSHF 0.3 GR</v>
          </cell>
          <cell r="G1541" t="str">
            <v>GENERAL WIRE</v>
          </cell>
          <cell r="H1541" t="str">
            <v>WBC0030800</v>
          </cell>
        </row>
        <row r="1542">
          <cell r="F1542" t="str">
            <v>AVSSHF 0.3 L/O</v>
          </cell>
          <cell r="G1542" t="str">
            <v>GENERAL WIRE</v>
          </cell>
          <cell r="H1542" t="str">
            <v>WBC00307A0</v>
          </cell>
        </row>
        <row r="1543">
          <cell r="F1543" t="str">
            <v>AVSSHF 0.30 LB</v>
          </cell>
          <cell r="G1543" t="str">
            <v>GENERAL WIRE</v>
          </cell>
          <cell r="H1543" t="str">
            <v>WBC0030710</v>
          </cell>
        </row>
        <row r="1544">
          <cell r="F1544" t="str">
            <v>AVSSHF 0.30 L</v>
          </cell>
          <cell r="G1544" t="str">
            <v>GENERAL WIRE</v>
          </cell>
          <cell r="H1544" t="str">
            <v>WBC0030700</v>
          </cell>
        </row>
        <row r="1545">
          <cell r="F1545" t="str">
            <v>AVSSHF 0.3 BR/O</v>
          </cell>
          <cell r="G1545" t="str">
            <v>GENERAL WIRE</v>
          </cell>
          <cell r="H1545" t="str">
            <v>WBC00306A0</v>
          </cell>
        </row>
        <row r="1546">
          <cell r="F1546" t="str">
            <v>AVSSHF 0.3 BR/B</v>
          </cell>
          <cell r="G1546" t="str">
            <v>GENERAL WIRE</v>
          </cell>
          <cell r="H1546" t="str">
            <v>WBC0030610</v>
          </cell>
        </row>
        <row r="1547">
          <cell r="F1547" t="str">
            <v>AVSSHF 0.30 Br</v>
          </cell>
          <cell r="G1547" t="str">
            <v>GENERAL WIRE</v>
          </cell>
          <cell r="H1547" t="str">
            <v>WBC0030600</v>
          </cell>
        </row>
        <row r="1548">
          <cell r="F1548" t="str">
            <v>AVSSHF 0.3 Y/O</v>
          </cell>
          <cell r="G1548" t="str">
            <v>GENERAL WIRE</v>
          </cell>
          <cell r="H1548" t="str">
            <v>WBC00305A0</v>
          </cell>
        </row>
        <row r="1549">
          <cell r="F1549" t="str">
            <v>AVSSHF 0.3 Y/B</v>
          </cell>
          <cell r="G1549" t="str">
            <v>GENERAL WIRE</v>
          </cell>
          <cell r="H1549" t="str">
            <v>WBC0030510</v>
          </cell>
        </row>
        <row r="1550">
          <cell r="F1550" t="str">
            <v>AVSSHF 0.30 Y</v>
          </cell>
          <cell r="G1550" t="str">
            <v>GENERAL WIRE</v>
          </cell>
          <cell r="H1550" t="str">
            <v>WBC0030500</v>
          </cell>
        </row>
        <row r="1551">
          <cell r="F1551" t="str">
            <v>AVSSHF 0.3 G/O</v>
          </cell>
          <cell r="G1551" t="str">
            <v>GENERAL WIRE</v>
          </cell>
          <cell r="H1551" t="str">
            <v>WBC00304A0</v>
          </cell>
        </row>
        <row r="1552">
          <cell r="F1552" t="str">
            <v>AVSSHF 0.3 G/B</v>
          </cell>
          <cell r="G1552" t="str">
            <v>GENERAL WIRE</v>
          </cell>
          <cell r="H1552" t="str">
            <v>WBC0030410</v>
          </cell>
        </row>
        <row r="1553">
          <cell r="F1553" t="str">
            <v>AVSSHF 0.30 G</v>
          </cell>
          <cell r="G1553" t="str">
            <v>GENERAL WIRE</v>
          </cell>
          <cell r="H1553" t="str">
            <v>WBC0030400</v>
          </cell>
        </row>
        <row r="1554">
          <cell r="F1554" t="str">
            <v>AVSSHF 0.3 R/O</v>
          </cell>
          <cell r="G1554" t="str">
            <v>GENERAL WIRE</v>
          </cell>
          <cell r="H1554" t="str">
            <v>WBC00303A0</v>
          </cell>
        </row>
        <row r="1555">
          <cell r="F1555" t="str">
            <v>AVSSHF 0.30 RB</v>
          </cell>
          <cell r="G1555" t="str">
            <v>GENERAL WIRE</v>
          </cell>
          <cell r="H1555" t="str">
            <v>WBC0030310</v>
          </cell>
        </row>
        <row r="1556">
          <cell r="F1556" t="str">
            <v>AVSSHF 0.3 R</v>
          </cell>
          <cell r="G1556" t="str">
            <v>GENERAL WIRE</v>
          </cell>
          <cell r="H1556" t="str">
            <v>WBC0030300</v>
          </cell>
        </row>
        <row r="1557">
          <cell r="F1557" t="str">
            <v>AVSSHF 0.3 W/O</v>
          </cell>
          <cell r="G1557" t="str">
            <v>GENERAL WIRE</v>
          </cell>
          <cell r="H1557" t="str">
            <v>WBC00302A0</v>
          </cell>
        </row>
        <row r="1558">
          <cell r="F1558" t="str">
            <v>AVSSHF 0.3 W/B</v>
          </cell>
          <cell r="G1558" t="str">
            <v>GENERAL WIRE</v>
          </cell>
          <cell r="H1558" t="str">
            <v>WBC0030210</v>
          </cell>
        </row>
        <row r="1559">
          <cell r="F1559" t="str">
            <v>AVSSHF 0.30 W</v>
          </cell>
          <cell r="G1559" t="str">
            <v>GENERAL WIRE</v>
          </cell>
          <cell r="H1559" t="str">
            <v>WBC0030200</v>
          </cell>
        </row>
        <row r="1560">
          <cell r="F1560" t="str">
            <v>AVSSHF 0.3 B/O</v>
          </cell>
          <cell r="G1560" t="str">
            <v>GENERAL WIRE</v>
          </cell>
          <cell r="H1560" t="str">
            <v>WBC00301A0</v>
          </cell>
        </row>
        <row r="1561">
          <cell r="F1561" t="str">
            <v>AVSSHF 0.30 B</v>
          </cell>
          <cell r="G1561" t="str">
            <v>GENERAL WIRE</v>
          </cell>
          <cell r="H1561" t="str">
            <v>WBC0030100</v>
          </cell>
        </row>
        <row r="1562">
          <cell r="F1562" t="str">
            <v>AVSSHF 0.22 O</v>
          </cell>
          <cell r="G1562" t="str">
            <v>GENERAL WIRE</v>
          </cell>
          <cell r="H1562" t="str">
            <v>WBC0022A00</v>
          </cell>
        </row>
        <row r="1563">
          <cell r="F1563" t="str">
            <v>AVSSHF 0.22 L</v>
          </cell>
          <cell r="G1563" t="str">
            <v>GENERAL WIRE</v>
          </cell>
          <cell r="H1563" t="str">
            <v>WBC0022700</v>
          </cell>
        </row>
        <row r="1564">
          <cell r="F1564" t="str">
            <v>AVSSHF 0.22 Br</v>
          </cell>
          <cell r="G1564" t="str">
            <v>GENERAL WIRE</v>
          </cell>
          <cell r="H1564" t="str">
            <v>WBC0022600</v>
          </cell>
        </row>
        <row r="1565">
          <cell r="F1565" t="str">
            <v>AVSSHF 0.22 Y</v>
          </cell>
          <cell r="G1565" t="str">
            <v>GENERAL WIRE</v>
          </cell>
          <cell r="H1565" t="str">
            <v>WBC0022500</v>
          </cell>
        </row>
        <row r="1566">
          <cell r="F1566" t="str">
            <v>AVSSHF 0.22 G</v>
          </cell>
          <cell r="G1566" t="str">
            <v>GENERAL WIRE</v>
          </cell>
          <cell r="H1566" t="str">
            <v>WBC0022400</v>
          </cell>
        </row>
        <row r="1567">
          <cell r="F1567" t="str">
            <v>AVSSHF 0.22 W</v>
          </cell>
          <cell r="G1567" t="str">
            <v>GENERAL WIRE</v>
          </cell>
          <cell r="H1567" t="str">
            <v>WBC0022200</v>
          </cell>
        </row>
        <row r="1568">
          <cell r="F1568" t="str">
            <v>AVSSHF 0.22 B</v>
          </cell>
          <cell r="G1568" t="str">
            <v>GENERAL WIRE</v>
          </cell>
          <cell r="H1568" t="str">
            <v>WBC0022100</v>
          </cell>
        </row>
        <row r="1569">
          <cell r="F1569" t="str">
            <v>AVS 5.0 L</v>
          </cell>
          <cell r="G1569" t="str">
            <v>GENERAL WIRE</v>
          </cell>
          <cell r="H1569" t="str">
            <v>WAS0500700</v>
          </cell>
        </row>
        <row r="1570">
          <cell r="F1570" t="str">
            <v>AVS 5.0 R</v>
          </cell>
          <cell r="G1570" t="str">
            <v>GENERAL WIRE</v>
          </cell>
          <cell r="H1570" t="str">
            <v>WAS0500300</v>
          </cell>
        </row>
        <row r="1571">
          <cell r="F1571" t="str">
            <v>AVS 5.0 W</v>
          </cell>
          <cell r="G1571" t="str">
            <v>GENERAL WIRE</v>
          </cell>
          <cell r="H1571" t="str">
            <v>WAS0500200</v>
          </cell>
        </row>
        <row r="1572">
          <cell r="F1572" t="str">
            <v>AVS 5.0 B</v>
          </cell>
          <cell r="G1572" t="str">
            <v>GENERAL WIRE</v>
          </cell>
          <cell r="H1572" t="str">
            <v>WAS0500100</v>
          </cell>
        </row>
        <row r="1573">
          <cell r="F1573" t="str">
            <v>AVS 3.0 G</v>
          </cell>
          <cell r="G1573" t="str">
            <v>GENERAL WIRE</v>
          </cell>
          <cell r="H1573" t="str">
            <v>WAS0300400</v>
          </cell>
        </row>
        <row r="1574">
          <cell r="F1574" t="str">
            <v>AVS 3.0 R</v>
          </cell>
          <cell r="G1574" t="str">
            <v>GENERAL WIRE</v>
          </cell>
          <cell r="H1574" t="str">
            <v>WAS0300300</v>
          </cell>
        </row>
        <row r="1575">
          <cell r="F1575" t="str">
            <v>AVS 3.0 W</v>
          </cell>
          <cell r="G1575" t="str">
            <v>GENERAL WIRE</v>
          </cell>
          <cell r="H1575" t="str">
            <v>WAS0300200</v>
          </cell>
        </row>
        <row r="1576">
          <cell r="F1576" t="str">
            <v>AVS 3.0 B</v>
          </cell>
          <cell r="G1576" t="str">
            <v>GENERAL WIRE</v>
          </cell>
          <cell r="H1576" t="str">
            <v>WAS0300100</v>
          </cell>
        </row>
        <row r="1577">
          <cell r="F1577" t="str">
            <v>AVUHSF 20.0 B</v>
          </cell>
          <cell r="G1577" t="str">
            <v>GENERAL WIRE</v>
          </cell>
          <cell r="H1577" t="str">
            <v>WAB2000100</v>
          </cell>
        </row>
        <row r="1578">
          <cell r="F1578" t="str">
            <v>V/SHEET 140X100</v>
          </cell>
          <cell r="G1578" t="str">
            <v>VINYL SHEET</v>
          </cell>
          <cell r="H1578" t="str">
            <v>VS140100</v>
          </cell>
        </row>
        <row r="1579">
          <cell r="F1579" t="str">
            <v>V/SHEET 130X80</v>
          </cell>
          <cell r="G1579" t="str">
            <v>VINYL SHEET</v>
          </cell>
          <cell r="H1579" t="str">
            <v>VS130080</v>
          </cell>
        </row>
        <row r="1580">
          <cell r="F1580" t="str">
            <v>V/SHEET 120X410</v>
          </cell>
          <cell r="G1580" t="str">
            <v>VINYL SHEET</v>
          </cell>
          <cell r="H1580" t="str">
            <v>VS120410</v>
          </cell>
        </row>
        <row r="1581">
          <cell r="F1581" t="str">
            <v>PRT 120X170</v>
          </cell>
          <cell r="G1581" t="str">
            <v>V/SHEET</v>
          </cell>
          <cell r="H1581" t="str">
            <v>VS120170</v>
          </cell>
        </row>
        <row r="1582">
          <cell r="F1582" t="str">
            <v>V/SHEET 110X480</v>
          </cell>
          <cell r="G1582" t="str">
            <v>VINYL SHEET</v>
          </cell>
          <cell r="H1582" t="str">
            <v>VS110480</v>
          </cell>
        </row>
        <row r="1583">
          <cell r="F1583" t="str">
            <v>V/SHEET 110X410</v>
          </cell>
          <cell r="G1583" t="str">
            <v>VINYL SHEET</v>
          </cell>
          <cell r="H1583" t="str">
            <v>VS110410</v>
          </cell>
        </row>
        <row r="1584">
          <cell r="F1584" t="str">
            <v>V/SHEET 110X170</v>
          </cell>
          <cell r="G1584" t="str">
            <v>VINYL SHEET</v>
          </cell>
          <cell r="H1584" t="str">
            <v>VS110170</v>
          </cell>
        </row>
        <row r="1585">
          <cell r="F1585" t="str">
            <v>V/SHEET 110X150</v>
          </cell>
          <cell r="G1585" t="str">
            <v>VINYL SHEET</v>
          </cell>
          <cell r="H1585" t="str">
            <v>VS110150</v>
          </cell>
        </row>
        <row r="1586">
          <cell r="F1586" t="str">
            <v>PRT110x80 가죽무늬 SHEET</v>
          </cell>
          <cell r="G1586" t="str">
            <v>VINYL SHEET</v>
          </cell>
          <cell r="H1586" t="str">
            <v>VS110080</v>
          </cell>
        </row>
        <row r="1587">
          <cell r="F1587" t="str">
            <v>V/SHEET 100X410</v>
          </cell>
          <cell r="G1587" t="str">
            <v>VINYL SHEET</v>
          </cell>
          <cell r="H1587" t="str">
            <v>VS100410</v>
          </cell>
        </row>
        <row r="1588">
          <cell r="F1588" t="str">
            <v>PRT100x140가죽무늬 SHEET</v>
          </cell>
          <cell r="G1588" t="str">
            <v>VINYL SHEET</v>
          </cell>
          <cell r="H1588" t="str">
            <v>VS100140</v>
          </cell>
        </row>
        <row r="1589">
          <cell r="F1589" t="str">
            <v>V/SHEET 90X170</v>
          </cell>
          <cell r="G1589" t="str">
            <v>VINYL SHEET</v>
          </cell>
          <cell r="H1589" t="str">
            <v>VS090170</v>
          </cell>
        </row>
        <row r="1590">
          <cell r="F1590" t="str">
            <v>V/SHEET 90×50</v>
          </cell>
          <cell r="G1590" t="str">
            <v>V/SHEET</v>
          </cell>
          <cell r="H1590" t="str">
            <v>VS090050</v>
          </cell>
        </row>
        <row r="1591">
          <cell r="F1591" t="str">
            <v>V/SHEET 90×40</v>
          </cell>
          <cell r="G1591" t="str">
            <v>V/SHEET</v>
          </cell>
          <cell r="H1591" t="str">
            <v>VS090040</v>
          </cell>
        </row>
        <row r="1592">
          <cell r="F1592" t="str">
            <v>V/SHEET 80x200</v>
          </cell>
          <cell r="G1592" t="str">
            <v>V/SHEET</v>
          </cell>
          <cell r="H1592" t="str">
            <v>VS080200</v>
          </cell>
        </row>
        <row r="1593">
          <cell r="F1593" t="str">
            <v>V/SHEET 80x180</v>
          </cell>
          <cell r="G1593" t="str">
            <v>V/SHEET</v>
          </cell>
          <cell r="H1593" t="str">
            <v>VS080180</v>
          </cell>
        </row>
        <row r="1594">
          <cell r="F1594" t="str">
            <v>PRT 80X170</v>
          </cell>
          <cell r="G1594" t="str">
            <v>V/SHEET</v>
          </cell>
          <cell r="H1594" t="str">
            <v>VS080170</v>
          </cell>
        </row>
        <row r="1595">
          <cell r="F1595" t="str">
            <v>V/SHEET 80×160</v>
          </cell>
          <cell r="G1595" t="str">
            <v>V/SHEET</v>
          </cell>
          <cell r="H1595" t="str">
            <v>VS080160</v>
          </cell>
        </row>
        <row r="1596">
          <cell r="F1596" t="str">
            <v>V/SHEET 80×130</v>
          </cell>
          <cell r="G1596" t="str">
            <v>V/SHEET</v>
          </cell>
          <cell r="H1596" t="str">
            <v>VS080130</v>
          </cell>
        </row>
        <row r="1597">
          <cell r="F1597" t="str">
            <v>V/SHEET 80x120</v>
          </cell>
          <cell r="G1597" t="str">
            <v>V/SHEET</v>
          </cell>
          <cell r="H1597" t="str">
            <v>VS080120</v>
          </cell>
        </row>
        <row r="1598">
          <cell r="F1598" t="str">
            <v>V/SHEET 80×110</v>
          </cell>
          <cell r="G1598" t="str">
            <v>V/SHEET</v>
          </cell>
          <cell r="H1598" t="str">
            <v>VS080110</v>
          </cell>
        </row>
        <row r="1599">
          <cell r="F1599" t="str">
            <v>V/SHEET 80×100</v>
          </cell>
          <cell r="G1599" t="str">
            <v>V/SHEET</v>
          </cell>
          <cell r="H1599" t="str">
            <v>VS080100</v>
          </cell>
        </row>
        <row r="1600">
          <cell r="F1600" t="str">
            <v>V/SHEET 80×90</v>
          </cell>
          <cell r="G1600" t="str">
            <v>V/SHEET</v>
          </cell>
          <cell r="H1600" t="str">
            <v>VS080090</v>
          </cell>
        </row>
        <row r="1601">
          <cell r="F1601" t="str">
            <v>V/SHEET 80×50</v>
          </cell>
          <cell r="G1601" t="str">
            <v>V/SHEET</v>
          </cell>
          <cell r="H1601" t="str">
            <v>VS080050</v>
          </cell>
        </row>
        <row r="1602">
          <cell r="F1602" t="str">
            <v>V/SHEET 80×40</v>
          </cell>
          <cell r="G1602" t="str">
            <v>V/SHEET</v>
          </cell>
          <cell r="H1602" t="str">
            <v>VS080040</v>
          </cell>
        </row>
        <row r="1603">
          <cell r="F1603" t="str">
            <v>V/SHEET 70×160</v>
          </cell>
          <cell r="G1603" t="str">
            <v>V/SHEET</v>
          </cell>
          <cell r="H1603" t="str">
            <v>VS070160</v>
          </cell>
        </row>
        <row r="1604">
          <cell r="F1604" t="str">
            <v>V/SHEET 70×130</v>
          </cell>
          <cell r="G1604" t="str">
            <v>V/SHEET</v>
          </cell>
          <cell r="H1604" t="str">
            <v>VS070130</v>
          </cell>
        </row>
        <row r="1605">
          <cell r="F1605" t="str">
            <v>V/SHEET 70×110</v>
          </cell>
          <cell r="G1605" t="str">
            <v>V/SHEET</v>
          </cell>
          <cell r="H1605" t="str">
            <v>VS070110</v>
          </cell>
        </row>
        <row r="1606">
          <cell r="F1606" t="str">
            <v>V/SHEET 70×100</v>
          </cell>
          <cell r="G1606" t="str">
            <v>V/SHEET</v>
          </cell>
          <cell r="H1606" t="str">
            <v>VS070100</v>
          </cell>
        </row>
        <row r="1607">
          <cell r="F1607" t="str">
            <v>V/SHEET 70×90</v>
          </cell>
          <cell r="G1607" t="str">
            <v>V/SHEET</v>
          </cell>
          <cell r="H1607" t="str">
            <v>VS070090</v>
          </cell>
        </row>
        <row r="1608">
          <cell r="F1608" t="str">
            <v>V/SHEET 70×50</v>
          </cell>
          <cell r="G1608" t="str">
            <v>V/SHEET</v>
          </cell>
          <cell r="H1608" t="str">
            <v>VS070050</v>
          </cell>
        </row>
        <row r="1609">
          <cell r="F1609" t="str">
            <v>V/SHEET 70×40</v>
          </cell>
          <cell r="G1609" t="str">
            <v>V/SHEET</v>
          </cell>
          <cell r="H1609" t="str">
            <v>VS070040</v>
          </cell>
        </row>
        <row r="1610">
          <cell r="F1610" t="str">
            <v>V/SHEET 60x90</v>
          </cell>
          <cell r="G1610" t="str">
            <v>V/SHEET</v>
          </cell>
          <cell r="H1610" t="str">
            <v>VS060090</v>
          </cell>
        </row>
        <row r="1611">
          <cell r="F1611" t="str">
            <v>V/SHEET 60×70</v>
          </cell>
          <cell r="G1611" t="str">
            <v>V/SHEET</v>
          </cell>
          <cell r="H1611" t="str">
            <v>VS060070</v>
          </cell>
        </row>
        <row r="1612">
          <cell r="F1612" t="str">
            <v>V/SHEET 50×70</v>
          </cell>
          <cell r="G1612" t="str">
            <v>V/SHEET</v>
          </cell>
          <cell r="H1612" t="str">
            <v>VS050070</v>
          </cell>
        </row>
        <row r="1613">
          <cell r="F1613" t="str">
            <v>VOX 10X200</v>
          </cell>
          <cell r="G1613" t="str">
            <v>H/TUBE</v>
          </cell>
          <cell r="H1613" t="str">
            <v>UVOX0010ROLL</v>
          </cell>
        </row>
        <row r="1614">
          <cell r="F1614" t="str">
            <v>VOX 8X055</v>
          </cell>
          <cell r="G1614" t="str">
            <v>H/TUBE</v>
          </cell>
          <cell r="H1614" t="str">
            <v>UVOX0008ROLL</v>
          </cell>
        </row>
        <row r="1615">
          <cell r="F1615" t="str">
            <v>VOX 6X140</v>
          </cell>
          <cell r="G1615" t="str">
            <v>H/TUBE</v>
          </cell>
          <cell r="H1615" t="str">
            <v>UVOX0006ROLL</v>
          </cell>
        </row>
        <row r="1616">
          <cell r="F1616" t="str">
            <v>USM</v>
          </cell>
          <cell r="G1616" t="str">
            <v>TERMINAL</v>
          </cell>
          <cell r="H1616" t="str">
            <v>USM</v>
          </cell>
        </row>
        <row r="1617">
          <cell r="F1617" t="str">
            <v>SHMT 12X60</v>
          </cell>
          <cell r="G1617" t="str">
            <v>SHMT TUBE</v>
          </cell>
          <cell r="H1617" t="str">
            <v>USHMT120060</v>
          </cell>
        </row>
        <row r="1618">
          <cell r="F1618" t="str">
            <v>SHMT 9X60</v>
          </cell>
          <cell r="G1618" t="str">
            <v>SHMT TUBE</v>
          </cell>
          <cell r="H1618" t="str">
            <v>USHMT090060</v>
          </cell>
        </row>
        <row r="1619">
          <cell r="F1619" t="str">
            <v>SHMT 9X50</v>
          </cell>
          <cell r="G1619" t="str">
            <v>SHMT TUBE</v>
          </cell>
          <cell r="H1619" t="str">
            <v>USHMT090050</v>
          </cell>
        </row>
        <row r="1620">
          <cell r="F1620" t="str">
            <v>SHMT 9X30</v>
          </cell>
          <cell r="G1620" t="str">
            <v>SHMT TUBE</v>
          </cell>
          <cell r="H1620" t="str">
            <v>USHMT090030</v>
          </cell>
        </row>
        <row r="1621">
          <cell r="F1621" t="str">
            <v>SHMT 6X60</v>
          </cell>
          <cell r="G1621" t="str">
            <v>SHMT TUBE</v>
          </cell>
          <cell r="H1621" t="str">
            <v>USHMT060060</v>
          </cell>
        </row>
        <row r="1622">
          <cell r="F1622" t="str">
            <v>SHMT 6X50</v>
          </cell>
          <cell r="G1622" t="str">
            <v>SHMT TUBE</v>
          </cell>
          <cell r="H1622" t="str">
            <v>USHMT060050</v>
          </cell>
        </row>
        <row r="1623">
          <cell r="F1623" t="str">
            <v>SHMT 6X30</v>
          </cell>
          <cell r="G1623" t="str">
            <v>SHMT TUBE</v>
          </cell>
          <cell r="H1623" t="str">
            <v>USHMT060030</v>
          </cell>
        </row>
        <row r="1624">
          <cell r="F1624" t="str">
            <v>600X460X280</v>
          </cell>
          <cell r="G1624" t="str">
            <v>CARTON BOX</v>
          </cell>
          <cell r="H1624" t="str">
            <v>USE0214</v>
          </cell>
        </row>
        <row r="1625">
          <cell r="F1625" t="str">
            <v>KLF-N7T</v>
          </cell>
          <cell r="G1625" t="str">
            <v>TECHLUB KLF-N7T</v>
          </cell>
          <cell r="H1625" t="str">
            <v>USE0213</v>
          </cell>
        </row>
        <row r="1626">
          <cell r="F1626" t="str">
            <v>AIR CAP(180X250)</v>
          </cell>
          <cell r="G1626" t="str">
            <v>AIR CAP</v>
          </cell>
          <cell r="H1626" t="str">
            <v>USE0212</v>
          </cell>
        </row>
        <row r="1627">
          <cell r="F1627" t="str">
            <v>SPL50X60</v>
          </cell>
          <cell r="G1627" t="str">
            <v>VINYL PACK</v>
          </cell>
          <cell r="H1627" t="str">
            <v>USE0211</v>
          </cell>
        </row>
        <row r="1628">
          <cell r="F1628" t="str">
            <v>LD03*50*60</v>
          </cell>
          <cell r="G1628" t="str">
            <v>VINYL PACK</v>
          </cell>
          <cell r="H1628" t="str">
            <v>USE0210</v>
          </cell>
        </row>
        <row r="1629">
          <cell r="F1629" t="str">
            <v>120mm X 170mm</v>
          </cell>
          <cell r="G1629" t="str">
            <v>ZIP PACK</v>
          </cell>
          <cell r="H1629" t="str">
            <v>USE0209</v>
          </cell>
        </row>
        <row r="1630">
          <cell r="F1630" t="str">
            <v>300mm X 400mm</v>
          </cell>
          <cell r="G1630" t="str">
            <v>ZIP PACK</v>
          </cell>
          <cell r="H1630" t="str">
            <v>USE0208</v>
          </cell>
        </row>
        <row r="1631">
          <cell r="F1631" t="str">
            <v>300X500</v>
          </cell>
          <cell r="G1631" t="str">
            <v>VINYL PACK</v>
          </cell>
          <cell r="H1631" t="str">
            <v>USE0207</v>
          </cell>
        </row>
        <row r="1632">
          <cell r="F1632" t="str">
            <v>PE-BAG(0.5X40X50)</v>
          </cell>
          <cell r="G1632" t="str">
            <v>PE-BAG</v>
          </cell>
          <cell r="H1632" t="str">
            <v>USE0206</v>
          </cell>
        </row>
        <row r="1633">
          <cell r="F1633" t="str">
            <v>B-220,(10X300)</v>
          </cell>
          <cell r="G1633" t="str">
            <v>BARCODE RIBON</v>
          </cell>
          <cell r="H1633" t="str">
            <v>USE0205</v>
          </cell>
        </row>
        <row r="1634">
          <cell r="F1634" t="str">
            <v>THF(연접본드)</v>
          </cell>
          <cell r="G1634" t="str">
            <v>THF BOND</v>
          </cell>
          <cell r="H1634" t="str">
            <v>USE0204</v>
          </cell>
        </row>
        <row r="1635">
          <cell r="F1635" t="str">
            <v>150mm X 200mm</v>
          </cell>
          <cell r="G1635" t="str">
            <v>ZIP PACK</v>
          </cell>
          <cell r="H1635" t="str">
            <v>USE0203</v>
          </cell>
        </row>
        <row r="1636">
          <cell r="F1636" t="str">
            <v>50mm X 60mm</v>
          </cell>
          <cell r="G1636" t="str">
            <v>ZIP PACK</v>
          </cell>
          <cell r="H1636" t="str">
            <v>USE0202</v>
          </cell>
        </row>
        <row r="1637">
          <cell r="F1637" t="str">
            <v>VELCRO(BLK)</v>
          </cell>
          <cell r="G1637" t="str">
            <v>VELCRO</v>
          </cell>
          <cell r="H1637" t="str">
            <v>USE0201</v>
          </cell>
        </row>
        <row r="1638">
          <cell r="F1638" t="str">
            <v>VELCRO(WHT)</v>
          </cell>
          <cell r="G1638" t="str">
            <v>VELCRO</v>
          </cell>
          <cell r="H1638" t="str">
            <v>USE0200</v>
          </cell>
        </row>
        <row r="1639">
          <cell r="F1639" t="str">
            <v>WATERPROOF PAINT</v>
          </cell>
          <cell r="G1639" t="str">
            <v>PAINT</v>
          </cell>
          <cell r="H1639" t="str">
            <v>USE0199</v>
          </cell>
        </row>
        <row r="1640">
          <cell r="F1640" t="str">
            <v>3TX320X505</v>
          </cell>
          <cell r="G1640" t="str">
            <v>505X320패드</v>
          </cell>
          <cell r="H1640" t="str">
            <v>USE0198</v>
          </cell>
        </row>
        <row r="1641">
          <cell r="F1641" t="str">
            <v>MULTIPURPOSE BOX</v>
          </cell>
          <cell r="G1641" t="str">
            <v>MULTIPURPOSE BOX</v>
          </cell>
          <cell r="H1641" t="str">
            <v>USE0197</v>
          </cell>
        </row>
        <row r="1642">
          <cell r="F1642" t="str">
            <v>DB93-17066A</v>
          </cell>
          <cell r="G1642" t="str">
            <v>ASSY C/W</v>
          </cell>
          <cell r="H1642" t="str">
            <v>USE0196</v>
          </cell>
        </row>
        <row r="1643">
          <cell r="F1643" t="str">
            <v>DB93-17510A</v>
          </cell>
          <cell r="G1643" t="str">
            <v>ASSY C/W</v>
          </cell>
          <cell r="H1643" t="str">
            <v>USE0195</v>
          </cell>
        </row>
        <row r="1644">
          <cell r="F1644" t="str">
            <v>STRING</v>
          </cell>
          <cell r="G1644" t="str">
            <v>STRING</v>
          </cell>
          <cell r="H1644" t="str">
            <v>USE0194</v>
          </cell>
        </row>
        <row r="1645">
          <cell r="F1645" t="str">
            <v>LC-7YBW</v>
          </cell>
          <cell r="G1645" t="str">
            <v>LABEL TAPE</v>
          </cell>
          <cell r="H1645" t="str">
            <v>USE0193</v>
          </cell>
        </row>
        <row r="1646">
          <cell r="F1646" t="str">
            <v>LC-5LBP</v>
          </cell>
          <cell r="G1646" t="str">
            <v>LABEL TAPE</v>
          </cell>
          <cell r="H1646" t="str">
            <v>USE0192</v>
          </cell>
        </row>
        <row r="1647">
          <cell r="F1647" t="str">
            <v>DRAWER</v>
          </cell>
          <cell r="G1647" t="str">
            <v>DRAWER</v>
          </cell>
          <cell r="H1647" t="str">
            <v>USE0191</v>
          </cell>
        </row>
        <row r="1648">
          <cell r="F1648" t="str">
            <v>BAMBOO MAT</v>
          </cell>
          <cell r="G1648" t="str">
            <v>BAMBOO MAT</v>
          </cell>
          <cell r="H1648" t="str">
            <v>USE0190</v>
          </cell>
        </row>
        <row r="1649">
          <cell r="F1649" t="str">
            <v>FOLDER</v>
          </cell>
          <cell r="G1649" t="str">
            <v>FOLDER</v>
          </cell>
          <cell r="H1649" t="str">
            <v>USE0189</v>
          </cell>
        </row>
        <row r="1650">
          <cell r="F1650" t="str">
            <v>C9373A YELLOW</v>
          </cell>
          <cell r="G1650" t="str">
            <v>PLOT INK</v>
          </cell>
          <cell r="H1650" t="str">
            <v>USE0188</v>
          </cell>
        </row>
        <row r="1651">
          <cell r="F1651" t="str">
            <v>C9372A RED</v>
          </cell>
          <cell r="G1651" t="str">
            <v>PLOT INK</v>
          </cell>
          <cell r="H1651" t="str">
            <v>USE0187</v>
          </cell>
        </row>
        <row r="1652">
          <cell r="F1652" t="str">
            <v>3WX087A PHOTO BLACK</v>
          </cell>
          <cell r="G1652" t="str">
            <v>PLOT INK</v>
          </cell>
          <cell r="H1652" t="str">
            <v>USE0186</v>
          </cell>
        </row>
        <row r="1653">
          <cell r="F1653" t="str">
            <v>3WX086A MATT BLACK</v>
          </cell>
          <cell r="G1653" t="str">
            <v>PLOT INK</v>
          </cell>
          <cell r="H1653" t="str">
            <v>USE0185</v>
          </cell>
        </row>
        <row r="1654">
          <cell r="F1654" t="str">
            <v>42INCH</v>
          </cell>
          <cell r="G1654" t="str">
            <v>PLOT PAPER</v>
          </cell>
          <cell r="H1654" t="str">
            <v>USE0184</v>
          </cell>
        </row>
        <row r="1655">
          <cell r="F1655" t="str">
            <v>5G-50*65</v>
          </cell>
          <cell r="G1655" t="str">
            <v>SILICA-GEL</v>
          </cell>
          <cell r="H1655" t="str">
            <v>USE0183</v>
          </cell>
        </row>
        <row r="1656">
          <cell r="F1656" t="str">
            <v>100MM * 300M</v>
          </cell>
          <cell r="G1656" t="str">
            <v>INK WAX RESIN</v>
          </cell>
          <cell r="H1656" t="str">
            <v>USE0181</v>
          </cell>
        </row>
        <row r="1657">
          <cell r="F1657" t="str">
            <v>110MM * 100M</v>
          </cell>
          <cell r="G1657" t="str">
            <v>INK WAX RESIN</v>
          </cell>
          <cell r="H1657" t="str">
            <v>USE0180</v>
          </cell>
        </row>
        <row r="1658">
          <cell r="F1658" t="str">
            <v>110MM * 250M</v>
          </cell>
          <cell r="G1658" t="str">
            <v>INK WAX RESIN</v>
          </cell>
          <cell r="H1658" t="str">
            <v>USE0179</v>
          </cell>
        </row>
        <row r="1659">
          <cell r="F1659" t="str">
            <v>TROLLEY</v>
          </cell>
          <cell r="G1659" t="str">
            <v>TROLLEY</v>
          </cell>
          <cell r="H1659" t="str">
            <v>USE0178</v>
          </cell>
        </row>
        <row r="1660">
          <cell r="F1660" t="str">
            <v>5*400*800</v>
          </cell>
          <cell r="G1660" t="str">
            <v>BAKELITE SHEET</v>
          </cell>
          <cell r="H1660" t="str">
            <v>USE0176</v>
          </cell>
        </row>
        <row r="1661">
          <cell r="F1661" t="str">
            <v>4*400*800</v>
          </cell>
          <cell r="G1661" t="str">
            <v>BAKELITE SHEET</v>
          </cell>
          <cell r="H1661" t="str">
            <v>USE0175</v>
          </cell>
        </row>
        <row r="1662">
          <cell r="F1662" t="str">
            <v>BAND 12MM</v>
          </cell>
          <cell r="G1662" t="str">
            <v>PP BAND</v>
          </cell>
          <cell r="H1662" t="str">
            <v>USE0174</v>
          </cell>
        </row>
        <row r="1663">
          <cell r="F1663" t="str">
            <v>PE 15*21</v>
          </cell>
          <cell r="G1663" t="str">
            <v>Sheet</v>
          </cell>
          <cell r="H1663" t="str">
            <v>USE0173</v>
          </cell>
        </row>
        <row r="1664">
          <cell r="F1664" t="str">
            <v>지퍼BAG 5X40X40</v>
          </cell>
          <cell r="G1664" t="str">
            <v>지퍼BAG</v>
          </cell>
          <cell r="H1664" t="str">
            <v>USE0172</v>
          </cell>
        </row>
        <row r="1665">
          <cell r="F1665" t="str">
            <v>지퍼BAG 5X23X17</v>
          </cell>
          <cell r="G1665" t="str">
            <v>지퍼BAG</v>
          </cell>
          <cell r="H1665" t="str">
            <v>USE0171</v>
          </cell>
        </row>
        <row r="1666">
          <cell r="F1666" t="str">
            <v>LOC TITE 401</v>
          </cell>
          <cell r="G1666" t="str">
            <v>LOC TITE</v>
          </cell>
          <cell r="H1666" t="str">
            <v>USE0170</v>
          </cell>
        </row>
        <row r="1667">
          <cell r="F1667" t="str">
            <v>5X400X800</v>
          </cell>
          <cell r="G1667" t="str">
            <v>SEET</v>
          </cell>
          <cell r="H1667" t="str">
            <v>USE0169</v>
          </cell>
        </row>
        <row r="1668">
          <cell r="F1668" t="str">
            <v>702OL24</v>
          </cell>
          <cell r="G1668" t="str">
            <v>Ø4</v>
          </cell>
          <cell r="H1668" t="str">
            <v>USE0168</v>
          </cell>
        </row>
        <row r="1669">
          <cell r="F1669" t="str">
            <v>702OL24</v>
          </cell>
          <cell r="G1669" t="str">
            <v>Ø3</v>
          </cell>
          <cell r="H1669" t="str">
            <v>USE0167</v>
          </cell>
        </row>
        <row r="1670">
          <cell r="F1670" t="str">
            <v>702OL24</v>
          </cell>
          <cell r="G1670" t="str">
            <v>Ø6</v>
          </cell>
          <cell r="H1670" t="str">
            <v>USE0166</v>
          </cell>
        </row>
        <row r="1671">
          <cell r="F1671" t="str">
            <v>Ø5</v>
          </cell>
          <cell r="G1671" t="str">
            <v>wire induction guide</v>
          </cell>
          <cell r="H1671" t="str">
            <v>USE0165</v>
          </cell>
        </row>
        <row r="1672">
          <cell r="F1672" t="str">
            <v>600X340X300</v>
          </cell>
          <cell r="G1672" t="str">
            <v>DANPLA BOX</v>
          </cell>
          <cell r="H1672" t="str">
            <v>USE0164</v>
          </cell>
        </row>
        <row r="1673">
          <cell r="F1673" t="str">
            <v>A5(148X210)</v>
          </cell>
          <cell r="G1673" t="str">
            <v>포켓/경질봉투</v>
          </cell>
          <cell r="H1673" t="str">
            <v>USE0163</v>
          </cell>
        </row>
        <row r="1674">
          <cell r="F1674" t="str">
            <v>현품표 100X120</v>
          </cell>
          <cell r="G1674" t="str">
            <v>현품표</v>
          </cell>
          <cell r="H1674" t="str">
            <v>USE0162</v>
          </cell>
        </row>
        <row r="1675">
          <cell r="F1675" t="str">
            <v>660X670</v>
          </cell>
          <cell r="G1675" t="str">
            <v>PP Fabric</v>
          </cell>
          <cell r="H1675" t="str">
            <v>USE0161</v>
          </cell>
        </row>
        <row r="1676">
          <cell r="F1676" t="str">
            <v>914X746</v>
          </cell>
          <cell r="G1676" t="str">
            <v>PP Fabric</v>
          </cell>
          <cell r="H1676" t="str">
            <v>USE0160</v>
          </cell>
        </row>
        <row r="1677">
          <cell r="F1677" t="str">
            <v>894X746</v>
          </cell>
          <cell r="G1677" t="str">
            <v>PP Fabric</v>
          </cell>
          <cell r="H1677" t="str">
            <v>USE0159</v>
          </cell>
        </row>
        <row r="1678">
          <cell r="F1678" t="str">
            <v>C4813A YELLOW</v>
          </cell>
          <cell r="G1678" t="str">
            <v>PLOT INK</v>
          </cell>
          <cell r="H1678" t="str">
            <v>USE0158</v>
          </cell>
        </row>
        <row r="1679">
          <cell r="F1679" t="str">
            <v>C4812A MARGENTA</v>
          </cell>
          <cell r="G1679" t="str">
            <v>PLOT INK</v>
          </cell>
          <cell r="H1679" t="str">
            <v>USE0157</v>
          </cell>
        </row>
        <row r="1680">
          <cell r="F1680" t="str">
            <v>C4811A CYAN</v>
          </cell>
          <cell r="G1680" t="str">
            <v>PLOT INK</v>
          </cell>
          <cell r="H1680" t="str">
            <v>USE0156</v>
          </cell>
        </row>
        <row r="1681">
          <cell r="F1681" t="str">
            <v>C4810A BLACK</v>
          </cell>
          <cell r="G1681" t="str">
            <v>PLOT INK</v>
          </cell>
          <cell r="H1681" t="str">
            <v>USE0155</v>
          </cell>
        </row>
        <row r="1682">
          <cell r="F1682" t="str">
            <v>C4911A CYAN</v>
          </cell>
          <cell r="G1682" t="str">
            <v>PLOT INK</v>
          </cell>
          <cell r="H1682" t="str">
            <v>USE0154</v>
          </cell>
        </row>
        <row r="1683">
          <cell r="F1683" t="str">
            <v>C4913A YELLOW</v>
          </cell>
          <cell r="G1683" t="str">
            <v>PLOT INK</v>
          </cell>
          <cell r="H1683" t="str">
            <v>USE0153</v>
          </cell>
        </row>
        <row r="1684">
          <cell r="F1684" t="str">
            <v>C4912A MARGENTA</v>
          </cell>
          <cell r="G1684" t="str">
            <v>PLOT INK</v>
          </cell>
          <cell r="H1684" t="str">
            <v>USE0152</v>
          </cell>
        </row>
        <row r="1685">
          <cell r="F1685" t="str">
            <v>CH565A BLACK</v>
          </cell>
          <cell r="G1685" t="str">
            <v>PLOT INK</v>
          </cell>
          <cell r="H1685" t="str">
            <v>USE0151</v>
          </cell>
        </row>
        <row r="1686">
          <cell r="F1686" t="str">
            <v>syncolon(PTFE)</v>
          </cell>
          <cell r="G1686" t="str">
            <v>SUPER LUV GREECE</v>
          </cell>
          <cell r="H1686" t="str">
            <v>USE0150</v>
          </cell>
        </row>
        <row r="1687">
          <cell r="F1687" t="str">
            <v>라인TAPE 75X33/YEL</v>
          </cell>
          <cell r="G1687" t="str">
            <v>라인TAPE</v>
          </cell>
          <cell r="H1687" t="str">
            <v>USE0130</v>
          </cell>
        </row>
        <row r="1688">
          <cell r="F1688" t="str">
            <v>라인TAPE 50X33/WHITE</v>
          </cell>
          <cell r="G1688" t="str">
            <v>라인TAPE</v>
          </cell>
          <cell r="H1688" t="str">
            <v>USE0129</v>
          </cell>
        </row>
        <row r="1689">
          <cell r="F1689" t="str">
            <v>라인TAPE 50X33/청</v>
          </cell>
          <cell r="G1689" t="str">
            <v>라인TAPE</v>
          </cell>
          <cell r="H1689" t="str">
            <v>USE0128</v>
          </cell>
        </row>
        <row r="1690">
          <cell r="F1690" t="str">
            <v>에어켑 4TX50X100M</v>
          </cell>
          <cell r="G1690" t="str">
            <v>에어캡</v>
          </cell>
          <cell r="H1690" t="str">
            <v>USE0127</v>
          </cell>
        </row>
        <row r="1691">
          <cell r="F1691" t="str">
            <v>팜피드장갑(L)</v>
          </cell>
          <cell r="G1691" t="str">
            <v>팜피드장갑</v>
          </cell>
          <cell r="H1691" t="str">
            <v>USE0126</v>
          </cell>
        </row>
        <row r="1692">
          <cell r="F1692" t="str">
            <v>사출 재활용 박스</v>
          </cell>
          <cell r="G1692" t="str">
            <v>재활용 박스</v>
          </cell>
          <cell r="H1692" t="str">
            <v>USE0124</v>
          </cell>
        </row>
        <row r="1693">
          <cell r="F1693" t="str">
            <v>에어캡 2TX50X50M</v>
          </cell>
          <cell r="G1693" t="str">
            <v>에어켑</v>
          </cell>
          <cell r="H1693" t="str">
            <v>USE0123</v>
          </cell>
        </row>
        <row r="1694">
          <cell r="F1694" t="str">
            <v>03X40X60</v>
          </cell>
          <cell r="G1694" t="str">
            <v>PE FILM</v>
          </cell>
          <cell r="H1694" t="str">
            <v>USE0122</v>
          </cell>
        </row>
        <row r="1695">
          <cell r="F1695" t="str">
            <v>DA81-06305A</v>
          </cell>
          <cell r="G1695" t="str">
            <v>Pouch Pack</v>
          </cell>
          <cell r="H1695" t="str">
            <v>USE0117</v>
          </cell>
        </row>
        <row r="1696">
          <cell r="F1696" t="str">
            <v>570X370X320</v>
          </cell>
          <cell r="G1696" t="str">
            <v>외주PLASTIC BOX</v>
          </cell>
          <cell r="H1696" t="str">
            <v>USE0105</v>
          </cell>
        </row>
        <row r="1697">
          <cell r="F1697" t="str">
            <v>PAD PLANE(간지)</v>
          </cell>
          <cell r="G1697" t="str">
            <v>PAD PLANE</v>
          </cell>
          <cell r="H1697" t="str">
            <v>USE0104</v>
          </cell>
        </row>
        <row r="1698">
          <cell r="F1698" t="str">
            <v>SBC1,T0.4,W25</v>
          </cell>
          <cell r="G1698" t="str">
            <v>CLIP</v>
          </cell>
          <cell r="H1698" t="str">
            <v>USE0103</v>
          </cell>
        </row>
        <row r="1699">
          <cell r="F1699" t="str">
            <v>DA69-00932G</v>
          </cell>
          <cell r="G1699" t="str">
            <v>PAD CORNER</v>
          </cell>
          <cell r="H1699" t="str">
            <v>USE0102</v>
          </cell>
        </row>
        <row r="1700">
          <cell r="F1700" t="str">
            <v>DA69-01832Q</v>
          </cell>
          <cell r="G1700" t="str">
            <v>PACKING PALLET</v>
          </cell>
          <cell r="H1700" t="str">
            <v>USE0101</v>
          </cell>
        </row>
        <row r="1701">
          <cell r="F1701" t="str">
            <v>DA69-00932E</v>
          </cell>
          <cell r="G1701" t="str">
            <v>PAD CORNER</v>
          </cell>
          <cell r="H1701" t="str">
            <v>USE0100</v>
          </cell>
        </row>
        <row r="1702">
          <cell r="F1702" t="str">
            <v>6922-000003</v>
          </cell>
          <cell r="G1702" t="str">
            <v>BAND PP</v>
          </cell>
          <cell r="H1702" t="str">
            <v>USE0099</v>
          </cell>
        </row>
        <row r="1703">
          <cell r="F1703" t="str">
            <v>530 x 345, SW1(B); SA180.K180.K180</v>
          </cell>
          <cell r="G1703" t="str">
            <v>PAD-PLANE(간지)</v>
          </cell>
          <cell r="H1703" t="str">
            <v>USE0098</v>
          </cell>
        </row>
        <row r="1704">
          <cell r="F1704" t="str">
            <v>DA69-01798K</v>
          </cell>
          <cell r="G1704" t="str">
            <v>PACKING CASE</v>
          </cell>
          <cell r="H1704" t="str">
            <v>USE0097</v>
          </cell>
        </row>
        <row r="1705">
          <cell r="F1705" t="str">
            <v>4X10</v>
          </cell>
          <cell r="G1705" t="str">
            <v>SCREW</v>
          </cell>
          <cell r="H1705" t="str">
            <v>USE0096</v>
          </cell>
        </row>
        <row r="1706">
          <cell r="F1706" t="str">
            <v>매저밴드 3.5M</v>
          </cell>
          <cell r="G1706" t="str">
            <v>매저밴드</v>
          </cell>
          <cell r="H1706" t="str">
            <v>USE0089</v>
          </cell>
        </row>
        <row r="1707">
          <cell r="F1707" t="str">
            <v>0.16TX40X50/밴드실링</v>
          </cell>
          <cell r="G1707" t="str">
            <v>PE FILM</v>
          </cell>
          <cell r="H1707" t="str">
            <v>USE0084</v>
          </cell>
        </row>
        <row r="1708">
          <cell r="F1708" t="str">
            <v>03X30X30</v>
          </cell>
          <cell r="G1708" t="str">
            <v>PE FILM</v>
          </cell>
          <cell r="H1708" t="str">
            <v>USE0083</v>
          </cell>
        </row>
        <row r="1709">
          <cell r="F1709" t="str">
            <v>간지(T3X300X250)</v>
          </cell>
          <cell r="G1709" t="str">
            <v>PAPERPAD</v>
          </cell>
          <cell r="H1709" t="str">
            <v>USE0080</v>
          </cell>
        </row>
        <row r="1710">
          <cell r="F1710" t="str">
            <v>DA69-01711K</v>
          </cell>
          <cell r="G1710" t="str">
            <v>무인쇄 박스</v>
          </cell>
          <cell r="H1710" t="str">
            <v>USE0079</v>
          </cell>
        </row>
        <row r="1711">
          <cell r="F1711" t="str">
            <v>현품표 포켓 95X85</v>
          </cell>
          <cell r="G1711" t="str">
            <v>현품표 포켓</v>
          </cell>
          <cell r="H1711" t="str">
            <v>USE0077</v>
          </cell>
        </row>
        <row r="1712">
          <cell r="F1712" t="str">
            <v>PE FILM 03X28X25</v>
          </cell>
          <cell r="G1712" t="str">
            <v>VINYL봉투</v>
          </cell>
          <cell r="H1712" t="str">
            <v>USE0076</v>
          </cell>
        </row>
        <row r="1713">
          <cell r="F1713" t="str">
            <v>DA69-20006P</v>
          </cell>
          <cell r="G1713" t="str">
            <v>무인쇄 박스</v>
          </cell>
          <cell r="H1713" t="str">
            <v>USE0071</v>
          </cell>
        </row>
        <row r="1714">
          <cell r="F1714" t="str">
            <v>0.03TXW2100X2555</v>
          </cell>
          <cell r="G1714" t="str">
            <v>PE BAG B-TYPE</v>
          </cell>
          <cell r="H1714" t="str">
            <v>USE0067</v>
          </cell>
        </row>
        <row r="1715">
          <cell r="F1715" t="str">
            <v>0.03TXW2100X2055</v>
          </cell>
          <cell r="G1715" t="str">
            <v>PE BAG B-TYPE</v>
          </cell>
          <cell r="H1715" t="str">
            <v>USE0066</v>
          </cell>
        </row>
        <row r="1716">
          <cell r="F1716" t="str">
            <v>DW3종-SM</v>
          </cell>
          <cell r="G1716" t="str">
            <v>DW3종-SM</v>
          </cell>
          <cell r="H1716" t="str">
            <v>USE0065</v>
          </cell>
        </row>
        <row r="1717">
          <cell r="F1717" t="str">
            <v>PE-BAG(0.5X10X15)</v>
          </cell>
          <cell r="G1717" t="str">
            <v>PE-BAG</v>
          </cell>
          <cell r="H1717" t="str">
            <v>USE0064</v>
          </cell>
        </row>
        <row r="1718">
          <cell r="F1718" t="str">
            <v>SURCHARGE</v>
          </cell>
          <cell r="G1718" t="str">
            <v>SURCHARGE</v>
          </cell>
          <cell r="H1718" t="str">
            <v>USE0063</v>
          </cell>
        </row>
        <row r="1719">
          <cell r="F1719" t="str">
            <v>TAPE 50X33/적</v>
          </cell>
          <cell r="G1719" t="str">
            <v>LINE TAPE</v>
          </cell>
          <cell r="H1719" t="str">
            <v>USE0061</v>
          </cell>
        </row>
        <row r="1720">
          <cell r="F1720" t="str">
            <v>TAPE 50X33/YEL</v>
          </cell>
          <cell r="G1720" t="str">
            <v>LINE TAPE</v>
          </cell>
          <cell r="H1720" t="str">
            <v>USE0059</v>
          </cell>
        </row>
        <row r="1721">
          <cell r="F1721" t="str">
            <v>DJ69-00334A</v>
          </cell>
          <cell r="G1721" t="str">
            <v>무인쇄박스</v>
          </cell>
          <cell r="H1721" t="str">
            <v>USE0058</v>
          </cell>
        </row>
        <row r="1722">
          <cell r="F1722" t="str">
            <v>팜피드장갑(M)</v>
          </cell>
          <cell r="G1722" t="str">
            <v>팜피드장갑</v>
          </cell>
          <cell r="H1722" t="str">
            <v>USE0054</v>
          </cell>
        </row>
        <row r="1723">
          <cell r="F1723" t="str">
            <v>팜피드장갑(S)</v>
          </cell>
          <cell r="G1723" t="str">
            <v>팜피드장갑</v>
          </cell>
          <cell r="H1723" t="str">
            <v>USE0053</v>
          </cell>
        </row>
        <row r="1724">
          <cell r="F1724" t="str">
            <v>3X40X50</v>
          </cell>
          <cell r="G1724" t="str">
            <v>PE FILM</v>
          </cell>
          <cell r="H1724" t="str">
            <v>USE0050</v>
          </cell>
        </row>
        <row r="1725">
          <cell r="F1725" t="str">
            <v>110X110X13(0)</v>
          </cell>
          <cell r="G1725" t="str">
            <v>N-PACK 110*110*13</v>
          </cell>
          <cell r="H1725" t="str">
            <v>USE0039</v>
          </cell>
        </row>
        <row r="1726">
          <cell r="F1726" t="str">
            <v>510X350X300</v>
          </cell>
          <cell r="G1726" t="str">
            <v>Danpla Box</v>
          </cell>
          <cell r="H1726" t="str">
            <v>USE0030</v>
          </cell>
        </row>
        <row r="1727">
          <cell r="F1727" t="str">
            <v>SL-SEM-BOX3</v>
          </cell>
          <cell r="G1727" t="str">
            <v>DW3</v>
          </cell>
          <cell r="H1727" t="str">
            <v>USE0028</v>
          </cell>
        </row>
        <row r="1728">
          <cell r="F1728" t="str">
            <v>SL-BOX-1</v>
          </cell>
          <cell r="G1728" t="str">
            <v>SW1</v>
          </cell>
          <cell r="H1728" t="str">
            <v>USE0027</v>
          </cell>
        </row>
        <row r="1729">
          <cell r="F1729" t="str">
            <v>HMS-100FR</v>
          </cell>
          <cell r="G1729" t="str">
            <v>HOTMELT</v>
          </cell>
          <cell r="H1729" t="str">
            <v>USE0021</v>
          </cell>
        </row>
        <row r="1730">
          <cell r="F1730" t="str">
            <v>탑피드장갑(M)</v>
          </cell>
          <cell r="G1730" t="str">
            <v>장갑</v>
          </cell>
          <cell r="H1730" t="str">
            <v>USE0018</v>
          </cell>
        </row>
        <row r="1731">
          <cell r="F1731" t="str">
            <v>탑피드장갑(S)</v>
          </cell>
          <cell r="G1731" t="str">
            <v>장갑</v>
          </cell>
          <cell r="H1731" t="str">
            <v>USE0017</v>
          </cell>
        </row>
        <row r="1732">
          <cell r="F1732" t="str">
            <v>반COATING장갑</v>
          </cell>
          <cell r="G1732" t="str">
            <v>반COATING</v>
          </cell>
          <cell r="H1732" t="str">
            <v>USE0008</v>
          </cell>
        </row>
        <row r="1733">
          <cell r="F1733" t="str">
            <v>RUBBER 4cm</v>
          </cell>
          <cell r="G1733" t="str">
            <v>RUBBER BAND</v>
          </cell>
          <cell r="H1733" t="str">
            <v>USE0005</v>
          </cell>
        </row>
        <row r="1734">
          <cell r="F1734" t="str">
            <v>50X40/홀</v>
          </cell>
          <cell r="G1734" t="str">
            <v>지퍼WHITE</v>
          </cell>
          <cell r="H1734" t="str">
            <v>USE0002</v>
          </cell>
        </row>
        <row r="1735">
          <cell r="F1735" t="str">
            <v>PVC CLOSE 6XROLL</v>
          </cell>
          <cell r="G1735" t="str">
            <v>PVC TUBE</v>
          </cell>
          <cell r="H1735" t="str">
            <v>UPVC0Y06ROLL</v>
          </cell>
        </row>
        <row r="1736">
          <cell r="F1736" t="str">
            <v>PVC 8XROLL (WHITE)</v>
          </cell>
          <cell r="G1736" t="str">
            <v>PVC TUBE</v>
          </cell>
          <cell r="H1736" t="str">
            <v>UPVC0H08ROLL</v>
          </cell>
        </row>
        <row r="1737">
          <cell r="F1737" t="str">
            <v>PVC 8XROLL (BLK)</v>
          </cell>
          <cell r="G1737" t="str">
            <v>PVC TUBE</v>
          </cell>
          <cell r="H1737" t="str">
            <v>UPVC0B08ROLL</v>
          </cell>
        </row>
        <row r="1738">
          <cell r="F1738" t="str">
            <v>BES2215 50HWmm X 220mm</v>
          </cell>
          <cell r="G1738" t="str">
            <v>RAY FLEXILBE TUBE</v>
          </cell>
          <cell r="H1738" t="str">
            <v>UPETHB500220</v>
          </cell>
        </row>
        <row r="1739">
          <cell r="F1739" t="str">
            <v>RAYFLEX TUBE 50</v>
          </cell>
          <cell r="G1739" t="str">
            <v>RAY FLEXILBE TUBE</v>
          </cell>
          <cell r="H1739" t="str">
            <v>UPET0B500200</v>
          </cell>
        </row>
        <row r="1740">
          <cell r="F1740" t="str">
            <v>HSC 9X50</v>
          </cell>
          <cell r="G1740" t="str">
            <v>HSC TUBE</v>
          </cell>
          <cell r="H1740" t="str">
            <v>UHSC0090050</v>
          </cell>
        </row>
        <row r="1741">
          <cell r="F1741" t="str">
            <v>8x25</v>
          </cell>
          <cell r="G1741" t="str">
            <v>HSC8x25</v>
          </cell>
          <cell r="H1741" t="str">
            <v>UHSC0080025</v>
          </cell>
        </row>
        <row r="1742">
          <cell r="F1742" t="str">
            <v>HSC6-50</v>
          </cell>
          <cell r="G1742" t="str">
            <v>HSC TUBE</v>
          </cell>
          <cell r="H1742" t="str">
            <v>UHSC0060050</v>
          </cell>
        </row>
        <row r="1743">
          <cell r="F1743" t="str">
            <v>HMT9X50(R)</v>
          </cell>
          <cell r="G1743" t="str">
            <v>BONDING TUBE</v>
          </cell>
          <cell r="H1743" t="str">
            <v>UHMTR090050</v>
          </cell>
        </row>
        <row r="1744">
          <cell r="F1744" t="str">
            <v>Ø6x50mm(RE)</v>
          </cell>
          <cell r="G1744" t="str">
            <v>BONDING TUBE</v>
          </cell>
          <cell r="H1744" t="str">
            <v>UHMTR060050</v>
          </cell>
        </row>
        <row r="1745">
          <cell r="F1745" t="str">
            <v>KS/T 9X30</v>
          </cell>
          <cell r="G1745" t="str">
            <v>HMT TUBE</v>
          </cell>
          <cell r="H1745" t="str">
            <v>UHMT0090030</v>
          </cell>
        </row>
        <row r="1746">
          <cell r="F1746" t="str">
            <v>HMT 6x50</v>
          </cell>
          <cell r="G1746" t="str">
            <v>BONDING TUBE</v>
          </cell>
          <cell r="H1746" t="str">
            <v>UHMT0060050</v>
          </cell>
        </row>
        <row r="1747">
          <cell r="F1747" t="str">
            <v>HMT 6X30</v>
          </cell>
          <cell r="G1747" t="str">
            <v>HMT TUBE</v>
          </cell>
          <cell r="H1747" t="str">
            <v>UHMT0060030</v>
          </cell>
        </row>
        <row r="1748">
          <cell r="F1748" t="str">
            <v>HMT4X50</v>
          </cell>
          <cell r="G1748" t="str">
            <v>BONDING TUBE</v>
          </cell>
          <cell r="H1748" t="str">
            <v>UHMT0040050</v>
          </cell>
        </row>
        <row r="1749">
          <cell r="F1749" t="str">
            <v>COT CLOSE 5XROLL</v>
          </cell>
          <cell r="G1749" t="str">
            <v>TUBE_CLOSE</v>
          </cell>
          <cell r="H1749" t="str">
            <v>UCOT0Y05ROLL</v>
          </cell>
        </row>
        <row r="1750">
          <cell r="F1750" t="str">
            <v>C.COT 5XROLL(Y)</v>
          </cell>
          <cell r="G1750" t="str">
            <v>CUT COT</v>
          </cell>
          <cell r="H1750" t="str">
            <v>UCCOTY05ROLL</v>
          </cell>
        </row>
        <row r="1751">
          <cell r="F1751" t="str">
            <v>C.COT 28XROLL</v>
          </cell>
          <cell r="G1751" t="str">
            <v>CUT COT</v>
          </cell>
          <cell r="H1751" t="str">
            <v>UCCOTB28ROLL</v>
          </cell>
        </row>
        <row r="1752">
          <cell r="F1752" t="str">
            <v>C.COT 22XROLL</v>
          </cell>
          <cell r="G1752" t="str">
            <v>CUT COT</v>
          </cell>
          <cell r="H1752" t="str">
            <v>UCCOTB22ROLL</v>
          </cell>
        </row>
        <row r="1753">
          <cell r="F1753" t="str">
            <v>C.COT 19XROLL</v>
          </cell>
          <cell r="G1753" t="str">
            <v>CUT COT</v>
          </cell>
          <cell r="H1753" t="str">
            <v>UCCOTB19ROLL</v>
          </cell>
        </row>
        <row r="1754">
          <cell r="F1754" t="str">
            <v>C.COT 16XROLL</v>
          </cell>
          <cell r="G1754" t="str">
            <v>CUT COT</v>
          </cell>
          <cell r="H1754" t="str">
            <v>UCCOTB16ROLL</v>
          </cell>
        </row>
        <row r="1755">
          <cell r="F1755" t="str">
            <v>C/TUBE OPEN 16×50</v>
          </cell>
          <cell r="G1755" t="str">
            <v>CUT COT</v>
          </cell>
          <cell r="H1755" t="str">
            <v>UCCOTB160050</v>
          </cell>
        </row>
        <row r="1756">
          <cell r="F1756" t="str">
            <v>C.COT 14XROLL</v>
          </cell>
          <cell r="G1756" t="str">
            <v>CUT COT</v>
          </cell>
          <cell r="H1756" t="str">
            <v>UCCOTB14ROLL</v>
          </cell>
        </row>
        <row r="1757">
          <cell r="F1757" t="str">
            <v>C/TUBE OPEN 14×50</v>
          </cell>
          <cell r="G1757" t="str">
            <v>CUT COT</v>
          </cell>
          <cell r="H1757" t="str">
            <v>UCCOTB140050</v>
          </cell>
        </row>
        <row r="1758">
          <cell r="F1758" t="str">
            <v>C.COT 12XROLL</v>
          </cell>
          <cell r="G1758" t="str">
            <v>CUT COT</v>
          </cell>
          <cell r="H1758" t="str">
            <v>UCCOTB12ROLL</v>
          </cell>
        </row>
        <row r="1759">
          <cell r="F1759" t="str">
            <v>C/TUBE OPEN 12×295</v>
          </cell>
          <cell r="G1759" t="str">
            <v>CUT COT</v>
          </cell>
          <cell r="H1759" t="str">
            <v>UCCOTB120295</v>
          </cell>
        </row>
        <row r="1760">
          <cell r="F1760" t="str">
            <v>C.COT 11XROLL</v>
          </cell>
          <cell r="G1760" t="str">
            <v>CUT COT</v>
          </cell>
          <cell r="H1760" t="str">
            <v>UCCOTB11ROLL</v>
          </cell>
        </row>
        <row r="1761">
          <cell r="F1761" t="str">
            <v>C/TUBE OPEN 11×890</v>
          </cell>
          <cell r="G1761" t="str">
            <v>CUT COT</v>
          </cell>
          <cell r="H1761" t="str">
            <v>UCCOTB110890</v>
          </cell>
        </row>
        <row r="1762">
          <cell r="F1762" t="str">
            <v>C/TUBE OPEN 7×520</v>
          </cell>
          <cell r="G1762" t="str">
            <v>CUT COT</v>
          </cell>
          <cell r="H1762" t="str">
            <v>UCCOTB110520</v>
          </cell>
        </row>
        <row r="1763">
          <cell r="F1763" t="str">
            <v>C/TUBE OPEN 11×470</v>
          </cell>
          <cell r="G1763" t="str">
            <v>CUT COT</v>
          </cell>
          <cell r="H1763" t="str">
            <v>UCCOTB110470</v>
          </cell>
        </row>
        <row r="1764">
          <cell r="F1764" t="str">
            <v>C/TUBE OPEN 11×295</v>
          </cell>
          <cell r="G1764" t="str">
            <v>CUT COT</v>
          </cell>
          <cell r="H1764" t="str">
            <v>UCCOTB110295</v>
          </cell>
        </row>
        <row r="1765">
          <cell r="F1765" t="str">
            <v>C.COT 9XROLL</v>
          </cell>
          <cell r="G1765" t="str">
            <v>CUT COT</v>
          </cell>
          <cell r="H1765" t="str">
            <v>UCCOTB09ROLL</v>
          </cell>
        </row>
        <row r="1766">
          <cell r="F1766" t="str">
            <v>C/TUBE OPEN 9×890</v>
          </cell>
          <cell r="G1766" t="str">
            <v>CUT COT</v>
          </cell>
          <cell r="H1766" t="str">
            <v>UCCOTB090890</v>
          </cell>
        </row>
        <row r="1767">
          <cell r="F1767" t="str">
            <v>C/TUBE OPEN 9×520</v>
          </cell>
          <cell r="G1767" t="str">
            <v>CUT COT</v>
          </cell>
          <cell r="H1767" t="str">
            <v>UCCOTB090520</v>
          </cell>
        </row>
        <row r="1768">
          <cell r="F1768" t="str">
            <v>C/TUBE OPEN 9×360</v>
          </cell>
          <cell r="G1768" t="str">
            <v>CUT COT</v>
          </cell>
          <cell r="H1768" t="str">
            <v>UCCOTB090360</v>
          </cell>
        </row>
        <row r="1769">
          <cell r="F1769" t="str">
            <v>C/TUBE OPEN 9×220</v>
          </cell>
          <cell r="G1769" t="str">
            <v>CUT COT</v>
          </cell>
          <cell r="H1769" t="str">
            <v>UCCOTB090220</v>
          </cell>
        </row>
        <row r="1770">
          <cell r="F1770" t="str">
            <v>C/TUBE OPEN 9×215</v>
          </cell>
          <cell r="G1770" t="str">
            <v>CUT COT</v>
          </cell>
          <cell r="H1770" t="str">
            <v>UCCOTB090215</v>
          </cell>
        </row>
        <row r="1771">
          <cell r="F1771" t="str">
            <v>C/TUBE OPEN 9×185</v>
          </cell>
          <cell r="G1771" t="str">
            <v>CUT COT</v>
          </cell>
          <cell r="H1771" t="str">
            <v>UCCOTB090185</v>
          </cell>
        </row>
        <row r="1772">
          <cell r="F1772" t="str">
            <v>C/TUBE OPEN 9×90</v>
          </cell>
          <cell r="G1772" t="str">
            <v>CUT COT</v>
          </cell>
          <cell r="H1772" t="str">
            <v>UCCOTB090090</v>
          </cell>
        </row>
        <row r="1773">
          <cell r="F1773" t="str">
            <v>C/TUBE OPEN 7×550</v>
          </cell>
          <cell r="G1773" t="str">
            <v>CUT COT</v>
          </cell>
          <cell r="H1773" t="str">
            <v>UCCOTB090040</v>
          </cell>
        </row>
        <row r="1774">
          <cell r="F1774" t="str">
            <v>C/TUBE OPEN 9×30</v>
          </cell>
          <cell r="G1774" t="str">
            <v>CUT COT</v>
          </cell>
          <cell r="H1774" t="str">
            <v>UCCOTB090030</v>
          </cell>
        </row>
        <row r="1775">
          <cell r="F1775" t="str">
            <v>C.COT 7xROLL</v>
          </cell>
          <cell r="G1775" t="str">
            <v>CUT COT</v>
          </cell>
          <cell r="H1775" t="str">
            <v>UCCOTB07ROLL</v>
          </cell>
        </row>
        <row r="1776">
          <cell r="F1776" t="str">
            <v>C/TUBE OPEN 7×550</v>
          </cell>
          <cell r="G1776" t="str">
            <v>CUT COT</v>
          </cell>
          <cell r="H1776" t="str">
            <v>UCCOTB070550</v>
          </cell>
        </row>
        <row r="1777">
          <cell r="F1777" t="str">
            <v>C/TUBE OPEN 7×385</v>
          </cell>
          <cell r="G1777" t="str">
            <v>CUT COT</v>
          </cell>
          <cell r="H1777" t="str">
            <v>UCCOTB070385</v>
          </cell>
        </row>
        <row r="1778">
          <cell r="F1778" t="str">
            <v>C/TUBE OPEN 7×375</v>
          </cell>
          <cell r="G1778" t="str">
            <v>CUT COT</v>
          </cell>
          <cell r="H1778" t="str">
            <v>UCCOTB070375</v>
          </cell>
        </row>
        <row r="1779">
          <cell r="F1779" t="str">
            <v>C/TUBE OPEN 7×360</v>
          </cell>
          <cell r="G1779" t="str">
            <v>CUT COT</v>
          </cell>
          <cell r="H1779" t="str">
            <v>UCCOTB070360</v>
          </cell>
        </row>
        <row r="1780">
          <cell r="F1780" t="str">
            <v>C/TUBE OPEN 7×260</v>
          </cell>
          <cell r="G1780" t="str">
            <v>CUT COT</v>
          </cell>
          <cell r="H1780" t="str">
            <v>UCCOTB070260</v>
          </cell>
        </row>
        <row r="1781">
          <cell r="F1781" t="str">
            <v>C/TUBE OPEN 7×245</v>
          </cell>
          <cell r="G1781" t="str">
            <v>CUT COT</v>
          </cell>
          <cell r="H1781" t="str">
            <v>UCCOTB070245</v>
          </cell>
        </row>
        <row r="1782">
          <cell r="F1782" t="str">
            <v>C/TUBE OPEN 7×200</v>
          </cell>
          <cell r="G1782" t="str">
            <v>CUT COT</v>
          </cell>
          <cell r="H1782" t="str">
            <v>UCCOTB070200</v>
          </cell>
        </row>
        <row r="1783">
          <cell r="F1783" t="str">
            <v>C/TUBE OPEN 7×180</v>
          </cell>
          <cell r="G1783" t="str">
            <v>CUT COT</v>
          </cell>
          <cell r="H1783" t="str">
            <v>UCCOTB070180</v>
          </cell>
        </row>
        <row r="1784">
          <cell r="F1784" t="str">
            <v>C/TUBE OPEN 7×165</v>
          </cell>
          <cell r="G1784" t="str">
            <v>CUT COT</v>
          </cell>
          <cell r="H1784" t="str">
            <v>UCCOTB070165</v>
          </cell>
        </row>
        <row r="1785">
          <cell r="F1785" t="str">
            <v>C/TUBE OPEN 7×140</v>
          </cell>
          <cell r="G1785" t="str">
            <v>CUT COT</v>
          </cell>
          <cell r="H1785" t="str">
            <v>UCCOTB070140</v>
          </cell>
        </row>
        <row r="1786">
          <cell r="F1786" t="str">
            <v>C/TUBE OPEN 7×130</v>
          </cell>
          <cell r="G1786" t="str">
            <v>CUT COT</v>
          </cell>
          <cell r="H1786" t="str">
            <v>UCCOTB070130</v>
          </cell>
        </row>
        <row r="1787">
          <cell r="F1787" t="str">
            <v>C/TUBE OPEN 7×110</v>
          </cell>
          <cell r="G1787" t="str">
            <v>CUT COT</v>
          </cell>
          <cell r="H1787" t="str">
            <v>UCCOTB070110</v>
          </cell>
        </row>
        <row r="1788">
          <cell r="F1788" t="str">
            <v>C/TUBE OPEN 7×80</v>
          </cell>
          <cell r="G1788" t="str">
            <v>CUT COT</v>
          </cell>
          <cell r="H1788" t="str">
            <v>UCCOTB070080</v>
          </cell>
        </row>
        <row r="1789">
          <cell r="F1789" t="str">
            <v>C/TUBE OPEN 7×40</v>
          </cell>
          <cell r="G1789" t="str">
            <v>CUT COT</v>
          </cell>
          <cell r="H1789" t="str">
            <v>UCCOTB070040</v>
          </cell>
        </row>
        <row r="1790">
          <cell r="F1790" t="str">
            <v>C/TUBE OPEN 7×30</v>
          </cell>
          <cell r="G1790" t="str">
            <v>CUT COT</v>
          </cell>
          <cell r="H1790" t="str">
            <v>UCCOTB070030</v>
          </cell>
        </row>
        <row r="1791">
          <cell r="F1791" t="str">
            <v>C.COT 5XROLL</v>
          </cell>
          <cell r="G1791" t="str">
            <v>CUT COT</v>
          </cell>
          <cell r="H1791" t="str">
            <v>UCCOTB05ROLL</v>
          </cell>
        </row>
        <row r="1792">
          <cell r="F1792" t="str">
            <v>C/TUBE OPEN 5×1020</v>
          </cell>
          <cell r="G1792" t="str">
            <v>CUT COT</v>
          </cell>
          <cell r="H1792" t="str">
            <v>UCCOTB051020</v>
          </cell>
        </row>
        <row r="1793">
          <cell r="F1793" t="str">
            <v>C/TUBE OPEN 5×560</v>
          </cell>
          <cell r="G1793" t="str">
            <v>CUT COT</v>
          </cell>
          <cell r="H1793" t="str">
            <v>UCCOTB050560</v>
          </cell>
        </row>
        <row r="1794">
          <cell r="F1794" t="str">
            <v>C/TUBE OPEN 5×470</v>
          </cell>
          <cell r="G1794" t="str">
            <v>CUT COT</v>
          </cell>
          <cell r="H1794" t="str">
            <v>UCCOTB050470</v>
          </cell>
        </row>
        <row r="1795">
          <cell r="F1795" t="str">
            <v>C/TUBE OPEN 5×305</v>
          </cell>
          <cell r="G1795" t="str">
            <v>CUT COT</v>
          </cell>
          <cell r="H1795" t="str">
            <v>UCCOTB050305</v>
          </cell>
        </row>
        <row r="1796">
          <cell r="F1796" t="str">
            <v>C/TUBE OPEN 5×270</v>
          </cell>
          <cell r="G1796" t="str">
            <v>CUT COT</v>
          </cell>
          <cell r="H1796" t="str">
            <v>UCCOTB050270</v>
          </cell>
        </row>
        <row r="1797">
          <cell r="F1797" t="str">
            <v>C/TUBE OPEN 5×265</v>
          </cell>
          <cell r="G1797" t="str">
            <v>CUT COT</v>
          </cell>
          <cell r="H1797" t="str">
            <v>UCCOTB050265</v>
          </cell>
        </row>
        <row r="1798">
          <cell r="F1798" t="str">
            <v>C/TUBE OPEN 5×225</v>
          </cell>
          <cell r="G1798" t="str">
            <v>CUT COT</v>
          </cell>
          <cell r="H1798" t="str">
            <v>UCCOTB050225</v>
          </cell>
        </row>
        <row r="1799">
          <cell r="F1799" t="str">
            <v>C/TUBE OPEN 5×165</v>
          </cell>
          <cell r="G1799" t="str">
            <v>CUT COT</v>
          </cell>
          <cell r="H1799" t="str">
            <v>UCCOTB050165</v>
          </cell>
        </row>
        <row r="1800">
          <cell r="F1800" t="str">
            <v>C/TUBE OPEN 5×160</v>
          </cell>
          <cell r="G1800" t="str">
            <v>CUT COT</v>
          </cell>
          <cell r="H1800" t="str">
            <v>UCCOTB050160</v>
          </cell>
        </row>
        <row r="1801">
          <cell r="F1801" t="str">
            <v>C/TUBE OPEN 5×130</v>
          </cell>
          <cell r="G1801" t="str">
            <v>CUT COT</v>
          </cell>
          <cell r="H1801" t="str">
            <v>UCCOTB050130</v>
          </cell>
        </row>
        <row r="1802">
          <cell r="F1802" t="str">
            <v>C/TUBE OPEN 5×90</v>
          </cell>
          <cell r="G1802" t="str">
            <v>CUT COT</v>
          </cell>
          <cell r="H1802" t="str">
            <v>UCCOTB050090</v>
          </cell>
        </row>
        <row r="1803">
          <cell r="F1803" t="str">
            <v>C/TUBE OPEN 5×80</v>
          </cell>
          <cell r="G1803" t="str">
            <v>CUT COT</v>
          </cell>
          <cell r="H1803" t="str">
            <v>UCCOTB050080</v>
          </cell>
        </row>
        <row r="1804">
          <cell r="F1804" t="str">
            <v>C/TUBE OPEN 5×65</v>
          </cell>
          <cell r="G1804" t="str">
            <v>CUT COT</v>
          </cell>
          <cell r="H1804" t="str">
            <v>UCCOTB050065</v>
          </cell>
        </row>
        <row r="1805">
          <cell r="F1805" t="str">
            <v>C/TUBE OPEN 5×60</v>
          </cell>
          <cell r="G1805" t="str">
            <v>CUT COT</v>
          </cell>
          <cell r="H1805" t="str">
            <v>UCCOTB050060</v>
          </cell>
        </row>
        <row r="1806">
          <cell r="F1806" t="str">
            <v>C/TUBE OPEN 5×55</v>
          </cell>
          <cell r="G1806" t="str">
            <v>CUT COT</v>
          </cell>
          <cell r="H1806" t="str">
            <v>UCCOTB050055</v>
          </cell>
        </row>
        <row r="1807">
          <cell r="F1807" t="str">
            <v>C/TUBE OPEN 5×50</v>
          </cell>
          <cell r="G1807" t="str">
            <v>CUT COT</v>
          </cell>
          <cell r="H1807" t="str">
            <v>UCCOTB050050</v>
          </cell>
        </row>
        <row r="1808">
          <cell r="F1808" t="str">
            <v>320077-11</v>
          </cell>
          <cell r="G1808" t="str">
            <v>TERMINAL</v>
          </cell>
          <cell r="H1808" t="str">
            <v>TYRMM06032SN</v>
          </cell>
        </row>
        <row r="1809">
          <cell r="F1809">
            <v>320075</v>
          </cell>
          <cell r="G1809" t="str">
            <v>TERMINAL</v>
          </cell>
          <cell r="H1809" t="str">
            <v>TYRMM06022SN</v>
          </cell>
        </row>
        <row r="1810">
          <cell r="F1810" t="str">
            <v>320151-11</v>
          </cell>
          <cell r="G1810" t="str">
            <v>TERMINAL</v>
          </cell>
          <cell r="H1810" t="str">
            <v>TYRMM02512SN</v>
          </cell>
        </row>
        <row r="1811">
          <cell r="F1811" t="str">
            <v>320054-11</v>
          </cell>
          <cell r="G1811" t="str">
            <v>TERMINAL</v>
          </cell>
          <cell r="H1811" t="str">
            <v>TYR5611002SN</v>
          </cell>
        </row>
        <row r="1812">
          <cell r="F1812" t="str">
            <v>310122-11</v>
          </cell>
          <cell r="G1812" t="str">
            <v>TERMINAL</v>
          </cell>
          <cell r="H1812" t="str">
            <v>TYR44063L1SN</v>
          </cell>
        </row>
        <row r="1813">
          <cell r="F1813" t="str">
            <v>320143-11</v>
          </cell>
          <cell r="G1813" t="str">
            <v>TERMINAL</v>
          </cell>
          <cell r="H1813" t="str">
            <v>TYR44061L2SN</v>
          </cell>
        </row>
        <row r="1814">
          <cell r="F1814" t="str">
            <v>320118-11</v>
          </cell>
          <cell r="G1814" t="str">
            <v>TERMINAL</v>
          </cell>
          <cell r="H1814" t="str">
            <v>TYR44060L2SN</v>
          </cell>
        </row>
        <row r="1815">
          <cell r="F1815" t="str">
            <v>320053-11</v>
          </cell>
          <cell r="G1815" t="str">
            <v>TERMINAL</v>
          </cell>
          <cell r="H1815" t="str">
            <v>TYR3411002SN</v>
          </cell>
        </row>
        <row r="1816">
          <cell r="F1816">
            <v>320027</v>
          </cell>
          <cell r="G1816" t="str">
            <v>TERMINAL</v>
          </cell>
          <cell r="H1816" t="str">
            <v>TYR34062W6SN</v>
          </cell>
        </row>
        <row r="1817">
          <cell r="F1817">
            <v>310002</v>
          </cell>
          <cell r="G1817" t="str">
            <v>TERMINAL</v>
          </cell>
          <cell r="H1817" t="str">
            <v>TYR34060W5SN</v>
          </cell>
        </row>
        <row r="1818">
          <cell r="F1818" t="str">
            <v>320079-11</v>
          </cell>
          <cell r="G1818" t="str">
            <v>TERMINAL</v>
          </cell>
          <cell r="H1818" t="str">
            <v>TYR3406032SN</v>
          </cell>
        </row>
        <row r="1819">
          <cell r="F1819" t="str">
            <v>310091-11</v>
          </cell>
          <cell r="G1819" t="str">
            <v>TERMINAL</v>
          </cell>
          <cell r="H1819" t="str">
            <v>TYR3406031SN</v>
          </cell>
        </row>
        <row r="1820">
          <cell r="F1820">
            <v>320030</v>
          </cell>
          <cell r="G1820" t="str">
            <v>TERMINAL</v>
          </cell>
          <cell r="H1820" t="str">
            <v>TYR3406022SN</v>
          </cell>
        </row>
        <row r="1821">
          <cell r="F1821" t="str">
            <v>320158-11</v>
          </cell>
          <cell r="G1821" t="str">
            <v>TERMINAL</v>
          </cell>
          <cell r="H1821" t="str">
            <v>TYR33063L2SN</v>
          </cell>
        </row>
        <row r="1822">
          <cell r="F1822" t="str">
            <v>320117-11</v>
          </cell>
          <cell r="G1822" t="str">
            <v>TERMINAL</v>
          </cell>
          <cell r="H1822" t="str">
            <v>TYR33060L2SN</v>
          </cell>
        </row>
        <row r="1823">
          <cell r="F1823">
            <v>320026</v>
          </cell>
          <cell r="G1823" t="str">
            <v>TERMINAL</v>
          </cell>
          <cell r="H1823" t="str">
            <v>TYR12062W6SN</v>
          </cell>
        </row>
        <row r="1824">
          <cell r="F1824">
            <v>310001</v>
          </cell>
          <cell r="G1824" t="str">
            <v>TERMINAL</v>
          </cell>
          <cell r="H1824" t="str">
            <v>TYR12060W5SN</v>
          </cell>
        </row>
        <row r="1825">
          <cell r="F1825" t="str">
            <v>320078-11</v>
          </cell>
          <cell r="G1825" t="str">
            <v>TERMINAL</v>
          </cell>
          <cell r="H1825" t="str">
            <v>TYR1206032SN</v>
          </cell>
        </row>
        <row r="1826">
          <cell r="F1826">
            <v>320029</v>
          </cell>
          <cell r="G1826" t="str">
            <v>TERMINAL</v>
          </cell>
          <cell r="H1826" t="str">
            <v>TYR1206022SN</v>
          </cell>
        </row>
        <row r="1827">
          <cell r="F1827" t="str">
            <v>320157-11</v>
          </cell>
          <cell r="G1827" t="str">
            <v>TERMINAL</v>
          </cell>
          <cell r="H1827" t="str">
            <v>TYR1202522SN</v>
          </cell>
        </row>
        <row r="1828">
          <cell r="F1828" t="str">
            <v>320152-11</v>
          </cell>
          <cell r="G1828" t="str">
            <v>TERMINAL</v>
          </cell>
          <cell r="H1828" t="str">
            <v>TYR1202512SN</v>
          </cell>
        </row>
        <row r="1829">
          <cell r="F1829">
            <v>320101</v>
          </cell>
          <cell r="G1829" t="str">
            <v>TERMINAL</v>
          </cell>
          <cell r="H1829" t="str">
            <v>TYR1202506SN</v>
          </cell>
        </row>
        <row r="1830">
          <cell r="F1830">
            <v>310110</v>
          </cell>
          <cell r="G1830" t="str">
            <v>TERMINAL</v>
          </cell>
          <cell r="H1830" t="str">
            <v>TYR1202505SN</v>
          </cell>
        </row>
        <row r="1831">
          <cell r="F1831" t="str">
            <v>310110-12</v>
          </cell>
          <cell r="G1831" t="str">
            <v>TERMINAL</v>
          </cell>
          <cell r="H1831" t="str">
            <v>TYR1202505AU</v>
          </cell>
        </row>
        <row r="1832">
          <cell r="F1832" t="str">
            <v>320051-11</v>
          </cell>
          <cell r="G1832" t="str">
            <v>TERMINAL</v>
          </cell>
          <cell r="H1832" t="str">
            <v>TYR1102502SN</v>
          </cell>
        </row>
        <row r="1833">
          <cell r="F1833" t="str">
            <v>310042-11</v>
          </cell>
          <cell r="G1833" t="str">
            <v>TERMINAL</v>
          </cell>
          <cell r="H1833" t="str">
            <v>TYR1102501SN</v>
          </cell>
        </row>
        <row r="1834">
          <cell r="F1834" t="str">
            <v>320097-11</v>
          </cell>
          <cell r="G1834" t="str">
            <v>TERMINAL</v>
          </cell>
          <cell r="H1834" t="str">
            <v>TYR1102002SN</v>
          </cell>
        </row>
        <row r="1835">
          <cell r="F1835" t="str">
            <v>350037-00</v>
          </cell>
          <cell r="G1835" t="str">
            <v>TERMINAL</v>
          </cell>
          <cell r="H1835" t="str">
            <v>TYR00WELDCBR</v>
          </cell>
        </row>
        <row r="1836">
          <cell r="F1836" t="str">
            <v>KH1700007-20</v>
          </cell>
          <cell r="G1836" t="str">
            <v>TERMINAL</v>
          </cell>
          <cell r="H1836" t="str">
            <v>TUJMM020D2SN</v>
          </cell>
        </row>
        <row r="1837">
          <cell r="F1837" t="str">
            <v>KH2000073-21</v>
          </cell>
          <cell r="G1837" t="str">
            <v>TERMINAL</v>
          </cell>
          <cell r="H1837" t="str">
            <v>TUJ12125D2SN</v>
          </cell>
        </row>
        <row r="1838">
          <cell r="F1838" t="str">
            <v>KH1800045-21</v>
          </cell>
          <cell r="G1838" t="str">
            <v>TERMINAL</v>
          </cell>
          <cell r="H1838" t="str">
            <v>TUJ12025D2SN</v>
          </cell>
        </row>
        <row r="1839">
          <cell r="F1839" t="str">
            <v>KH2000016-21</v>
          </cell>
          <cell r="G1839" t="str">
            <v>TERMINAL</v>
          </cell>
          <cell r="H1839" t="str">
            <v>TUJ1202522SN</v>
          </cell>
        </row>
        <row r="1840">
          <cell r="F1840" t="str">
            <v>KH1700007-22</v>
          </cell>
          <cell r="G1840" t="str">
            <v>TERMINAL</v>
          </cell>
          <cell r="H1840" t="str">
            <v>TUJ12020D2SN</v>
          </cell>
        </row>
        <row r="1841">
          <cell r="F1841" t="str">
            <v>4Ø 15MM "F4"</v>
          </cell>
          <cell r="G1841" t="str">
            <v>MARKING TUBE</v>
          </cell>
          <cell r="H1841" t="str">
            <v>TUBE088</v>
          </cell>
        </row>
        <row r="1842">
          <cell r="F1842" t="str">
            <v>4Ø 15MM "F3"</v>
          </cell>
          <cell r="G1842" t="str">
            <v>MARKING TUBE</v>
          </cell>
          <cell r="H1842" t="str">
            <v>TUBE087</v>
          </cell>
        </row>
        <row r="1843">
          <cell r="F1843" t="str">
            <v>4Ø 15MM "V2"</v>
          </cell>
          <cell r="G1843" t="str">
            <v>MARKING TUBE</v>
          </cell>
          <cell r="H1843" t="str">
            <v>TUBE086</v>
          </cell>
        </row>
        <row r="1844">
          <cell r="F1844" t="str">
            <v>4Ø 15MM "V1"</v>
          </cell>
          <cell r="G1844" t="str">
            <v>MARKING TUBE</v>
          </cell>
          <cell r="H1844" t="str">
            <v>TUBE085</v>
          </cell>
        </row>
        <row r="1845">
          <cell r="F1845" t="str">
            <v>4Ø 15MM "F2"</v>
          </cell>
          <cell r="G1845" t="str">
            <v>MARKING TUBE</v>
          </cell>
          <cell r="H1845" t="str">
            <v>TUBE084</v>
          </cell>
        </row>
        <row r="1846">
          <cell r="F1846" t="str">
            <v>4Ø 15MM "F1"</v>
          </cell>
          <cell r="G1846" t="str">
            <v>MARKING TUBE</v>
          </cell>
          <cell r="H1846" t="str">
            <v>TUBE083</v>
          </cell>
        </row>
        <row r="1847">
          <cell r="F1847" t="str">
            <v>5Ø(YEL)</v>
          </cell>
          <cell r="G1847" t="str">
            <v>SHRINK TUBE</v>
          </cell>
          <cell r="H1847" t="str">
            <v>TUBE079</v>
          </cell>
        </row>
        <row r="1848">
          <cell r="F1848" t="str">
            <v>9Ø 1.2M BLK</v>
          </cell>
          <cell r="G1848" t="str">
            <v>BONDING TUBE</v>
          </cell>
          <cell r="H1848" t="str">
            <v>TUB0530</v>
          </cell>
        </row>
        <row r="1849">
          <cell r="F1849" t="str">
            <v>8Ø BLU</v>
          </cell>
          <cell r="G1849" t="str">
            <v>SHRINK TUBE</v>
          </cell>
          <cell r="H1849" t="str">
            <v>TUB0529</v>
          </cell>
        </row>
        <row r="1850">
          <cell r="F1850" t="str">
            <v>UL16Ø(BK)GARUM</v>
          </cell>
          <cell r="G1850" t="str">
            <v>CORRUGATE TUBE</v>
          </cell>
          <cell r="H1850" t="str">
            <v>TUB0528</v>
          </cell>
        </row>
        <row r="1851">
          <cell r="F1851" t="str">
            <v>UL12Ø(BK)GARUM</v>
          </cell>
          <cell r="G1851" t="str">
            <v>CORRUGATE TUBE</v>
          </cell>
          <cell r="H1851" t="str">
            <v>TUB0527</v>
          </cell>
        </row>
        <row r="1852">
          <cell r="F1852" t="str">
            <v>UL8.5Ø(BK)GARUM</v>
          </cell>
          <cell r="G1852" t="str">
            <v>CORRUGATE TUBE</v>
          </cell>
          <cell r="H1852" t="str">
            <v>TUB0526</v>
          </cell>
        </row>
        <row r="1853">
          <cell r="F1853" t="str">
            <v>4Ø(BLU)</v>
          </cell>
          <cell r="G1853" t="str">
            <v>SHRINK TUBE</v>
          </cell>
          <cell r="H1853" t="str">
            <v>TUB0525</v>
          </cell>
        </row>
        <row r="1854">
          <cell r="F1854" t="str">
            <v>10Ø 30MM "OPTION"</v>
          </cell>
          <cell r="G1854" t="str">
            <v>MARKING TUBE</v>
          </cell>
          <cell r="H1854" t="str">
            <v>TUB0524</v>
          </cell>
        </row>
        <row r="1855">
          <cell r="F1855" t="str">
            <v>5Ø 30MM "FLOW"</v>
          </cell>
          <cell r="G1855" t="str">
            <v>MARKING TUBE</v>
          </cell>
          <cell r="H1855" t="str">
            <v>TUB0523</v>
          </cell>
        </row>
        <row r="1856">
          <cell r="F1856" t="str">
            <v>4Ø 30MM "TEMP"</v>
          </cell>
          <cell r="G1856" t="str">
            <v>MARKING TUBE</v>
          </cell>
          <cell r="H1856" t="str">
            <v>TUB0522</v>
          </cell>
        </row>
        <row r="1857">
          <cell r="F1857" t="str">
            <v>UL5.2Ø0.6T(BLK)#4(5Ø)</v>
          </cell>
          <cell r="G1857" t="str">
            <v>PVC TUBE</v>
          </cell>
          <cell r="H1857" t="str">
            <v>TUB0521</v>
          </cell>
        </row>
        <row r="1858">
          <cell r="F1858" t="str">
            <v>PET TUBE Φ7.5</v>
          </cell>
          <cell r="G1858" t="str">
            <v>PET TUBE</v>
          </cell>
          <cell r="H1858" t="str">
            <v>TUB0520</v>
          </cell>
        </row>
        <row r="1859">
          <cell r="F1859" t="str">
            <v>4Ø(YEL)</v>
          </cell>
          <cell r="G1859" t="str">
            <v>SHRINK TUBE</v>
          </cell>
          <cell r="H1859" t="str">
            <v>TUB0519</v>
          </cell>
        </row>
        <row r="1860">
          <cell r="F1860" t="str">
            <v>3Ø(YEL)</v>
          </cell>
          <cell r="G1860" t="str">
            <v>SHRINK TUBE</v>
          </cell>
          <cell r="H1860" t="str">
            <v>TUB0518</v>
          </cell>
        </row>
        <row r="1861">
          <cell r="F1861" t="str">
            <v>5Ø 30MM "GP-L1"</v>
          </cell>
          <cell r="G1861" t="str">
            <v>MARKING TUBE</v>
          </cell>
          <cell r="H1861" t="str">
            <v>TUB0517</v>
          </cell>
        </row>
        <row r="1862">
          <cell r="F1862" t="str">
            <v>3Ø 30MM "GP-L2"</v>
          </cell>
          <cell r="G1862" t="str">
            <v>MARKING TUBE</v>
          </cell>
          <cell r="H1862" t="str">
            <v>TUB0516</v>
          </cell>
        </row>
        <row r="1863">
          <cell r="F1863" t="str">
            <v>5Ø 30MM "ELB-N"</v>
          </cell>
          <cell r="G1863" t="str">
            <v>MARKING TUBE</v>
          </cell>
          <cell r="H1863" t="str">
            <v>TUB0515</v>
          </cell>
        </row>
        <row r="1864">
          <cell r="F1864" t="str">
            <v>5Ø 30MM "N"</v>
          </cell>
          <cell r="G1864" t="str">
            <v>MARKING TUBE</v>
          </cell>
          <cell r="H1864" t="str">
            <v>TUB0514</v>
          </cell>
        </row>
        <row r="1865">
          <cell r="F1865" t="str">
            <v>3Ø 30MM "A2"</v>
          </cell>
          <cell r="G1865" t="str">
            <v>MARKING TUBE</v>
          </cell>
          <cell r="H1865" t="str">
            <v>TUB0513</v>
          </cell>
        </row>
        <row r="1866">
          <cell r="F1866" t="str">
            <v>5Ø 30MM "ELB-L"</v>
          </cell>
          <cell r="G1866" t="str">
            <v>MARKING TUBE</v>
          </cell>
          <cell r="H1866" t="str">
            <v>TUB0512</v>
          </cell>
        </row>
        <row r="1867">
          <cell r="F1867" t="str">
            <v>3Ø 30MM "ELB-L"</v>
          </cell>
          <cell r="G1867" t="str">
            <v>MARKING TUBE</v>
          </cell>
          <cell r="H1867" t="str">
            <v>TUB0511</v>
          </cell>
        </row>
        <row r="1868">
          <cell r="F1868" t="str">
            <v>5Ø 30MM "T/T3"</v>
          </cell>
          <cell r="G1868" t="str">
            <v>MARKING TUBE</v>
          </cell>
          <cell r="H1868" t="str">
            <v>TUB0510</v>
          </cell>
        </row>
        <row r="1869">
          <cell r="F1869" t="str">
            <v>3Ø 30MM "T/T3"</v>
          </cell>
          <cell r="G1869" t="str">
            <v>MARKING TUBE</v>
          </cell>
          <cell r="H1869" t="str">
            <v>TUB0509</v>
          </cell>
        </row>
        <row r="1870">
          <cell r="F1870" t="str">
            <v>5Ø 30MM "S/T2"</v>
          </cell>
          <cell r="G1870" t="str">
            <v>MARKING TUBE</v>
          </cell>
          <cell r="H1870" t="str">
            <v>TUB0508</v>
          </cell>
        </row>
        <row r="1871">
          <cell r="F1871" t="str">
            <v>3Ø 30MM "S/T2"</v>
          </cell>
          <cell r="G1871" t="str">
            <v>MARKING TUBE</v>
          </cell>
          <cell r="H1871" t="str">
            <v>TUB0507</v>
          </cell>
        </row>
        <row r="1872">
          <cell r="F1872" t="str">
            <v>5Ø 30MM "R/T1"</v>
          </cell>
          <cell r="G1872" t="str">
            <v>MARKING TUBE</v>
          </cell>
          <cell r="H1872" t="str">
            <v>TUB0506</v>
          </cell>
        </row>
        <row r="1873">
          <cell r="F1873" t="str">
            <v>3Ø 30MM "R/T1"</v>
          </cell>
          <cell r="G1873" t="str">
            <v>MARKING TUBE</v>
          </cell>
          <cell r="H1873" t="str">
            <v>TUB0505</v>
          </cell>
        </row>
        <row r="1874">
          <cell r="F1874" t="str">
            <v>5Ø 30MM "NC31"</v>
          </cell>
          <cell r="G1874" t="str">
            <v>MARKING TUBE</v>
          </cell>
          <cell r="H1874" t="str">
            <v>TUB0504</v>
          </cell>
        </row>
        <row r="1875">
          <cell r="F1875" t="str">
            <v>3Ø 30MM "A1"</v>
          </cell>
          <cell r="G1875" t="str">
            <v>MARKING TUBE</v>
          </cell>
          <cell r="H1875" t="str">
            <v>TUB0503</v>
          </cell>
        </row>
        <row r="1876">
          <cell r="F1876" t="str">
            <v>6Ø 30MM "96"</v>
          </cell>
          <cell r="G1876" t="str">
            <v>MARKING TUBE</v>
          </cell>
          <cell r="H1876" t="str">
            <v>TUB0502</v>
          </cell>
        </row>
        <row r="1877">
          <cell r="F1877" t="str">
            <v>6Ø 30MM "95"</v>
          </cell>
          <cell r="G1877" t="str">
            <v>MARKING TUBE</v>
          </cell>
          <cell r="H1877" t="str">
            <v>TUB0501</v>
          </cell>
        </row>
        <row r="1878">
          <cell r="F1878" t="str">
            <v>6Ø 30MM "COMP A2"</v>
          </cell>
          <cell r="G1878" t="str">
            <v>MARKING TUBE</v>
          </cell>
          <cell r="H1878" t="str">
            <v>TUB0500</v>
          </cell>
        </row>
        <row r="1879">
          <cell r="F1879" t="str">
            <v>6Ø 30MM "COMP A1"</v>
          </cell>
          <cell r="G1879" t="str">
            <v>MARKING TUBE</v>
          </cell>
          <cell r="H1879" t="str">
            <v>TUB0499</v>
          </cell>
        </row>
        <row r="1880">
          <cell r="F1880" t="str">
            <v>6Ø 30MM "T/T3"</v>
          </cell>
          <cell r="G1880" t="str">
            <v>MARKING TUBE</v>
          </cell>
          <cell r="H1880" t="str">
            <v>TUB0498</v>
          </cell>
        </row>
        <row r="1881">
          <cell r="F1881" t="str">
            <v>6Ø 30MM "S/T2"</v>
          </cell>
          <cell r="G1881" t="str">
            <v>MARKING TUBE</v>
          </cell>
          <cell r="H1881" t="str">
            <v>TUB0497</v>
          </cell>
        </row>
        <row r="1882">
          <cell r="F1882" t="str">
            <v>6Ø 30MM "R/T1"</v>
          </cell>
          <cell r="G1882" t="str">
            <v>MARKING TUBE</v>
          </cell>
          <cell r="H1882" t="str">
            <v>TUB0496</v>
          </cell>
        </row>
        <row r="1883">
          <cell r="F1883" t="str">
            <v>3Ø 30MM "WP-L"</v>
          </cell>
          <cell r="G1883" t="str">
            <v>MARKING TUBE</v>
          </cell>
          <cell r="H1883" t="str">
            <v>TUB0495</v>
          </cell>
        </row>
        <row r="1884">
          <cell r="F1884" t="str">
            <v>3Ø 30MM "WP-N"</v>
          </cell>
          <cell r="G1884" t="str">
            <v>MARKING TUBE</v>
          </cell>
          <cell r="H1884" t="str">
            <v>TUB0494</v>
          </cell>
        </row>
        <row r="1885">
          <cell r="F1885" t="str">
            <v>3Ø 30MM "LP-L"</v>
          </cell>
          <cell r="G1885" t="str">
            <v>MARKING TUBE</v>
          </cell>
          <cell r="H1885" t="str">
            <v>TUB0493</v>
          </cell>
        </row>
        <row r="1886">
          <cell r="F1886" t="str">
            <v>3Ø 30MM "LP-N"</v>
          </cell>
          <cell r="G1886" t="str">
            <v>MARKING TUBE</v>
          </cell>
          <cell r="H1886" t="str">
            <v>TUB0492</v>
          </cell>
        </row>
        <row r="1887">
          <cell r="F1887" t="str">
            <v>3Ø 30MM "GP-A1"</v>
          </cell>
          <cell r="G1887" t="str">
            <v>MARKING TUBE</v>
          </cell>
          <cell r="H1887" t="str">
            <v>TUB0491</v>
          </cell>
        </row>
        <row r="1888">
          <cell r="F1888" t="str">
            <v>3Ø 30MM "GP-A2"</v>
          </cell>
          <cell r="G1888" t="str">
            <v>MARKING TUBE</v>
          </cell>
          <cell r="H1888" t="str">
            <v>TUB0490</v>
          </cell>
        </row>
        <row r="1889">
          <cell r="F1889" t="str">
            <v>3Ø(BLU)</v>
          </cell>
          <cell r="G1889" t="str">
            <v>SHRINK TUBE</v>
          </cell>
          <cell r="H1889" t="str">
            <v>TUB0489</v>
          </cell>
        </row>
        <row r="1890">
          <cell r="F1890" t="str">
            <v>UL3.65Ø 0.5T (BLK)</v>
          </cell>
          <cell r="G1890" t="str">
            <v>PVC TUBE</v>
          </cell>
          <cell r="H1890" t="str">
            <v>TUB0488</v>
          </cell>
        </row>
        <row r="1891">
          <cell r="F1891" t="str">
            <v>6Ø 30MM "MIXING"</v>
          </cell>
          <cell r="G1891" t="str">
            <v>MARKING TUBE</v>
          </cell>
          <cell r="H1891" t="str">
            <v>TUB0487</v>
          </cell>
        </row>
        <row r="1892">
          <cell r="F1892" t="str">
            <v>6Ø 30MM "SHUT OFF"</v>
          </cell>
          <cell r="G1892" t="str">
            <v>MARKING TUBE</v>
          </cell>
          <cell r="H1892" t="str">
            <v>TUB0486</v>
          </cell>
        </row>
        <row r="1893">
          <cell r="F1893" t="str">
            <v>10Ø 15MM "ECO 4"</v>
          </cell>
          <cell r="G1893" t="str">
            <v>MARKING TUBE</v>
          </cell>
          <cell r="H1893" t="str">
            <v>TUB0485</v>
          </cell>
        </row>
        <row r="1894">
          <cell r="F1894" t="str">
            <v>3Ø 30MM "CAP 1P"</v>
          </cell>
          <cell r="G1894" t="str">
            <v>MARKING TUBE</v>
          </cell>
          <cell r="H1894" t="str">
            <v>TUB0484</v>
          </cell>
        </row>
        <row r="1895">
          <cell r="F1895" t="str">
            <v>9Ø 30MM "ECO 2"</v>
          </cell>
          <cell r="G1895" t="str">
            <v>MARKING TUBE</v>
          </cell>
          <cell r="H1895" t="str">
            <v>TUB0483</v>
          </cell>
        </row>
        <row r="1896">
          <cell r="F1896" t="str">
            <v>5Ø 30MM "ELEMT"</v>
          </cell>
          <cell r="G1896" t="str">
            <v>MARKING TUBE</v>
          </cell>
          <cell r="H1896" t="str">
            <v>TUB0482</v>
          </cell>
        </row>
        <row r="1897">
          <cell r="F1897" t="str">
            <v>6Ø 30MM "ECO 3"</v>
          </cell>
          <cell r="G1897" t="str">
            <v>MARKING TUBE</v>
          </cell>
          <cell r="H1897" t="str">
            <v>TUB0481</v>
          </cell>
        </row>
        <row r="1898">
          <cell r="F1898" t="str">
            <v>6Ø 30MM "ECO 1"</v>
          </cell>
          <cell r="G1898" t="str">
            <v>MARKING TUBE</v>
          </cell>
          <cell r="H1898" t="str">
            <v>TUB0480</v>
          </cell>
        </row>
        <row r="1899">
          <cell r="F1899" t="str">
            <v>6Ø 30MM "EEV"</v>
          </cell>
          <cell r="G1899" t="str">
            <v>MARKING TUBE</v>
          </cell>
          <cell r="H1899" t="str">
            <v>TUB0479</v>
          </cell>
        </row>
        <row r="1900">
          <cell r="F1900" t="str">
            <v>4Ø 30MM "SUCTION"</v>
          </cell>
          <cell r="G1900" t="str">
            <v>MARKING TUBE</v>
          </cell>
          <cell r="H1900" t="str">
            <v>TUB0478</v>
          </cell>
        </row>
        <row r="1901">
          <cell r="F1901" t="str">
            <v>4Ø 30MM "EVAPORATE"(RED)</v>
          </cell>
          <cell r="G1901" t="str">
            <v>MARKING TUBE</v>
          </cell>
          <cell r="H1901" t="str">
            <v>TUB0477</v>
          </cell>
        </row>
        <row r="1902">
          <cell r="F1902" t="str">
            <v>4Ø 30MM "LEAK"(YEL)</v>
          </cell>
          <cell r="G1902" t="str">
            <v>MARKING TUBE</v>
          </cell>
          <cell r="H1902" t="str">
            <v>TUB0476</v>
          </cell>
        </row>
        <row r="1903">
          <cell r="F1903" t="str">
            <v>4Ø 30MM "DISCHARGE"(BLU)</v>
          </cell>
          <cell r="G1903" t="str">
            <v>MARKING TUBE</v>
          </cell>
          <cell r="H1903" t="str">
            <v>TUB0475</v>
          </cell>
        </row>
        <row r="1904">
          <cell r="F1904" t="str">
            <v>4Ø 30MM "OUTDOOR"</v>
          </cell>
          <cell r="G1904" t="str">
            <v>MARKING TUBE</v>
          </cell>
          <cell r="H1904" t="str">
            <v>TUB0474</v>
          </cell>
        </row>
        <row r="1905">
          <cell r="F1905" t="str">
            <v>3Ø 20MM "R(U)"(BLU)</v>
          </cell>
          <cell r="G1905" t="str">
            <v>MARKING TUBE</v>
          </cell>
          <cell r="H1905" t="str">
            <v>TUB0473</v>
          </cell>
        </row>
        <row r="1906">
          <cell r="F1906" t="str">
            <v>3Ø 20MM "S(V)"(RED)</v>
          </cell>
          <cell r="G1906" t="str">
            <v>MARKING TUBE</v>
          </cell>
          <cell r="H1906" t="str">
            <v>TUB0472</v>
          </cell>
        </row>
        <row r="1907">
          <cell r="F1907" t="str">
            <v>3Ø 20MM "OLP 3"</v>
          </cell>
          <cell r="G1907" t="str">
            <v>MARKING TUBE</v>
          </cell>
          <cell r="H1907" t="str">
            <v>TUB0471</v>
          </cell>
        </row>
        <row r="1908">
          <cell r="F1908" t="str">
            <v>3Ø 20MM "CAP 1P"</v>
          </cell>
          <cell r="G1908" t="str">
            <v>MARKING TUBE</v>
          </cell>
          <cell r="H1908" t="str">
            <v>TUB0470</v>
          </cell>
        </row>
        <row r="1909">
          <cell r="F1909" t="str">
            <v>3Ø 20MM "CAP 2P"</v>
          </cell>
          <cell r="G1909" t="str">
            <v>MARKING TUBE</v>
          </cell>
          <cell r="H1909" t="str">
            <v>TUB0469</v>
          </cell>
        </row>
        <row r="1910">
          <cell r="F1910" t="str">
            <v>3Ø 20MM "RELAY"</v>
          </cell>
          <cell r="G1910" t="str">
            <v>MARKING TUBE</v>
          </cell>
          <cell r="H1910" t="str">
            <v>TUB0468</v>
          </cell>
        </row>
        <row r="1911">
          <cell r="F1911" t="str">
            <v>10Ø(BK)GARUM</v>
          </cell>
          <cell r="G1911" t="str">
            <v>CORRUGATE TUBE</v>
          </cell>
          <cell r="H1911" t="str">
            <v>TUB0467</v>
          </cell>
        </row>
        <row r="1912">
          <cell r="F1912" t="str">
            <v>13Ø</v>
          </cell>
          <cell r="G1912" t="str">
            <v>PVC TUBE</v>
          </cell>
          <cell r="H1912" t="str">
            <v>TUB0466</v>
          </cell>
        </row>
        <row r="1913">
          <cell r="F1913" t="str">
            <v>19Ø(BK)GARUM</v>
          </cell>
          <cell r="G1913" t="str">
            <v>CORRUGATE TUBE</v>
          </cell>
          <cell r="H1913" t="str">
            <v>TUB0465</v>
          </cell>
        </row>
        <row r="1914">
          <cell r="F1914" t="str">
            <v>17Ø(BK)GARUM</v>
          </cell>
          <cell r="G1914" t="str">
            <v>CORRUGATE TUBE</v>
          </cell>
          <cell r="H1914" t="str">
            <v>TUB0464</v>
          </cell>
        </row>
        <row r="1915">
          <cell r="F1915" t="str">
            <v>15Ø(BK)GARUM</v>
          </cell>
          <cell r="G1915" t="str">
            <v>CORRUGATE TUBE</v>
          </cell>
          <cell r="H1915" t="str">
            <v>TUB0463</v>
          </cell>
        </row>
        <row r="1916">
          <cell r="F1916" t="str">
            <v>2.5Ø</v>
          </cell>
          <cell r="G1916" t="str">
            <v>SHRINK TUBE</v>
          </cell>
          <cell r="H1916" t="str">
            <v>TUB0462</v>
          </cell>
        </row>
        <row r="1917">
          <cell r="F1917" t="str">
            <v>SRGT 5Ø(WHT)</v>
          </cell>
          <cell r="G1917" t="str">
            <v>SRGT TUBE</v>
          </cell>
          <cell r="H1917" t="str">
            <v>TUB0461</v>
          </cell>
        </row>
        <row r="1918">
          <cell r="F1918" t="str">
            <v>6Ø 30MM "수신기디퓨저"</v>
          </cell>
          <cell r="G1918" t="str">
            <v>MARKING TUBE</v>
          </cell>
          <cell r="H1918" t="str">
            <v>TUB0460</v>
          </cell>
        </row>
        <row r="1919">
          <cell r="F1919" t="str">
            <v>6Ø 30MM "룸콘홈넷"</v>
          </cell>
          <cell r="G1919" t="str">
            <v>MARKING TUBE</v>
          </cell>
          <cell r="H1919" t="str">
            <v>TUB0459</v>
          </cell>
        </row>
        <row r="1920">
          <cell r="F1920" t="str">
            <v>6Ø 30MM "CONG2,CONG3"</v>
          </cell>
          <cell r="G1920" t="str">
            <v>MARKING TUBE</v>
          </cell>
          <cell r="H1920" t="str">
            <v>TUB0458</v>
          </cell>
        </row>
        <row r="1921">
          <cell r="F1921" t="str">
            <v>6Ø 30MM "CONG1,CONJ2"</v>
          </cell>
          <cell r="G1921" t="str">
            <v>MARKING TUBE</v>
          </cell>
          <cell r="H1921" t="str">
            <v>TUB0457</v>
          </cell>
        </row>
        <row r="1922">
          <cell r="F1922" t="str">
            <v>6ØX65mm(RED)</v>
          </cell>
          <cell r="G1922" t="str">
            <v>TUBE-POLYESTER YARN</v>
          </cell>
          <cell r="H1922" t="str">
            <v>TUB0456</v>
          </cell>
        </row>
        <row r="1923">
          <cell r="F1923" t="str">
            <v>6Ø WHT</v>
          </cell>
          <cell r="G1923" t="str">
            <v>SHRINK TUBE</v>
          </cell>
          <cell r="H1923" t="str">
            <v>TUB0455</v>
          </cell>
        </row>
        <row r="1924">
          <cell r="F1924" t="str">
            <v>SGT 3Ø(WHT)</v>
          </cell>
          <cell r="G1924" t="str">
            <v>SGT TUBE</v>
          </cell>
          <cell r="H1924" t="str">
            <v>TUB0454</v>
          </cell>
        </row>
        <row r="1925">
          <cell r="F1925" t="str">
            <v>4.76pi(3/16) WHT</v>
          </cell>
          <cell r="G1925" t="str">
            <v>PIPE WATER LINE</v>
          </cell>
          <cell r="H1925" t="str">
            <v>TUB0453</v>
          </cell>
        </row>
        <row r="1926">
          <cell r="F1926" t="str">
            <v>SRGT 6Ø(WHT)</v>
          </cell>
          <cell r="G1926" t="str">
            <v>SRGT TUBE</v>
          </cell>
          <cell r="H1926" t="str">
            <v>TUB0452</v>
          </cell>
        </row>
        <row r="1927">
          <cell r="F1927" t="str">
            <v>8Ø WHT</v>
          </cell>
          <cell r="G1927" t="str">
            <v>SHRINK TUBE</v>
          </cell>
          <cell r="H1927" t="str">
            <v>TUB0451</v>
          </cell>
        </row>
        <row r="1928">
          <cell r="F1928" t="str">
            <v>6ØX70mm(RED+WHT)</v>
          </cell>
          <cell r="G1928" t="str">
            <v>TUBE-POLYESTER YARN</v>
          </cell>
          <cell r="H1928" t="str">
            <v>TUB0450</v>
          </cell>
        </row>
        <row r="1929">
          <cell r="F1929" t="str">
            <v>6ØX1M(RED)</v>
          </cell>
          <cell r="G1929" t="str">
            <v>PE TUBE</v>
          </cell>
          <cell r="H1929" t="str">
            <v>TUB0449</v>
          </cell>
        </row>
        <row r="1930">
          <cell r="F1930" t="str">
            <v>6Ø BRN</v>
          </cell>
          <cell r="G1930" t="str">
            <v>SHRINK TUBE</v>
          </cell>
          <cell r="H1930" t="str">
            <v>TUB0448</v>
          </cell>
        </row>
        <row r="1931">
          <cell r="F1931" t="str">
            <v>6Ø S/BLU</v>
          </cell>
          <cell r="G1931" t="str">
            <v>SHRINK TUBE</v>
          </cell>
          <cell r="H1931" t="str">
            <v>TUB0447</v>
          </cell>
        </row>
        <row r="1932">
          <cell r="F1932" t="str">
            <v>4Ø S/BLU</v>
          </cell>
          <cell r="G1932" t="str">
            <v>SHRINK TUBE</v>
          </cell>
          <cell r="H1932" t="str">
            <v>TUB0446</v>
          </cell>
        </row>
        <row r="1933">
          <cell r="F1933" t="str">
            <v>4Ø BRN</v>
          </cell>
          <cell r="G1933" t="str">
            <v>SHRINK TUBE</v>
          </cell>
          <cell r="H1933" t="str">
            <v>TUB0445</v>
          </cell>
        </row>
        <row r="1934">
          <cell r="F1934" t="str">
            <v>6ØX33mm(BLK+RED)</v>
          </cell>
          <cell r="G1934" t="str">
            <v>TUBE-POLYESTER YARN</v>
          </cell>
          <cell r="H1934" t="str">
            <v>TUB0444</v>
          </cell>
        </row>
        <row r="1935">
          <cell r="F1935" t="str">
            <v>4Ø 15MM "10"</v>
          </cell>
          <cell r="G1935" t="str">
            <v>MARKING TUBE</v>
          </cell>
          <cell r="H1935" t="str">
            <v>TUB0443</v>
          </cell>
        </row>
        <row r="1936">
          <cell r="F1936" t="str">
            <v>4Ø 15MM "9"</v>
          </cell>
          <cell r="G1936" t="str">
            <v>MARKING TUBE</v>
          </cell>
          <cell r="H1936" t="str">
            <v>TUB0442</v>
          </cell>
        </row>
        <row r="1937">
          <cell r="F1937" t="str">
            <v>4Ø 15MM "6"</v>
          </cell>
          <cell r="G1937" t="str">
            <v>MARKING TUBE</v>
          </cell>
          <cell r="H1937" t="str">
            <v>TUB0441</v>
          </cell>
        </row>
        <row r="1938">
          <cell r="F1938" t="str">
            <v>4Ø 15MM "3"</v>
          </cell>
          <cell r="G1938" t="str">
            <v>MARKING TUBE</v>
          </cell>
          <cell r="H1938" t="str">
            <v>TUB0440</v>
          </cell>
        </row>
        <row r="1939">
          <cell r="F1939" t="str">
            <v>6ØX33mm(RED)</v>
          </cell>
          <cell r="G1939" t="str">
            <v>TUBE-POLYESTER YARN</v>
          </cell>
          <cell r="H1939" t="str">
            <v>TUB0439</v>
          </cell>
        </row>
        <row r="1940">
          <cell r="F1940" t="str">
            <v>4.0*5.2pi</v>
          </cell>
          <cell r="G1940" t="str">
            <v>SiliconTube</v>
          </cell>
          <cell r="H1940" t="str">
            <v>TUB0438</v>
          </cell>
        </row>
        <row r="1941">
          <cell r="F1941" t="str">
            <v>4Ø 10MM "L1"</v>
          </cell>
          <cell r="G1941" t="str">
            <v>MARKING TUBE</v>
          </cell>
          <cell r="H1941" t="str">
            <v>TUB0437</v>
          </cell>
        </row>
        <row r="1942">
          <cell r="F1942" t="str">
            <v>4Ø 10MM "VL"</v>
          </cell>
          <cell r="G1942" t="str">
            <v>MARKING TUBE</v>
          </cell>
          <cell r="H1942" t="str">
            <v>TUB0436</v>
          </cell>
        </row>
        <row r="1943">
          <cell r="F1943" t="str">
            <v>HSA 4.5PIE BLK</v>
          </cell>
          <cell r="G1943" t="str">
            <v>BONDING TUBE</v>
          </cell>
          <cell r="H1943" t="str">
            <v>TUB0435</v>
          </cell>
        </row>
        <row r="1944">
          <cell r="F1944" t="str">
            <v>1Ø(WHT)</v>
          </cell>
          <cell r="G1944" t="str">
            <v>SGRT TUBE</v>
          </cell>
          <cell r="H1944" t="str">
            <v>TUB0434</v>
          </cell>
        </row>
        <row r="1945">
          <cell r="F1945" t="str">
            <v>2Ø(WHT)</v>
          </cell>
          <cell r="G1945" t="str">
            <v>SGRT TUBE</v>
          </cell>
          <cell r="H1945" t="str">
            <v>TUB0433</v>
          </cell>
        </row>
        <row r="1946">
          <cell r="F1946" t="str">
            <v>Ø6.5mm BRN</v>
          </cell>
          <cell r="G1946" t="str">
            <v>GRT TUBE</v>
          </cell>
          <cell r="H1946" t="str">
            <v>TUB0432</v>
          </cell>
        </row>
        <row r="1947">
          <cell r="F1947" t="str">
            <v>35Ø BLK</v>
          </cell>
          <cell r="G1947" t="str">
            <v>SHRINK TUBE</v>
          </cell>
          <cell r="H1947" t="str">
            <v>TUB0431</v>
          </cell>
        </row>
        <row r="1948">
          <cell r="F1948" t="str">
            <v>PVC 7Ø*0.6T/BLK</v>
          </cell>
          <cell r="G1948" t="str">
            <v>PVC TUBE</v>
          </cell>
          <cell r="H1948" t="str">
            <v>TUB0430</v>
          </cell>
        </row>
        <row r="1949">
          <cell r="F1949" t="str">
            <v>PVC UL20Ø (WHT)</v>
          </cell>
          <cell r="G1949" t="str">
            <v>PVC TUBE</v>
          </cell>
          <cell r="H1949" t="str">
            <v>TUB0429</v>
          </cell>
        </row>
        <row r="1950">
          <cell r="F1950" t="str">
            <v>Ø5mm GRY</v>
          </cell>
          <cell r="G1950" t="str">
            <v>GRT TUBE</v>
          </cell>
          <cell r="H1950" t="str">
            <v>TUB0428</v>
          </cell>
        </row>
        <row r="1951">
          <cell r="F1951" t="str">
            <v>4Ø 15MM "20"</v>
          </cell>
          <cell r="G1951" t="str">
            <v>MARKING TUBE</v>
          </cell>
          <cell r="H1951" t="str">
            <v>TUB0427</v>
          </cell>
        </row>
        <row r="1952">
          <cell r="F1952" t="str">
            <v>4Ø 15MM "19"</v>
          </cell>
          <cell r="G1952" t="str">
            <v>MARKING TUBE</v>
          </cell>
          <cell r="H1952" t="str">
            <v>TUB0426</v>
          </cell>
        </row>
        <row r="1953">
          <cell r="F1953" t="str">
            <v>4Ø 15MM "17"</v>
          </cell>
          <cell r="G1953" t="str">
            <v>MARKING TUBE</v>
          </cell>
          <cell r="H1953" t="str">
            <v>TUB0425</v>
          </cell>
        </row>
        <row r="1954">
          <cell r="F1954" t="str">
            <v>4Ø 15MM "16"</v>
          </cell>
          <cell r="G1954" t="str">
            <v>MARKING TUBE</v>
          </cell>
          <cell r="H1954" t="str">
            <v>TUB0424</v>
          </cell>
        </row>
        <row r="1955">
          <cell r="F1955" t="str">
            <v>4Ø 15MM "14"</v>
          </cell>
          <cell r="G1955" t="str">
            <v>MARKING TUBE</v>
          </cell>
          <cell r="H1955" t="str">
            <v>TUB0423</v>
          </cell>
        </row>
        <row r="1956">
          <cell r="F1956" t="str">
            <v>4Ø 15MM "13"</v>
          </cell>
          <cell r="G1956" t="str">
            <v>MARKING TUBE</v>
          </cell>
          <cell r="H1956" t="str">
            <v>TUB0422</v>
          </cell>
        </row>
        <row r="1957">
          <cell r="F1957" t="str">
            <v>4Ø 15MM "8"</v>
          </cell>
          <cell r="G1957" t="str">
            <v>MARKING TUBE</v>
          </cell>
          <cell r="H1957" t="str">
            <v>TUB0421</v>
          </cell>
        </row>
        <row r="1958">
          <cell r="F1958" t="str">
            <v>4Ø 15MM "7"</v>
          </cell>
          <cell r="G1958" t="str">
            <v>MARKING TUBE</v>
          </cell>
          <cell r="H1958" t="str">
            <v>TUB0420</v>
          </cell>
        </row>
        <row r="1959">
          <cell r="F1959" t="str">
            <v>34Ø BLK</v>
          </cell>
          <cell r="G1959" t="str">
            <v>SHRINK TUBE</v>
          </cell>
          <cell r="H1959" t="str">
            <v>TUB0419</v>
          </cell>
        </row>
        <row r="1960">
          <cell r="F1960" t="str">
            <v>Ø4.3mm BRN</v>
          </cell>
          <cell r="G1960" t="str">
            <v>GRT TUBE</v>
          </cell>
          <cell r="H1960" t="str">
            <v>TUB0418</v>
          </cell>
        </row>
        <row r="1961">
          <cell r="F1961" t="str">
            <v>Ø4.3mm</v>
          </cell>
          <cell r="G1961" t="str">
            <v>GRT TUBE</v>
          </cell>
          <cell r="H1961" t="str">
            <v>TUB0417</v>
          </cell>
        </row>
        <row r="1962">
          <cell r="F1962" t="str">
            <v>16Ø</v>
          </cell>
          <cell r="G1962" t="str">
            <v>SHRINK TUBE</v>
          </cell>
          <cell r="H1962" t="str">
            <v>TUB0416</v>
          </cell>
        </row>
        <row r="1963">
          <cell r="F1963" t="str">
            <v>VOX 8X130</v>
          </cell>
          <cell r="G1963" t="str">
            <v>H/TUBE</v>
          </cell>
          <cell r="H1963" t="str">
            <v>TUB0415</v>
          </cell>
        </row>
        <row r="1964">
          <cell r="F1964" t="str">
            <v>UL11Ø0.6TVIT600V(RED)</v>
          </cell>
          <cell r="G1964" t="str">
            <v>PVC TUBE</v>
          </cell>
          <cell r="H1964" t="str">
            <v>TUB0414</v>
          </cell>
        </row>
        <row r="1965">
          <cell r="F1965" t="str">
            <v>PIE5mm BLK</v>
          </cell>
          <cell r="G1965" t="str">
            <v>GRT TUBE</v>
          </cell>
          <cell r="H1965" t="str">
            <v>TUB0413</v>
          </cell>
        </row>
        <row r="1966">
          <cell r="F1966" t="str">
            <v>MIN Ø4.5</v>
          </cell>
          <cell r="G1966" t="str">
            <v>TEFLON TUBE</v>
          </cell>
          <cell r="H1966" t="str">
            <v>TUB0412</v>
          </cell>
        </row>
        <row r="1967">
          <cell r="F1967" t="str">
            <v>Ø4.5 260mm</v>
          </cell>
          <cell r="G1967" t="str">
            <v>EPDM TUBE</v>
          </cell>
          <cell r="H1967" t="str">
            <v>TUB0411</v>
          </cell>
        </row>
        <row r="1968">
          <cell r="F1968" t="str">
            <v>UL20Ø0.7T(BLK)</v>
          </cell>
          <cell r="G1968" t="str">
            <v>PVC TUBE</v>
          </cell>
          <cell r="H1968" t="str">
            <v>TUB0410</v>
          </cell>
        </row>
        <row r="1969">
          <cell r="F1969" t="str">
            <v>6Ø "CLEANING ROBOT" WHT 40MM</v>
          </cell>
          <cell r="G1969" t="str">
            <v>MARKING TUBE</v>
          </cell>
          <cell r="H1969" t="str">
            <v>TUB0409</v>
          </cell>
        </row>
        <row r="1970">
          <cell r="F1970" t="str">
            <v>6Ø "OVEN" WHT 40MM</v>
          </cell>
          <cell r="G1970" t="str">
            <v>MARKING TUBE</v>
          </cell>
          <cell r="H1970" t="str">
            <v>TUB0408</v>
          </cell>
        </row>
        <row r="1971">
          <cell r="F1971" t="str">
            <v>6Ø "Ref." WHT 40MM</v>
          </cell>
          <cell r="G1971" t="str">
            <v>MARKING TUBE</v>
          </cell>
          <cell r="H1971" t="str">
            <v>TUB0407</v>
          </cell>
        </row>
        <row r="1972">
          <cell r="F1972" t="str">
            <v>UL 10Ø 1T/BLK/GARUM</v>
          </cell>
          <cell r="G1972" t="str">
            <v>PVC TUBE</v>
          </cell>
          <cell r="H1972" t="str">
            <v>TUB0406</v>
          </cell>
        </row>
        <row r="1973">
          <cell r="F1973" t="str">
            <v>HKCT2(HF)0.7Ø TW BLK</v>
          </cell>
          <cell r="G1973" t="str">
            <v>SHRINK TUBE</v>
          </cell>
          <cell r="H1973" t="str">
            <v>TUB0405</v>
          </cell>
        </row>
        <row r="1974">
          <cell r="F1974" t="str">
            <v>UL 18Ø 1T (BLK) GARUM</v>
          </cell>
          <cell r="G1974" t="str">
            <v>PVC TUBE</v>
          </cell>
          <cell r="H1974" t="str">
            <v>TUB0404</v>
          </cell>
        </row>
        <row r="1975">
          <cell r="F1975" t="str">
            <v>4.6Ø 0.5T WHT</v>
          </cell>
          <cell r="G1975" t="str">
            <v>PVC TUBE</v>
          </cell>
          <cell r="H1975" t="str">
            <v>TUB0403</v>
          </cell>
        </row>
        <row r="1976">
          <cell r="F1976" t="str">
            <v>4Ø 0.5T (WHT)</v>
          </cell>
          <cell r="G1976" t="str">
            <v>PVC TUBE</v>
          </cell>
          <cell r="H1976" t="str">
            <v>TUB0402</v>
          </cell>
        </row>
        <row r="1977">
          <cell r="F1977" t="str">
            <v>PVC UL20Ø</v>
          </cell>
          <cell r="G1977" t="str">
            <v>PVC TUBE</v>
          </cell>
          <cell r="H1977" t="str">
            <v>TUB0401</v>
          </cell>
        </row>
        <row r="1978">
          <cell r="F1978" t="str">
            <v>UL7.35Ø0.5T#1(BUK)(7Ø)</v>
          </cell>
          <cell r="G1978" t="str">
            <v>PVC TUBE</v>
          </cell>
          <cell r="H1978" t="str">
            <v>TUB0400</v>
          </cell>
        </row>
        <row r="1979">
          <cell r="F1979" t="str">
            <v>11Ø(BK)GARUM</v>
          </cell>
          <cell r="G1979" t="str">
            <v>CORRUGATE TUBE</v>
          </cell>
          <cell r="H1979" t="str">
            <v>TUB0370</v>
          </cell>
        </row>
        <row r="1980">
          <cell r="F1980" t="str">
            <v>5Ø(BK)GARUM</v>
          </cell>
          <cell r="G1980" t="str">
            <v>CORRUGATE TUBE</v>
          </cell>
          <cell r="H1980" t="str">
            <v>TUB0369</v>
          </cell>
        </row>
        <row r="1981">
          <cell r="F1981" t="str">
            <v>SH-300 (1/2INCH 13Ø)</v>
          </cell>
          <cell r="G1981" t="str">
            <v>MASH TUBE</v>
          </cell>
          <cell r="H1981" t="str">
            <v>TUB0368</v>
          </cell>
        </row>
        <row r="1982">
          <cell r="F1982" t="str">
            <v>SH-150 (3/4INCH 19Ø)</v>
          </cell>
          <cell r="G1982" t="str">
            <v>MASH TUBE</v>
          </cell>
          <cell r="H1982" t="str">
            <v>TUB0367</v>
          </cell>
        </row>
        <row r="1983">
          <cell r="F1983" t="str">
            <v>SH-150 (1INCH 25Ø)</v>
          </cell>
          <cell r="G1983" t="str">
            <v>MASH TUBE</v>
          </cell>
          <cell r="H1983" t="str">
            <v>TUB0366</v>
          </cell>
        </row>
        <row r="1984">
          <cell r="F1984" t="str">
            <v>UL9.5Ø1T(WHT)</v>
          </cell>
          <cell r="G1984" t="str">
            <v>PVC TUBE</v>
          </cell>
          <cell r="H1984" t="str">
            <v>TUB0365</v>
          </cell>
        </row>
        <row r="1985">
          <cell r="F1985" t="str">
            <v>3Ø(RED)</v>
          </cell>
          <cell r="G1985" t="str">
            <v>SHRINK TUBE</v>
          </cell>
          <cell r="H1985" t="str">
            <v>TUB0364</v>
          </cell>
        </row>
        <row r="1986">
          <cell r="F1986" t="str">
            <v>6ØX33mm(BLK)</v>
          </cell>
          <cell r="G1986" t="str">
            <v>TUBE-POLYESTER YARN</v>
          </cell>
          <cell r="H1986" t="str">
            <v>TUB0363</v>
          </cell>
        </row>
        <row r="1987">
          <cell r="F1987" t="str">
            <v>5Ø(YEL)</v>
          </cell>
          <cell r="G1987" t="str">
            <v>SGT TUBE</v>
          </cell>
          <cell r="H1987" t="str">
            <v>TUB0362</v>
          </cell>
        </row>
        <row r="1988">
          <cell r="F1988" t="str">
            <v>UL5.2Ø0.5T(WHT)</v>
          </cell>
          <cell r="G1988" t="str">
            <v>PVC TUBE</v>
          </cell>
          <cell r="H1988" t="str">
            <v>TUB0361</v>
          </cell>
        </row>
        <row r="1989">
          <cell r="F1989" t="str">
            <v>UL5ØX0.5T(WHT)</v>
          </cell>
          <cell r="G1989" t="str">
            <v>PVC TUBE</v>
          </cell>
          <cell r="H1989" t="str">
            <v>TUB0360</v>
          </cell>
        </row>
        <row r="1990">
          <cell r="F1990" t="str">
            <v>18Ø 0.7T</v>
          </cell>
          <cell r="G1990" t="str">
            <v>PVC TUBE</v>
          </cell>
          <cell r="H1990" t="str">
            <v>TUB0359</v>
          </cell>
        </row>
        <row r="1991">
          <cell r="F1991" t="str">
            <v>4Ø 15MM "L"</v>
          </cell>
          <cell r="G1991" t="str">
            <v>MARKING TUBE</v>
          </cell>
          <cell r="H1991" t="str">
            <v>TUB0357</v>
          </cell>
        </row>
        <row r="1992">
          <cell r="F1992" t="str">
            <v>4Ø 15MM "N"</v>
          </cell>
          <cell r="G1992" t="str">
            <v>MARKING TUBE</v>
          </cell>
          <cell r="H1992" t="str">
            <v>TUB0356</v>
          </cell>
        </row>
        <row r="1993">
          <cell r="F1993" t="str">
            <v>4Ø 15MM "N1"</v>
          </cell>
          <cell r="G1993" t="str">
            <v>MARKING TUBE</v>
          </cell>
          <cell r="H1993" t="str">
            <v>TUB0355</v>
          </cell>
        </row>
        <row r="1994">
          <cell r="F1994" t="str">
            <v>4Ø 15MM "E"</v>
          </cell>
          <cell r="G1994" t="str">
            <v>MARKING TUBE</v>
          </cell>
          <cell r="H1994" t="str">
            <v>TUB0351</v>
          </cell>
        </row>
        <row r="1995">
          <cell r="F1995" t="str">
            <v>4Ø 15MM "1"</v>
          </cell>
          <cell r="G1995" t="str">
            <v>MARKING TUBE</v>
          </cell>
          <cell r="H1995" t="str">
            <v>TUB0350</v>
          </cell>
        </row>
        <row r="1996">
          <cell r="F1996" t="str">
            <v>4Ø 15MM "N(1)"</v>
          </cell>
          <cell r="G1996" t="str">
            <v>MARKING TUBE</v>
          </cell>
          <cell r="H1996" t="str">
            <v>TUB0349</v>
          </cell>
        </row>
        <row r="1997">
          <cell r="F1997" t="str">
            <v>4Ø 15MM "A2"</v>
          </cell>
          <cell r="G1997" t="str">
            <v>MARKING TUBE</v>
          </cell>
          <cell r="H1997" t="str">
            <v>TUB0348</v>
          </cell>
        </row>
        <row r="1998">
          <cell r="F1998" t="str">
            <v>4Ø 15MM "A1"</v>
          </cell>
          <cell r="G1998" t="str">
            <v>MARKING TUBE</v>
          </cell>
          <cell r="H1998" t="str">
            <v>TUB0347</v>
          </cell>
        </row>
        <row r="1999">
          <cell r="F1999" t="str">
            <v>UL7.35Ø0.6T#BLK</v>
          </cell>
          <cell r="G1999" t="str">
            <v>PVC TUBE</v>
          </cell>
          <cell r="H1999" t="str">
            <v>TUB0335</v>
          </cell>
        </row>
        <row r="2000">
          <cell r="F2000" t="str">
            <v>1.2Ø BANDING TIE(BLK)</v>
          </cell>
          <cell r="G2000" t="str">
            <v>BANDING TIE</v>
          </cell>
          <cell r="H2000" t="str">
            <v>TUB0332</v>
          </cell>
        </row>
        <row r="2001">
          <cell r="F2001" t="str">
            <v>9Ø(BK)GARUM</v>
          </cell>
          <cell r="G2001" t="str">
            <v>CORRUGATE TUBE</v>
          </cell>
          <cell r="H2001" t="str">
            <v>TUB0331</v>
          </cell>
        </row>
        <row r="2002">
          <cell r="F2002" t="str">
            <v>2Ø(LIMPIDITY)</v>
          </cell>
          <cell r="G2002" t="str">
            <v>SHRINK TUBE</v>
          </cell>
          <cell r="H2002" t="str">
            <v>TUB0330</v>
          </cell>
        </row>
        <row r="2003">
          <cell r="F2003" t="str">
            <v>1.2Ø(BANDING TIE)</v>
          </cell>
          <cell r="G2003" t="str">
            <v>BANDING TIE</v>
          </cell>
          <cell r="H2003" t="str">
            <v>TUB0329</v>
          </cell>
        </row>
        <row r="2004">
          <cell r="F2004" t="str">
            <v>DDE 30195-0004100</v>
          </cell>
          <cell r="G2004" t="str">
            <v>TUBE WATER DISPNS AS</v>
          </cell>
          <cell r="H2004" t="str">
            <v>TUB0328</v>
          </cell>
        </row>
        <row r="2005">
          <cell r="F2005" t="str">
            <v>DA62-05064A</v>
          </cell>
          <cell r="G2005" t="str">
            <v>PIPE WATER - B</v>
          </cell>
          <cell r="H2005" t="str">
            <v>TUB0327</v>
          </cell>
        </row>
        <row r="2006">
          <cell r="F2006" t="str">
            <v>UL6.5Ø0.5T 투명</v>
          </cell>
          <cell r="G2006" t="str">
            <v>PVC TUBE</v>
          </cell>
          <cell r="H2006" t="str">
            <v>TUB0326</v>
          </cell>
        </row>
        <row r="2007">
          <cell r="F2007" t="str">
            <v>22Ø(BLK)</v>
          </cell>
          <cell r="G2007" t="str">
            <v>SHRINK TUBE</v>
          </cell>
          <cell r="H2007" t="str">
            <v>TUB0325</v>
          </cell>
        </row>
        <row r="2008">
          <cell r="F2008" t="str">
            <v>22Ø(WHT)</v>
          </cell>
          <cell r="G2008" t="str">
            <v>SHRINK TUBE</v>
          </cell>
          <cell r="H2008" t="str">
            <v>TUB0324</v>
          </cell>
        </row>
        <row r="2009">
          <cell r="F2009" t="str">
            <v>3.5ØX0.5T(BLK)</v>
          </cell>
          <cell r="G2009" t="str">
            <v>PVC TUBE</v>
          </cell>
          <cell r="H2009" t="str">
            <v>TUB0322</v>
          </cell>
        </row>
        <row r="2010">
          <cell r="F2010" t="str">
            <v>3.2ØX0.5T(BLK)</v>
          </cell>
          <cell r="G2010" t="str">
            <v>PVC TUBE</v>
          </cell>
          <cell r="H2010" t="str">
            <v>TUB0321</v>
          </cell>
        </row>
        <row r="2011">
          <cell r="F2011" t="str">
            <v>3Ø(WHT)</v>
          </cell>
          <cell r="G2011" t="str">
            <v>SHRINK TUBE</v>
          </cell>
          <cell r="H2011" t="str">
            <v>TUB0320</v>
          </cell>
        </row>
        <row r="2012">
          <cell r="F2012" t="str">
            <v>6Ø "CLEANING ROBOT" WHT 45MM</v>
          </cell>
          <cell r="G2012" t="str">
            <v>MARKING TUBE</v>
          </cell>
          <cell r="H2012" t="str">
            <v>TUB0319</v>
          </cell>
        </row>
        <row r="2013">
          <cell r="F2013" t="str">
            <v>6Ø "AIR CLEANER" WHT 40MM</v>
          </cell>
          <cell r="G2013" t="str">
            <v>MARKING TUBE</v>
          </cell>
          <cell r="H2013" t="str">
            <v>TUB0318</v>
          </cell>
        </row>
        <row r="2014">
          <cell r="F2014" t="str">
            <v>6Ø "OVEN" WHT 20MM</v>
          </cell>
          <cell r="G2014" t="str">
            <v>MARKING TUBE</v>
          </cell>
          <cell r="H2014" t="str">
            <v>TUB0317</v>
          </cell>
        </row>
        <row r="2015">
          <cell r="F2015" t="str">
            <v>6Ø "Ref." WHT 15MM</v>
          </cell>
          <cell r="G2015" t="str">
            <v>MARKING TUBE</v>
          </cell>
          <cell r="H2015" t="str">
            <v>TUB0316</v>
          </cell>
        </row>
        <row r="2016">
          <cell r="F2016" t="str">
            <v>6Ø "W/M" WHT 15MM</v>
          </cell>
          <cell r="G2016" t="str">
            <v>MARKING TUBE</v>
          </cell>
          <cell r="H2016" t="str">
            <v>TUB0315</v>
          </cell>
        </row>
        <row r="2017">
          <cell r="F2017" t="str">
            <v>4Ø "F2" WHT 10MM</v>
          </cell>
          <cell r="G2017" t="str">
            <v>MARKING SLEEVE</v>
          </cell>
          <cell r="H2017" t="str">
            <v>TUB0313</v>
          </cell>
        </row>
        <row r="2018">
          <cell r="F2018" t="str">
            <v>4Ø "F1" WHT 10MM</v>
          </cell>
          <cell r="G2018" t="str">
            <v>MARKING SLEEVE</v>
          </cell>
          <cell r="H2018" t="str">
            <v>TUB0312</v>
          </cell>
        </row>
        <row r="2019">
          <cell r="F2019" t="str">
            <v>9Ø 42MM BLK</v>
          </cell>
          <cell r="G2019" t="str">
            <v>BONDING TUBE</v>
          </cell>
          <cell r="H2019" t="str">
            <v>TUB0311</v>
          </cell>
        </row>
        <row r="2020">
          <cell r="F2020" t="str">
            <v>10Ø RED</v>
          </cell>
          <cell r="G2020" t="str">
            <v>SHRINK TUBE</v>
          </cell>
          <cell r="H2020" t="str">
            <v>TUB0310</v>
          </cell>
        </row>
        <row r="2021">
          <cell r="F2021" t="str">
            <v>10Ø WHT</v>
          </cell>
          <cell r="G2021" t="str">
            <v>SHRINK TUBE</v>
          </cell>
          <cell r="H2021" t="str">
            <v>TUB0309</v>
          </cell>
        </row>
        <row r="2022">
          <cell r="F2022" t="str">
            <v>4Ø "L3" WHT 10MM</v>
          </cell>
          <cell r="G2022" t="str">
            <v>MARKING SLEEVE</v>
          </cell>
          <cell r="H2022" t="str">
            <v>TUB0308</v>
          </cell>
        </row>
        <row r="2023">
          <cell r="F2023" t="str">
            <v>4Ø "L2" WHT 10MM</v>
          </cell>
          <cell r="G2023" t="str">
            <v>MARKING SLEEVE</v>
          </cell>
          <cell r="H2023" t="str">
            <v>TUB0307</v>
          </cell>
        </row>
        <row r="2024">
          <cell r="F2024" t="str">
            <v>4Ø "L1" WHT 10MM</v>
          </cell>
          <cell r="G2024" t="str">
            <v>MARKING SLEEVE</v>
          </cell>
          <cell r="H2024" t="str">
            <v>TUB0306</v>
          </cell>
        </row>
        <row r="2025">
          <cell r="F2025" t="str">
            <v>4Ø "3" WHT 10MM</v>
          </cell>
          <cell r="G2025" t="str">
            <v>MARKING SLEEVE</v>
          </cell>
          <cell r="H2025" t="str">
            <v>TUB0305</v>
          </cell>
        </row>
        <row r="2026">
          <cell r="F2026" t="str">
            <v>4Ø "2" WHT 10MM</v>
          </cell>
          <cell r="G2026" t="str">
            <v>MARKING SLEEVE</v>
          </cell>
          <cell r="H2026" t="str">
            <v>TUB0304</v>
          </cell>
        </row>
        <row r="2027">
          <cell r="F2027" t="str">
            <v>4Ø "1" WHT 10MM</v>
          </cell>
          <cell r="G2027" t="str">
            <v>MARKING SLEEVE</v>
          </cell>
          <cell r="H2027" t="str">
            <v>TUB0303</v>
          </cell>
        </row>
        <row r="2028">
          <cell r="F2028" t="str">
            <v>DDE 3019505500</v>
          </cell>
          <cell r="G2028" t="str">
            <v>TUBE WATER DISPNS AS</v>
          </cell>
          <cell r="H2028" t="str">
            <v>TUB0302</v>
          </cell>
        </row>
        <row r="2029">
          <cell r="F2029" t="str">
            <v>45Ø(BLK)</v>
          </cell>
          <cell r="G2029" t="str">
            <v>SHRINK TUBE</v>
          </cell>
          <cell r="H2029" t="str">
            <v>TUB0301</v>
          </cell>
        </row>
        <row r="2030">
          <cell r="F2030" t="str">
            <v>UL8ØXT0.5 (WHT)</v>
          </cell>
          <cell r="G2030" t="str">
            <v>PVC TUBE</v>
          </cell>
          <cell r="H2030" t="str">
            <v>TUB0300</v>
          </cell>
        </row>
        <row r="2031">
          <cell r="F2031" t="str">
            <v>8ØXT0.6~0.65XL42</v>
          </cell>
          <cell r="G2031" t="str">
            <v>PVC TUBE</v>
          </cell>
          <cell r="H2031" t="str">
            <v>TUB0299</v>
          </cell>
        </row>
        <row r="2032">
          <cell r="F2032" t="str">
            <v>UL20Ø0.7T(BLK) GARUM</v>
          </cell>
          <cell r="G2032" t="str">
            <v>PVC TUBE</v>
          </cell>
          <cell r="H2032" t="str">
            <v>TUB0298</v>
          </cell>
        </row>
        <row r="2033">
          <cell r="F2033" t="str">
            <v>16Ø(BK)GARUM</v>
          </cell>
          <cell r="G2033" t="str">
            <v>CORRUGATE TUBE</v>
          </cell>
          <cell r="H2033" t="str">
            <v>TUB0297</v>
          </cell>
        </row>
        <row r="2034">
          <cell r="F2034" t="str">
            <v>UL6.5Ø1T/(BLK)GARUM#2(6Ø)</v>
          </cell>
          <cell r="G2034" t="str">
            <v>PVC TUBE</v>
          </cell>
          <cell r="H2034" t="str">
            <v>TUB0296</v>
          </cell>
        </row>
        <row r="2035">
          <cell r="F2035" t="str">
            <v>1.5Ø</v>
          </cell>
          <cell r="G2035" t="str">
            <v>SHRINK TUBE</v>
          </cell>
          <cell r="H2035" t="str">
            <v>TUB0295</v>
          </cell>
        </row>
        <row r="2036">
          <cell r="F2036" t="str">
            <v>DA73-10469P 40MM</v>
          </cell>
          <cell r="G2036" t="str">
            <v>PIPE WATER PVC</v>
          </cell>
          <cell r="H2036" t="str">
            <v>TUB0293</v>
          </cell>
        </row>
        <row r="2037">
          <cell r="F2037" t="str">
            <v>UL6.5Ø0.5T(WHT)#2(6Ø)</v>
          </cell>
          <cell r="G2037" t="str">
            <v>PVC TUBE</v>
          </cell>
          <cell r="H2037" t="str">
            <v>TUB0292</v>
          </cell>
        </row>
        <row r="2038">
          <cell r="F2038" t="str">
            <v>60Ø(BLK)</v>
          </cell>
          <cell r="G2038" t="str">
            <v>SHRINK TUBE</v>
          </cell>
          <cell r="H2038" t="str">
            <v>TUB0291</v>
          </cell>
        </row>
        <row r="2039">
          <cell r="F2039" t="str">
            <v>4.5Ø/WHT(500MM)</v>
          </cell>
          <cell r="G2039" t="str">
            <v>SGT-AA+ TUBE</v>
          </cell>
          <cell r="H2039" t="str">
            <v>TUB0289</v>
          </cell>
        </row>
        <row r="2040">
          <cell r="F2040" t="str">
            <v>7Ø BLK</v>
          </cell>
          <cell r="G2040" t="str">
            <v>CALL GATE TUBE</v>
          </cell>
          <cell r="H2040" t="str">
            <v>TUB0288</v>
          </cell>
        </row>
        <row r="2041">
          <cell r="F2041" t="str">
            <v>UL14Ø 0.6T(600V)BLK</v>
          </cell>
          <cell r="G2041" t="str">
            <v>PVC TUBE</v>
          </cell>
          <cell r="H2041" t="str">
            <v>TUB0287</v>
          </cell>
        </row>
        <row r="2042">
          <cell r="F2042" t="str">
            <v>4Ø 15MM "2(N)"</v>
          </cell>
          <cell r="G2042" t="str">
            <v>MARKING TUBE</v>
          </cell>
          <cell r="H2042" t="str">
            <v>TUB0286</v>
          </cell>
        </row>
        <row r="2043">
          <cell r="F2043" t="str">
            <v>4Ø 15MM "1(L)"</v>
          </cell>
          <cell r="G2043" t="str">
            <v>MARKING TUBE</v>
          </cell>
          <cell r="H2043" t="str">
            <v>TUB0285</v>
          </cell>
        </row>
        <row r="2044">
          <cell r="F2044" t="str">
            <v>4Ø 15MM "VC"</v>
          </cell>
          <cell r="G2044" t="str">
            <v>MARKING TUBE</v>
          </cell>
          <cell r="H2044" t="str">
            <v>TUB0284</v>
          </cell>
        </row>
        <row r="2045">
          <cell r="F2045" t="str">
            <v>4Ø 15MM "F4"</v>
          </cell>
          <cell r="G2045" t="str">
            <v>MARKING SLEEVE</v>
          </cell>
          <cell r="H2045" t="str">
            <v>TUB0283</v>
          </cell>
        </row>
        <row r="2046">
          <cell r="F2046" t="str">
            <v>4Ø 15MM "F3"</v>
          </cell>
          <cell r="G2046" t="str">
            <v>MARKING SLEEVE</v>
          </cell>
          <cell r="H2046" t="str">
            <v>TUB0282</v>
          </cell>
        </row>
        <row r="2047">
          <cell r="F2047" t="str">
            <v>4Ø 15MM "F2"</v>
          </cell>
          <cell r="G2047" t="str">
            <v>MARKING SLEEVE</v>
          </cell>
          <cell r="H2047" t="str">
            <v>TUB0281</v>
          </cell>
        </row>
        <row r="2048">
          <cell r="F2048" t="str">
            <v>4Ø 15MM "F1"</v>
          </cell>
          <cell r="G2048" t="str">
            <v>MARKING SLEEVE</v>
          </cell>
          <cell r="H2048" t="str">
            <v>TUB0280</v>
          </cell>
        </row>
        <row r="2049">
          <cell r="F2049" t="str">
            <v>4Ø 15MM "V2"</v>
          </cell>
          <cell r="G2049" t="str">
            <v>MARKING SLEEVE</v>
          </cell>
          <cell r="H2049" t="str">
            <v>TUB0279</v>
          </cell>
        </row>
        <row r="2050">
          <cell r="F2050" t="str">
            <v>4Ø 15MM "V1"</v>
          </cell>
          <cell r="G2050" t="str">
            <v>MARKING SLEEVE</v>
          </cell>
          <cell r="H2050" t="str">
            <v>TUB0278</v>
          </cell>
        </row>
        <row r="2051">
          <cell r="F2051" t="str">
            <v>SGT 8Ø(RED)</v>
          </cell>
          <cell r="G2051" t="str">
            <v>SGT TUBE</v>
          </cell>
          <cell r="H2051" t="str">
            <v>TUB0277</v>
          </cell>
        </row>
        <row r="2052">
          <cell r="F2052" t="str">
            <v>SGT 8Ø(WHT)</v>
          </cell>
          <cell r="G2052" t="str">
            <v>SGT TUBE</v>
          </cell>
          <cell r="H2052" t="str">
            <v>TUB0276</v>
          </cell>
        </row>
        <row r="2053">
          <cell r="F2053" t="str">
            <v>SGT 8Ø</v>
          </cell>
          <cell r="G2053" t="str">
            <v>SGT TUBE</v>
          </cell>
          <cell r="H2053" t="str">
            <v>TUB0275</v>
          </cell>
        </row>
        <row r="2054">
          <cell r="F2054" t="str">
            <v>9Ø RED</v>
          </cell>
          <cell r="G2054" t="str">
            <v>SHRINK TUBE</v>
          </cell>
          <cell r="H2054" t="str">
            <v>TUB0273</v>
          </cell>
        </row>
        <row r="2055">
          <cell r="F2055" t="str">
            <v>9Ø WHT</v>
          </cell>
          <cell r="G2055" t="str">
            <v>SHRINK TUBE</v>
          </cell>
          <cell r="H2055" t="str">
            <v>TUB0272</v>
          </cell>
        </row>
        <row r="2056">
          <cell r="F2056" t="str">
            <v>9Ø</v>
          </cell>
          <cell r="G2056" t="str">
            <v>SHRINK TUBE</v>
          </cell>
          <cell r="H2056" t="str">
            <v>TUB0271</v>
          </cell>
        </row>
        <row r="2057">
          <cell r="F2057" t="str">
            <v>16Ø 0.7T BLK</v>
          </cell>
          <cell r="G2057" t="str">
            <v>PVC TUBE</v>
          </cell>
          <cell r="H2057" t="str">
            <v>TUB0270</v>
          </cell>
        </row>
        <row r="2058">
          <cell r="F2058" t="str">
            <v>난연성,T1.0이상 LIMPIDITY</v>
          </cell>
          <cell r="G2058" t="str">
            <v>VINYL TUBE</v>
          </cell>
          <cell r="H2058" t="str">
            <v>TUB0269</v>
          </cell>
        </row>
        <row r="2059">
          <cell r="F2059" t="str">
            <v>6Ø "3(C)" WHT 30MM</v>
          </cell>
          <cell r="G2059" t="str">
            <v>MARKING TUBE</v>
          </cell>
          <cell r="H2059" t="str">
            <v>TUB0268</v>
          </cell>
        </row>
        <row r="2060">
          <cell r="F2060" t="str">
            <v>6Ø "1(L)" WHT 30MM</v>
          </cell>
          <cell r="G2060" t="str">
            <v>MARKING TUBE</v>
          </cell>
          <cell r="H2060" t="str">
            <v>TUB0267</v>
          </cell>
        </row>
        <row r="2061">
          <cell r="F2061" t="str">
            <v>SH106-N(200mm CUT)</v>
          </cell>
          <cell r="G2061" t="str">
            <v>MASH TUBE</v>
          </cell>
          <cell r="H2061" t="str">
            <v>TUB0263</v>
          </cell>
        </row>
        <row r="2062">
          <cell r="F2062" t="str">
            <v>DO7XT1XL80 LIMPIDITY</v>
          </cell>
          <cell r="G2062" t="str">
            <v>SHRINK TUBE</v>
          </cell>
          <cell r="H2062" t="str">
            <v>TUB0262</v>
          </cell>
        </row>
        <row r="2063">
          <cell r="F2063" t="str">
            <v>UL11Ø0.6TVIT600V(BLK)</v>
          </cell>
          <cell r="G2063" t="str">
            <v>PVC TUBE</v>
          </cell>
          <cell r="H2063" t="str">
            <v>TUB0258</v>
          </cell>
        </row>
        <row r="2064">
          <cell r="F2064" t="str">
            <v>4Ø 15MM "L1"</v>
          </cell>
          <cell r="G2064" t="str">
            <v>MARKING TUBE</v>
          </cell>
          <cell r="H2064" t="str">
            <v>TUB0256</v>
          </cell>
        </row>
        <row r="2065">
          <cell r="F2065" t="str">
            <v>SH106-N(150mm CUT)</v>
          </cell>
          <cell r="G2065" t="str">
            <v>MASH TUBE</v>
          </cell>
          <cell r="H2065" t="str">
            <v>TUB0245</v>
          </cell>
        </row>
        <row r="2066">
          <cell r="F2066" t="str">
            <v>4Ø 15MM "5"</v>
          </cell>
          <cell r="G2066" t="str">
            <v>MARKING TUBE</v>
          </cell>
          <cell r="H2066" t="str">
            <v>TUB0233</v>
          </cell>
        </row>
        <row r="2067">
          <cell r="F2067" t="str">
            <v>4Ø 15MM "4"</v>
          </cell>
          <cell r="G2067" t="str">
            <v>MARKING TUBE</v>
          </cell>
          <cell r="H2067" t="str">
            <v>TUB0232</v>
          </cell>
        </row>
        <row r="2068">
          <cell r="F2068" t="str">
            <v>4Ø 15MM "2"</v>
          </cell>
          <cell r="G2068" t="str">
            <v>MARKING TUBE</v>
          </cell>
          <cell r="H2068" t="str">
            <v>TUB0231</v>
          </cell>
        </row>
        <row r="2069">
          <cell r="F2069" t="str">
            <v>36Ø</v>
          </cell>
          <cell r="G2069" t="str">
            <v>SHRINK TUBE</v>
          </cell>
          <cell r="H2069" t="str">
            <v>TUB0230</v>
          </cell>
        </row>
        <row r="2070">
          <cell r="F2070" t="str">
            <v>UL6.5Ø0.5T/(BLK)GARUM#2(6Ø)</v>
          </cell>
          <cell r="G2070" t="str">
            <v>PVC TUBE</v>
          </cell>
          <cell r="H2070" t="str">
            <v>TUB0229</v>
          </cell>
        </row>
        <row r="2071">
          <cell r="F2071" t="str">
            <v>SH106-N(1inch)</v>
          </cell>
          <cell r="G2071" t="str">
            <v>MASH TUBE</v>
          </cell>
          <cell r="H2071" t="str">
            <v>TUB0228</v>
          </cell>
        </row>
        <row r="2072">
          <cell r="F2072" t="str">
            <v>7Ø "R2" WHT 20MM</v>
          </cell>
          <cell r="G2072" t="str">
            <v>MARKING TUBE</v>
          </cell>
          <cell r="H2072" t="str">
            <v>TUB0227</v>
          </cell>
        </row>
        <row r="2073">
          <cell r="F2073" t="str">
            <v>7Ø "S2" WHT 20MM</v>
          </cell>
          <cell r="G2073" t="str">
            <v>MARKING TUBE</v>
          </cell>
          <cell r="H2073" t="str">
            <v>TUB0226</v>
          </cell>
        </row>
        <row r="2074">
          <cell r="F2074" t="str">
            <v>7Ø "T2" WHT 20MM</v>
          </cell>
          <cell r="G2074" t="str">
            <v>MARKING TUBE</v>
          </cell>
          <cell r="H2074" t="str">
            <v>TUB0225</v>
          </cell>
        </row>
        <row r="2075">
          <cell r="F2075" t="str">
            <v>7Ø "R1" WHT 20MM</v>
          </cell>
          <cell r="G2075" t="str">
            <v>MARKING TUBE</v>
          </cell>
          <cell r="H2075" t="str">
            <v>TUB0224</v>
          </cell>
        </row>
        <row r="2076">
          <cell r="F2076" t="str">
            <v>7Ø "S1" WHT 20MM</v>
          </cell>
          <cell r="G2076" t="str">
            <v>MARKING TUBE</v>
          </cell>
          <cell r="H2076" t="str">
            <v>TUB0223</v>
          </cell>
        </row>
        <row r="2077">
          <cell r="F2077" t="str">
            <v>7Ø "T1" WHT 20MM</v>
          </cell>
          <cell r="G2077" t="str">
            <v>MARKING TUBE</v>
          </cell>
          <cell r="H2077" t="str">
            <v>TUB0222</v>
          </cell>
        </row>
        <row r="2078">
          <cell r="F2078" t="str">
            <v>6Ø "N" WHT 30MM</v>
          </cell>
          <cell r="G2078" t="str">
            <v>MARKING TUBE</v>
          </cell>
          <cell r="H2078" t="str">
            <v>TUB0218</v>
          </cell>
        </row>
        <row r="2079">
          <cell r="F2079" t="str">
            <v>SGT 9Ø</v>
          </cell>
          <cell r="G2079" t="str">
            <v>SGT TUBE</v>
          </cell>
          <cell r="H2079" t="str">
            <v>TUB0217</v>
          </cell>
        </row>
        <row r="2080">
          <cell r="F2080" t="str">
            <v>6Ø "2(N)" WHT 30MM</v>
          </cell>
          <cell r="G2080" t="str">
            <v>MARKING TUBE</v>
          </cell>
          <cell r="H2080" t="str">
            <v>TUB0215</v>
          </cell>
        </row>
        <row r="2081">
          <cell r="F2081" t="str">
            <v>6Ø "V" WHT 30MM</v>
          </cell>
          <cell r="G2081" t="str">
            <v>MARKING TUBE</v>
          </cell>
          <cell r="H2081" t="str">
            <v>TUB0214</v>
          </cell>
        </row>
        <row r="2082">
          <cell r="F2082" t="str">
            <v>EIT 11Ø BLK</v>
          </cell>
          <cell r="G2082" t="str">
            <v>EIT TUBE</v>
          </cell>
          <cell r="H2082" t="str">
            <v>TUB0213</v>
          </cell>
        </row>
        <row r="2083">
          <cell r="F2083" t="str">
            <v>7Ø(BLK 2) WHT</v>
          </cell>
          <cell r="G2083" t="str">
            <v>MARKING TUBE</v>
          </cell>
          <cell r="H2083" t="str">
            <v>TUB0211</v>
          </cell>
        </row>
        <row r="2084">
          <cell r="F2084" t="str">
            <v>6Ø "BLK1" WHT 30MM</v>
          </cell>
          <cell r="G2084" t="str">
            <v>MARKING TUBE</v>
          </cell>
          <cell r="H2084" t="str">
            <v>TUB0210</v>
          </cell>
        </row>
        <row r="2085">
          <cell r="F2085" t="str">
            <v>75Ø BLK</v>
          </cell>
          <cell r="G2085" t="str">
            <v>SHRINK TUBE</v>
          </cell>
          <cell r="H2085" t="str">
            <v>TUB0204</v>
          </cell>
        </row>
        <row r="2086">
          <cell r="F2086" t="str">
            <v>38Ø BLK</v>
          </cell>
          <cell r="G2086" t="str">
            <v>SHRINK TUBE</v>
          </cell>
          <cell r="H2086" t="str">
            <v>TUB0200</v>
          </cell>
        </row>
        <row r="2087">
          <cell r="F2087" t="str">
            <v>4Ø RED</v>
          </cell>
          <cell r="G2087" t="str">
            <v>SHRINK TUBE</v>
          </cell>
          <cell r="H2087" t="str">
            <v>TUB0195</v>
          </cell>
        </row>
        <row r="2088">
          <cell r="F2088" t="str">
            <v>6Ø RED</v>
          </cell>
          <cell r="G2088" t="str">
            <v>SHRINK TUBE</v>
          </cell>
          <cell r="H2088" t="str">
            <v>TUB0194</v>
          </cell>
        </row>
        <row r="2089">
          <cell r="F2089" t="str">
            <v>8Ø RED</v>
          </cell>
          <cell r="G2089" t="str">
            <v>SHRINK TUBE</v>
          </cell>
          <cell r="H2089" t="str">
            <v>TUB0193</v>
          </cell>
        </row>
        <row r="2090">
          <cell r="F2090" t="str">
            <v>7Ø WHT</v>
          </cell>
          <cell r="G2090" t="str">
            <v>SHRINK TUBE</v>
          </cell>
          <cell r="H2090" t="str">
            <v>TUB0192</v>
          </cell>
        </row>
        <row r="2091">
          <cell r="F2091" t="str">
            <v>7Ø RED</v>
          </cell>
          <cell r="G2091" t="str">
            <v>SHRINK TUBE</v>
          </cell>
          <cell r="H2091" t="str">
            <v>TUB0191</v>
          </cell>
        </row>
        <row r="2092">
          <cell r="F2092" t="str">
            <v>60Ø BLK</v>
          </cell>
          <cell r="G2092" t="str">
            <v>SHRINK TUBE</v>
          </cell>
          <cell r="H2092" t="str">
            <v>TUB0189</v>
          </cell>
        </row>
        <row r="2093">
          <cell r="F2093" t="str">
            <v>5Ø WHT</v>
          </cell>
          <cell r="G2093" t="str">
            <v>SHRINK TUBE</v>
          </cell>
          <cell r="H2093" t="str">
            <v>TUB0188</v>
          </cell>
        </row>
        <row r="2094">
          <cell r="F2094" t="str">
            <v>5Ø RED</v>
          </cell>
          <cell r="G2094" t="str">
            <v>SHRINK TUBE</v>
          </cell>
          <cell r="H2094" t="str">
            <v>TUB0187</v>
          </cell>
        </row>
        <row r="2095">
          <cell r="F2095" t="str">
            <v>50Ø BLK</v>
          </cell>
          <cell r="G2095" t="str">
            <v>SHRINK TUBE</v>
          </cell>
          <cell r="H2095" t="str">
            <v>TUB0186</v>
          </cell>
        </row>
        <row r="2096">
          <cell r="F2096" t="str">
            <v>4Ø WHT</v>
          </cell>
          <cell r="G2096" t="str">
            <v>SHRINK TUBE</v>
          </cell>
          <cell r="H2096" t="str">
            <v>TUB0185</v>
          </cell>
        </row>
        <row r="2097">
          <cell r="F2097" t="str">
            <v>40Ø BLK</v>
          </cell>
          <cell r="G2097" t="str">
            <v>SHRINK TUBE</v>
          </cell>
          <cell r="H2097" t="str">
            <v>TUB0183</v>
          </cell>
        </row>
        <row r="2098">
          <cell r="F2098" t="str">
            <v>32Ø BLK</v>
          </cell>
          <cell r="G2098" t="str">
            <v>SHRINK TUBE</v>
          </cell>
          <cell r="H2098" t="str">
            <v>TUB0180</v>
          </cell>
        </row>
        <row r="2099">
          <cell r="F2099" t="str">
            <v>30Ø BLK</v>
          </cell>
          <cell r="G2099" t="str">
            <v>SHRINK TUBE</v>
          </cell>
          <cell r="H2099" t="str">
            <v>TUB0179</v>
          </cell>
        </row>
        <row r="2100">
          <cell r="F2100" t="str">
            <v>28Ø BLK</v>
          </cell>
          <cell r="G2100" t="str">
            <v>SHRINK TUBE</v>
          </cell>
          <cell r="H2100" t="str">
            <v>TUB0178</v>
          </cell>
        </row>
        <row r="2101">
          <cell r="F2101" t="str">
            <v>25Ø BLK</v>
          </cell>
          <cell r="G2101" t="str">
            <v>SHRINK TUBE</v>
          </cell>
          <cell r="H2101" t="str">
            <v>TUB0177</v>
          </cell>
        </row>
        <row r="2102">
          <cell r="F2102" t="str">
            <v>11Ø RED</v>
          </cell>
          <cell r="G2102" t="str">
            <v>SHRINK TUBE</v>
          </cell>
          <cell r="H2102" t="str">
            <v>TUB0176</v>
          </cell>
        </row>
        <row r="2103">
          <cell r="F2103" t="str">
            <v>SGT 6Ø(WHT)</v>
          </cell>
          <cell r="G2103" t="str">
            <v>SGT TUBE</v>
          </cell>
          <cell r="H2103" t="str">
            <v>TUB0175</v>
          </cell>
        </row>
        <row r="2104">
          <cell r="F2104" t="str">
            <v>6Ø(RED)</v>
          </cell>
          <cell r="G2104" t="str">
            <v>SGT TUBE</v>
          </cell>
          <cell r="H2104" t="str">
            <v>TUB0174</v>
          </cell>
        </row>
        <row r="2105">
          <cell r="F2105" t="str">
            <v>6Ø(BLK)</v>
          </cell>
          <cell r="G2105" t="str">
            <v>SGT TUBE</v>
          </cell>
          <cell r="H2105" t="str">
            <v>TUB0173</v>
          </cell>
        </row>
        <row r="2106">
          <cell r="F2106" t="str">
            <v>5Ø(WHT)</v>
          </cell>
          <cell r="G2106" t="str">
            <v>SGT TUBE</v>
          </cell>
          <cell r="H2106" t="str">
            <v>TUB0172</v>
          </cell>
        </row>
        <row r="2107">
          <cell r="F2107" t="str">
            <v>5Ø(RED)</v>
          </cell>
          <cell r="G2107" t="str">
            <v>SGT TUBE</v>
          </cell>
          <cell r="H2107" t="str">
            <v>TUB0171</v>
          </cell>
        </row>
        <row r="2108">
          <cell r="F2108" t="str">
            <v>5Ø(BLK)</v>
          </cell>
          <cell r="G2108" t="str">
            <v>SGT TUBE</v>
          </cell>
          <cell r="H2108" t="str">
            <v>TUB0170</v>
          </cell>
        </row>
        <row r="2109">
          <cell r="F2109" t="str">
            <v>SGT 4.5Ø(WHT)</v>
          </cell>
          <cell r="G2109" t="str">
            <v>SGT TUBE</v>
          </cell>
          <cell r="H2109" t="str">
            <v>TUB0169</v>
          </cell>
        </row>
        <row r="2110">
          <cell r="F2110" t="str">
            <v>SGT 4.5Ø(RED)</v>
          </cell>
          <cell r="G2110" t="str">
            <v>SGT TUBE</v>
          </cell>
          <cell r="H2110" t="str">
            <v>TUB0168</v>
          </cell>
        </row>
        <row r="2111">
          <cell r="F2111" t="str">
            <v>SGT 4.5Ø(BLK)</v>
          </cell>
          <cell r="G2111" t="str">
            <v>SGT TUBE</v>
          </cell>
          <cell r="H2111" t="str">
            <v>TUB0167</v>
          </cell>
        </row>
        <row r="2112">
          <cell r="F2112" t="str">
            <v>UL11Ø0.6TVIT600V (WHT)</v>
          </cell>
          <cell r="G2112" t="str">
            <v>PVC TUBE</v>
          </cell>
          <cell r="H2112" t="str">
            <v>TUB0166</v>
          </cell>
        </row>
        <row r="2113">
          <cell r="F2113" t="str">
            <v>10Ø0.5T (WHT)</v>
          </cell>
          <cell r="G2113" t="str">
            <v>PVC TUBE</v>
          </cell>
          <cell r="H2113" t="str">
            <v>TUB0164</v>
          </cell>
        </row>
        <row r="2114">
          <cell r="F2114" t="str">
            <v>7Ø "T" WHT 20MM</v>
          </cell>
          <cell r="G2114" t="str">
            <v>MARKING TUBE</v>
          </cell>
          <cell r="H2114" t="str">
            <v>TUB0163</v>
          </cell>
        </row>
        <row r="2115">
          <cell r="F2115" t="str">
            <v>7Ø "S" WHT 20MM</v>
          </cell>
          <cell r="G2115" t="str">
            <v>MARKING TUBE</v>
          </cell>
          <cell r="H2115" t="str">
            <v>TUB0162</v>
          </cell>
        </row>
        <row r="2116">
          <cell r="F2116" t="str">
            <v>7Ø "R" WHT 20MM</v>
          </cell>
          <cell r="G2116" t="str">
            <v>MARKING TUBE</v>
          </cell>
          <cell r="H2116" t="str">
            <v>TUB0161</v>
          </cell>
        </row>
        <row r="2117">
          <cell r="F2117" t="str">
            <v>7Ø "L" WHT 20MM</v>
          </cell>
          <cell r="G2117" t="str">
            <v>MARKING TUBE</v>
          </cell>
          <cell r="H2117" t="str">
            <v>TUB0160</v>
          </cell>
        </row>
        <row r="2118">
          <cell r="F2118" t="str">
            <v>6Ø "T" WHT 20MM</v>
          </cell>
          <cell r="G2118" t="str">
            <v>MARKING TUBE</v>
          </cell>
          <cell r="H2118" t="str">
            <v>TUB0159</v>
          </cell>
        </row>
        <row r="2119">
          <cell r="F2119" t="str">
            <v>6Ø "S" WHT 20MM</v>
          </cell>
          <cell r="G2119" t="str">
            <v>MARKING TUBE</v>
          </cell>
          <cell r="H2119" t="str">
            <v>TUB0158</v>
          </cell>
        </row>
        <row r="2120">
          <cell r="F2120" t="str">
            <v>6Ø "R" WHT 20MM</v>
          </cell>
          <cell r="G2120" t="str">
            <v>MARKING TUBE</v>
          </cell>
          <cell r="H2120" t="str">
            <v>TUB0157</v>
          </cell>
        </row>
        <row r="2121">
          <cell r="F2121" t="str">
            <v>6Ø "N1" WHT 20MM</v>
          </cell>
          <cell r="G2121" t="str">
            <v>MARKING TUBE</v>
          </cell>
          <cell r="H2121" t="str">
            <v>TUB0156</v>
          </cell>
        </row>
        <row r="2122">
          <cell r="F2122" t="str">
            <v>6Ø "N" WHT 20MM</v>
          </cell>
          <cell r="G2122" t="str">
            <v>MARKING TUBE</v>
          </cell>
          <cell r="H2122" t="str">
            <v>TUB0155</v>
          </cell>
        </row>
        <row r="2123">
          <cell r="F2123" t="str">
            <v>6Ø "N" BLK 20MM</v>
          </cell>
          <cell r="G2123" t="str">
            <v>MARKING TUBE</v>
          </cell>
          <cell r="H2123" t="str">
            <v>TUB0154</v>
          </cell>
        </row>
        <row r="2124">
          <cell r="F2124" t="str">
            <v>6Ø "L1" WHT 20MM</v>
          </cell>
          <cell r="G2124" t="str">
            <v>MARKING TUBE</v>
          </cell>
          <cell r="H2124" t="str">
            <v>TUB0153</v>
          </cell>
        </row>
        <row r="2125">
          <cell r="F2125" t="str">
            <v>6Ø "L" WHT 30MM</v>
          </cell>
          <cell r="G2125" t="str">
            <v>MARKING TUBE</v>
          </cell>
          <cell r="H2125" t="str">
            <v>TUB0152</v>
          </cell>
        </row>
        <row r="2126">
          <cell r="F2126" t="str">
            <v>6Ø "5" WHT 20MM</v>
          </cell>
          <cell r="G2126" t="str">
            <v>MARKING TUBE</v>
          </cell>
          <cell r="H2126" t="str">
            <v>TUB0151</v>
          </cell>
        </row>
        <row r="2127">
          <cell r="F2127" t="str">
            <v>6Ø "4" WHT 20MM</v>
          </cell>
          <cell r="G2127" t="str">
            <v>MARKING TUBE</v>
          </cell>
          <cell r="H2127" t="str">
            <v>TUB0150</v>
          </cell>
        </row>
        <row r="2128">
          <cell r="F2128" t="str">
            <v>6Ø "2" WHT 20MM</v>
          </cell>
          <cell r="G2128" t="str">
            <v>MARKING TUBE</v>
          </cell>
          <cell r="H2128" t="str">
            <v>TUB0149</v>
          </cell>
        </row>
        <row r="2129">
          <cell r="F2129" t="str">
            <v>6Ø "1" WHT 20MM</v>
          </cell>
          <cell r="G2129" t="str">
            <v>MARKING TUBE</v>
          </cell>
          <cell r="H2129" t="str">
            <v>TUB0148</v>
          </cell>
        </row>
        <row r="2130">
          <cell r="F2130" t="str">
            <v>6Ø "U" RED 30MM</v>
          </cell>
          <cell r="G2130" t="str">
            <v>MARKING TUBE</v>
          </cell>
          <cell r="H2130" t="str">
            <v>TUB0147</v>
          </cell>
        </row>
        <row r="2131">
          <cell r="F2131" t="str">
            <v>8Ø EIT-600</v>
          </cell>
          <cell r="G2131" t="str">
            <v>EIT TUBE</v>
          </cell>
          <cell r="H2131" t="str">
            <v>TUB0139</v>
          </cell>
        </row>
        <row r="2132">
          <cell r="F2132" t="str">
            <v>9Ø WHT</v>
          </cell>
          <cell r="G2132" t="str">
            <v>EIT TUBE</v>
          </cell>
          <cell r="H2132" t="str">
            <v>TUB0138</v>
          </cell>
        </row>
        <row r="2133">
          <cell r="F2133" t="str">
            <v>13Ø EIT-600</v>
          </cell>
          <cell r="G2133" t="str">
            <v>EIT TUBE</v>
          </cell>
          <cell r="H2133" t="str">
            <v>TUB0137</v>
          </cell>
        </row>
        <row r="2134">
          <cell r="F2134" t="str">
            <v>EIT 11Ø RED</v>
          </cell>
          <cell r="G2134" t="str">
            <v>EIT TUBE</v>
          </cell>
          <cell r="H2134" t="str">
            <v>TUB0136</v>
          </cell>
        </row>
        <row r="2135">
          <cell r="F2135" t="str">
            <v>EIT 11Ø WHT</v>
          </cell>
          <cell r="G2135" t="str">
            <v>EIT TUBE</v>
          </cell>
          <cell r="H2135" t="str">
            <v>TUB0135</v>
          </cell>
        </row>
        <row r="2136">
          <cell r="F2136" t="str">
            <v>UL20Ø1T(BLK) GARUM</v>
          </cell>
          <cell r="G2136" t="str">
            <v>PVC TUBE</v>
          </cell>
          <cell r="H2136" t="str">
            <v>TUB0133</v>
          </cell>
        </row>
        <row r="2137">
          <cell r="F2137" t="str">
            <v>UL14Ø1T(BLK) GARUM</v>
          </cell>
          <cell r="G2137" t="str">
            <v>PVC TUBE</v>
          </cell>
          <cell r="H2137" t="str">
            <v>TUB0132</v>
          </cell>
        </row>
        <row r="2138">
          <cell r="F2138" t="str">
            <v>UL8Ø1T(BLK) GARUM</v>
          </cell>
          <cell r="G2138" t="str">
            <v>PVC TUBE</v>
          </cell>
          <cell r="H2138" t="str">
            <v>TUB0131</v>
          </cell>
        </row>
        <row r="2139">
          <cell r="F2139" t="str">
            <v>6Ø (RED)</v>
          </cell>
          <cell r="G2139" t="str">
            <v>TUBE-POLYESTER YARN</v>
          </cell>
          <cell r="H2139" t="str">
            <v>TUB0130</v>
          </cell>
        </row>
        <row r="2140">
          <cell r="F2140" t="str">
            <v>6ØX70mm(RED+BLK)</v>
          </cell>
          <cell r="G2140" t="str">
            <v>TUBE-POLYESTER YARN</v>
          </cell>
          <cell r="H2140" t="str">
            <v>TUB0128</v>
          </cell>
        </row>
        <row r="2141">
          <cell r="F2141" t="str">
            <v>20Ø</v>
          </cell>
          <cell r="G2141" t="str">
            <v>SHRINK TUBE</v>
          </cell>
          <cell r="H2141" t="str">
            <v>TUB0127</v>
          </cell>
        </row>
        <row r="2142">
          <cell r="F2142" t="str">
            <v>8Ø(WHT)</v>
          </cell>
          <cell r="G2142" t="str">
            <v>SHRINK TUBE</v>
          </cell>
          <cell r="H2142" t="str">
            <v>TUB0126</v>
          </cell>
        </row>
        <row r="2143">
          <cell r="F2143" t="str">
            <v>6Ø(WHT)</v>
          </cell>
          <cell r="G2143" t="str">
            <v>SHRINK TUBE</v>
          </cell>
          <cell r="H2143" t="str">
            <v>TUB0125</v>
          </cell>
        </row>
        <row r="2144">
          <cell r="F2144" t="str">
            <v>UL9.5Ø0.65T#3/8(10Ø)VIT600V</v>
          </cell>
          <cell r="G2144" t="str">
            <v>PVC TUBE</v>
          </cell>
          <cell r="H2144" t="str">
            <v>TUB0124</v>
          </cell>
        </row>
        <row r="2145">
          <cell r="F2145" t="str">
            <v>UL6.5Ø0.6T#2(6Ø)VIT600V</v>
          </cell>
          <cell r="G2145" t="str">
            <v>PVC TUBE</v>
          </cell>
          <cell r="H2145" t="str">
            <v>TUB0123</v>
          </cell>
        </row>
        <row r="2146">
          <cell r="F2146" t="str">
            <v>UL8.25Ø0.6T#0(8Ø)VIT600V</v>
          </cell>
          <cell r="G2146" t="str">
            <v>PVC TUBE</v>
          </cell>
          <cell r="H2146" t="str">
            <v>TUB0122</v>
          </cell>
        </row>
        <row r="2147">
          <cell r="F2147" t="str">
            <v>4Ø0.5T(S)</v>
          </cell>
          <cell r="G2147" t="str">
            <v>MARKING TUBE</v>
          </cell>
          <cell r="H2147" t="str">
            <v>TUB0121</v>
          </cell>
        </row>
        <row r="2148">
          <cell r="F2148" t="str">
            <v>4Ø0.5T(R)</v>
          </cell>
          <cell r="G2148" t="str">
            <v>MARKING TUBE</v>
          </cell>
          <cell r="H2148" t="str">
            <v>TUB0120</v>
          </cell>
        </row>
        <row r="2149">
          <cell r="F2149" t="str">
            <v>4Ø0.5T(C)</v>
          </cell>
          <cell r="G2149" t="str">
            <v>MARKING TUBE</v>
          </cell>
          <cell r="H2149" t="str">
            <v>TUB0119</v>
          </cell>
        </row>
        <row r="2150">
          <cell r="F2150" t="str">
            <v>6ØX43mm</v>
          </cell>
          <cell r="G2150" t="str">
            <v>TUBE-POLYESTER YARN</v>
          </cell>
          <cell r="H2150" t="str">
            <v>TUB0118</v>
          </cell>
        </row>
        <row r="2151">
          <cell r="F2151" t="str">
            <v>6ØX70mm(RED)</v>
          </cell>
          <cell r="G2151" t="str">
            <v>TUBE-POLYESTER YARN</v>
          </cell>
          <cell r="H2151" t="str">
            <v>TUB0117</v>
          </cell>
        </row>
        <row r="2152">
          <cell r="F2152" t="str">
            <v>6ØX50mm(RED+BLK)</v>
          </cell>
          <cell r="G2152" t="str">
            <v>TUBE-POLYESTER YARN</v>
          </cell>
          <cell r="H2152" t="str">
            <v>TUB0116</v>
          </cell>
        </row>
        <row r="2153">
          <cell r="F2153" t="str">
            <v>6ØX33mm</v>
          </cell>
          <cell r="G2153" t="str">
            <v>TUBE-POLYESTER YARN</v>
          </cell>
          <cell r="H2153" t="str">
            <v>TUB0115</v>
          </cell>
        </row>
        <row r="2154">
          <cell r="F2154" t="str">
            <v>6ØX15mm</v>
          </cell>
          <cell r="G2154" t="str">
            <v>TUBE-POLYESTER YARN</v>
          </cell>
          <cell r="H2154" t="str">
            <v>TUB0114</v>
          </cell>
        </row>
        <row r="2155">
          <cell r="F2155" t="str">
            <v>1/4", BLACK</v>
          </cell>
          <cell r="G2155" t="str">
            <v>PIPE WATER LINE(PE-RT)</v>
          </cell>
          <cell r="H2155" t="str">
            <v>TUB0113</v>
          </cell>
        </row>
        <row r="2156">
          <cell r="F2156" t="str">
            <v>1/4", WHITE</v>
          </cell>
          <cell r="G2156" t="str">
            <v>PIPE WATER LINE(PE-RT)</v>
          </cell>
          <cell r="H2156" t="str">
            <v>TUB0112</v>
          </cell>
        </row>
        <row r="2157">
          <cell r="F2157" t="str">
            <v>UL4Ø0.5T BLK#6(4Ø)</v>
          </cell>
          <cell r="G2157" t="str">
            <v>PVC TUBE</v>
          </cell>
          <cell r="H2157" t="str">
            <v>TUB0111</v>
          </cell>
        </row>
        <row r="2158">
          <cell r="F2158" t="str">
            <v>24Ø 0.1T(LIMPIDITY)</v>
          </cell>
          <cell r="G2158" t="str">
            <v>SHRINK TUBE</v>
          </cell>
          <cell r="H2158" t="str">
            <v>TUB0110</v>
          </cell>
        </row>
        <row r="2159">
          <cell r="F2159" t="str">
            <v>UL4.1Ø0.5TGARUM#6(4Ø)</v>
          </cell>
          <cell r="G2159" t="str">
            <v>PVC TUBE</v>
          </cell>
          <cell r="H2159" t="str">
            <v>TUB0109</v>
          </cell>
        </row>
        <row r="2160">
          <cell r="F2160" t="str">
            <v>UL8Ø1T(BK)</v>
          </cell>
          <cell r="G2160" t="str">
            <v>PVC TUBE</v>
          </cell>
          <cell r="H2160" t="str">
            <v>TUB0108</v>
          </cell>
        </row>
        <row r="2161">
          <cell r="F2161" t="str">
            <v>UL6Ø(1T) BLK</v>
          </cell>
          <cell r="G2161" t="str">
            <v>PVC TUBE</v>
          </cell>
          <cell r="H2161" t="str">
            <v>TUB0107</v>
          </cell>
        </row>
        <row r="2162">
          <cell r="F2162" t="str">
            <v>UL14.3Ø0.5TGARUM#9/16(14Ø)</v>
          </cell>
          <cell r="G2162" t="str">
            <v>PVC TUBE</v>
          </cell>
          <cell r="H2162" t="str">
            <v>TUB0106</v>
          </cell>
        </row>
        <row r="2163">
          <cell r="F2163" t="str">
            <v>UL12.7Ø0.5TGARUM#1/2(12Ø)</v>
          </cell>
          <cell r="G2163" t="str">
            <v>PVC TUBE</v>
          </cell>
          <cell r="H2163" t="str">
            <v>TUB0105</v>
          </cell>
        </row>
        <row r="2164">
          <cell r="F2164" t="str">
            <v>UL14.3Ø0.5T(BLK)#9/16(14Ø)</v>
          </cell>
          <cell r="G2164" t="str">
            <v>PVC TUBE</v>
          </cell>
          <cell r="H2164" t="str">
            <v>TUB0104</v>
          </cell>
        </row>
        <row r="2165">
          <cell r="F2165" t="str">
            <v>UL10Ø1T(BLK)</v>
          </cell>
          <cell r="G2165" t="str">
            <v>PVC TUBE</v>
          </cell>
          <cell r="H2165" t="str">
            <v>TUB0103</v>
          </cell>
        </row>
        <row r="2166">
          <cell r="F2166" t="str">
            <v>UL9.5Ø0.5T/BLKGARUM#3/8(10Ø)</v>
          </cell>
          <cell r="G2166" t="str">
            <v>PVC TUBE</v>
          </cell>
          <cell r="H2166" t="str">
            <v>TUB0102</v>
          </cell>
        </row>
        <row r="2167">
          <cell r="F2167" t="str">
            <v>UL12.7Ø0.5T(BLK)#1/2(12Ø)</v>
          </cell>
          <cell r="G2167" t="str">
            <v>PVC TUBE</v>
          </cell>
          <cell r="H2167" t="str">
            <v>TUB0101</v>
          </cell>
        </row>
        <row r="2168">
          <cell r="F2168" t="str">
            <v>UL10Ø1T(WHT)</v>
          </cell>
          <cell r="G2168" t="str">
            <v>PVC TUBE</v>
          </cell>
          <cell r="H2168" t="str">
            <v>TUB0100</v>
          </cell>
        </row>
        <row r="2169">
          <cell r="F2169" t="str">
            <v>UL9.5Ø0.5T(WHT)#3/8(10Ø)</v>
          </cell>
          <cell r="G2169" t="str">
            <v>PVC TUBE</v>
          </cell>
          <cell r="H2169" t="str">
            <v>TUB0099</v>
          </cell>
        </row>
        <row r="2170">
          <cell r="F2170" t="str">
            <v>6Ø(EIT)</v>
          </cell>
          <cell r="G2170" t="str">
            <v>EIT TUBE</v>
          </cell>
          <cell r="H2170" t="str">
            <v>TUB0094</v>
          </cell>
        </row>
        <row r="2171">
          <cell r="F2171" t="str">
            <v>UL5.2Ø1T(#4)</v>
          </cell>
          <cell r="G2171" t="str">
            <v>PVC TUBE</v>
          </cell>
          <cell r="H2171" t="str">
            <v>TUB0092</v>
          </cell>
        </row>
        <row r="2172">
          <cell r="F2172" t="str">
            <v>UL4.6Ø1T(4Ø)</v>
          </cell>
          <cell r="G2172" t="str">
            <v>PVC TUBE</v>
          </cell>
          <cell r="H2172" t="str">
            <v>TUB0091</v>
          </cell>
        </row>
        <row r="2173">
          <cell r="F2173" t="str">
            <v>UL8Ø 0.5T</v>
          </cell>
          <cell r="G2173" t="str">
            <v>PVC TUBE</v>
          </cell>
          <cell r="H2173" t="str">
            <v>TUB0090</v>
          </cell>
        </row>
        <row r="2174">
          <cell r="F2174" t="str">
            <v>1.2Ø(BANDING TIE)-GRN</v>
          </cell>
          <cell r="G2174" t="str">
            <v>BANDING TIE</v>
          </cell>
          <cell r="H2174" t="str">
            <v>TUB0088</v>
          </cell>
        </row>
        <row r="2175">
          <cell r="F2175" t="str">
            <v>5Ø(BONDING)</v>
          </cell>
          <cell r="G2175" t="str">
            <v>GSHS-3635W(BONDING)</v>
          </cell>
          <cell r="H2175" t="str">
            <v>TUB0087</v>
          </cell>
        </row>
        <row r="2176">
          <cell r="F2176" t="str">
            <v>UL8.25Ø0.5T(BLK)#0(8Ø)</v>
          </cell>
          <cell r="G2176" t="str">
            <v>PVC TUBE</v>
          </cell>
          <cell r="H2176" t="str">
            <v>TUB0086</v>
          </cell>
        </row>
        <row r="2177">
          <cell r="F2177" t="str">
            <v>6Ø(BK)GARUM</v>
          </cell>
          <cell r="G2177" t="str">
            <v>CORRUGATE TUBE</v>
          </cell>
          <cell r="H2177" t="str">
            <v>TUB0084</v>
          </cell>
        </row>
        <row r="2178">
          <cell r="F2178" t="str">
            <v>8ØGARUM</v>
          </cell>
          <cell r="G2178" t="str">
            <v>PVC TUBE</v>
          </cell>
          <cell r="H2178" t="str">
            <v>TUB0081</v>
          </cell>
        </row>
        <row r="2179">
          <cell r="F2179" t="str">
            <v>DJ62-00004A</v>
          </cell>
          <cell r="G2179" t="str">
            <v>TUBE THERMO</v>
          </cell>
          <cell r="H2179" t="str">
            <v>TUB0079</v>
          </cell>
        </row>
        <row r="2180">
          <cell r="F2180" t="str">
            <v>4.5Ø</v>
          </cell>
          <cell r="G2180" t="str">
            <v>HEAT TUBE</v>
          </cell>
          <cell r="H2180" t="str">
            <v>TUB0078</v>
          </cell>
        </row>
        <row r="2181">
          <cell r="F2181" t="str">
            <v>11Ø 0.5T</v>
          </cell>
          <cell r="G2181" t="str">
            <v>PVC TUBE</v>
          </cell>
          <cell r="H2181" t="str">
            <v>TUB0077</v>
          </cell>
        </row>
        <row r="2182">
          <cell r="F2182" t="str">
            <v>10Ø1T(BLK)</v>
          </cell>
          <cell r="G2182" t="str">
            <v>PVC TUBE</v>
          </cell>
          <cell r="H2182" t="str">
            <v>TUB0072</v>
          </cell>
        </row>
        <row r="2183">
          <cell r="F2183" t="str">
            <v>7Ø 0.5T GARUM</v>
          </cell>
          <cell r="G2183" t="str">
            <v>PVC TUBE</v>
          </cell>
          <cell r="H2183" t="str">
            <v>TUB0063</v>
          </cell>
        </row>
        <row r="2184">
          <cell r="F2184" t="str">
            <v>25Ø 0.7T GARUM</v>
          </cell>
          <cell r="G2184" t="str">
            <v>PVC TUBE</v>
          </cell>
          <cell r="H2184" t="str">
            <v>TUB0062</v>
          </cell>
        </row>
        <row r="2185">
          <cell r="F2185" t="str">
            <v>18Ø 0.7T GARUM</v>
          </cell>
          <cell r="G2185" t="str">
            <v>PVC TUBE</v>
          </cell>
          <cell r="H2185" t="str">
            <v>TUB0057</v>
          </cell>
        </row>
        <row r="2186">
          <cell r="F2186" t="str">
            <v>UL 7Ø 0.5T</v>
          </cell>
          <cell r="G2186" t="str">
            <v>PVC TUBE</v>
          </cell>
          <cell r="H2186" t="str">
            <v>TUB0056</v>
          </cell>
        </row>
        <row r="2187">
          <cell r="F2187" t="str">
            <v>DA73-10469H 150MM</v>
          </cell>
          <cell r="G2187" t="str">
            <v>PIPE WATER PVC</v>
          </cell>
          <cell r="H2187" t="str">
            <v>TUB0051</v>
          </cell>
        </row>
        <row r="2188">
          <cell r="F2188" t="str">
            <v>14Ø</v>
          </cell>
          <cell r="G2188" t="str">
            <v>SHRINK TUBE</v>
          </cell>
          <cell r="H2188" t="str">
            <v>TUB0050</v>
          </cell>
        </row>
        <row r="2189">
          <cell r="F2189" t="str">
            <v>3.5Ø</v>
          </cell>
          <cell r="G2189" t="str">
            <v>SHRINK TUBE</v>
          </cell>
          <cell r="H2189" t="str">
            <v>TUB0044</v>
          </cell>
        </row>
        <row r="2190">
          <cell r="F2190" t="str">
            <v>1Ø</v>
          </cell>
          <cell r="G2190" t="str">
            <v>SHRINK TUBE</v>
          </cell>
          <cell r="H2190" t="str">
            <v>TUB0042</v>
          </cell>
        </row>
        <row r="2191">
          <cell r="F2191" t="str">
            <v>EIT 9Ø</v>
          </cell>
          <cell r="G2191" t="str">
            <v>EIT TUBE</v>
          </cell>
          <cell r="H2191" t="str">
            <v>TUB0041</v>
          </cell>
        </row>
        <row r="2192">
          <cell r="F2192" t="str">
            <v>UL9.5Ø0.5T/BLK#3/8(10Ø)</v>
          </cell>
          <cell r="G2192" t="str">
            <v>PVC TUBE</v>
          </cell>
          <cell r="H2192" t="str">
            <v>TUB0036</v>
          </cell>
        </row>
        <row r="2193">
          <cell r="F2193" t="str">
            <v>UL6.5Ø0.5T(BLK)#2(6Ø)</v>
          </cell>
          <cell r="G2193" t="str">
            <v>PVC TUBE</v>
          </cell>
          <cell r="H2193" t="str">
            <v>TUB0034</v>
          </cell>
        </row>
        <row r="2194">
          <cell r="F2194" t="str">
            <v>UL5.8Ø0.5T(#3)</v>
          </cell>
          <cell r="G2194" t="str">
            <v>PVC TUBE</v>
          </cell>
          <cell r="H2194" t="str">
            <v>TUB0033</v>
          </cell>
        </row>
        <row r="2195">
          <cell r="F2195" t="str">
            <v>UL5.2Ø0.5T(BLK)#4(5Ø)</v>
          </cell>
          <cell r="G2195" t="str">
            <v>PVC TUBE</v>
          </cell>
          <cell r="H2195" t="str">
            <v>TUB0031</v>
          </cell>
        </row>
        <row r="2196">
          <cell r="F2196" t="str">
            <v>12Ø0.5T</v>
          </cell>
          <cell r="G2196" t="str">
            <v>PVC TUBE</v>
          </cell>
          <cell r="H2196" t="str">
            <v>TUB0030</v>
          </cell>
        </row>
        <row r="2197">
          <cell r="F2197" t="str">
            <v>UL10Ø 0.5T/BLK</v>
          </cell>
          <cell r="G2197" t="str">
            <v>PVC TUBE</v>
          </cell>
          <cell r="H2197" t="str">
            <v>TUB0026</v>
          </cell>
        </row>
        <row r="2198">
          <cell r="F2198" t="str">
            <v>12Ø</v>
          </cell>
          <cell r="G2198" t="str">
            <v>SHRINK TUBE</v>
          </cell>
          <cell r="H2198" t="str">
            <v>TUB0024</v>
          </cell>
        </row>
        <row r="2199">
          <cell r="F2199" t="str">
            <v>10Ø</v>
          </cell>
          <cell r="G2199" t="str">
            <v>SHRINK TUBE</v>
          </cell>
          <cell r="H2199" t="str">
            <v>TUB0022</v>
          </cell>
        </row>
        <row r="2200">
          <cell r="F2200" t="str">
            <v>8Ø</v>
          </cell>
          <cell r="G2200" t="str">
            <v>SHRINK TUBE</v>
          </cell>
          <cell r="H2200" t="str">
            <v>TUB0020</v>
          </cell>
        </row>
        <row r="2201">
          <cell r="F2201" t="str">
            <v>7Ø</v>
          </cell>
          <cell r="G2201" t="str">
            <v>SHRINK TUBE</v>
          </cell>
          <cell r="H2201" t="str">
            <v>TUB0019</v>
          </cell>
        </row>
        <row r="2202">
          <cell r="F2202" t="str">
            <v>6Ø</v>
          </cell>
          <cell r="G2202" t="str">
            <v>SHRINK TUBE</v>
          </cell>
          <cell r="H2202" t="str">
            <v>TUB0018</v>
          </cell>
        </row>
        <row r="2203">
          <cell r="F2203" t="str">
            <v>4Ø</v>
          </cell>
          <cell r="G2203" t="str">
            <v>SHRINK TUBE</v>
          </cell>
          <cell r="H2203" t="str">
            <v>TUB0016</v>
          </cell>
        </row>
        <row r="2204">
          <cell r="F2204" t="str">
            <v>3Ø</v>
          </cell>
          <cell r="G2204" t="str">
            <v>SHRINK TUBE</v>
          </cell>
          <cell r="H2204" t="str">
            <v>TUB0014</v>
          </cell>
        </row>
        <row r="2205">
          <cell r="F2205" t="str">
            <v>2.5Ø(WHT)</v>
          </cell>
          <cell r="G2205" t="str">
            <v>SHRINK TUBE</v>
          </cell>
          <cell r="H2205" t="str">
            <v>TUB0013</v>
          </cell>
        </row>
        <row r="2206">
          <cell r="F2206" t="str">
            <v>2Ø</v>
          </cell>
          <cell r="G2206" t="str">
            <v>SHRINK TUBE</v>
          </cell>
          <cell r="H2206" t="str">
            <v>TUB0012</v>
          </cell>
        </row>
        <row r="2207">
          <cell r="F2207" t="str">
            <v>#3/8</v>
          </cell>
          <cell r="G2207" t="str">
            <v>UL TUBE</v>
          </cell>
          <cell r="H2207" t="str">
            <v>TUB0010</v>
          </cell>
        </row>
        <row r="2208">
          <cell r="F2208" t="str">
            <v>6Ø(PVC)</v>
          </cell>
          <cell r="G2208" t="str">
            <v>PVC TUBE</v>
          </cell>
          <cell r="H2208" t="str">
            <v>TUB0007</v>
          </cell>
        </row>
        <row r="2209">
          <cell r="F2209" t="str">
            <v>5Ø</v>
          </cell>
          <cell r="G2209" t="str">
            <v>SHRINK TUBE</v>
          </cell>
          <cell r="H2209" t="str">
            <v>TUB0006</v>
          </cell>
        </row>
        <row r="2210">
          <cell r="F2210" t="str">
            <v>12Ø(BK)GARUM</v>
          </cell>
          <cell r="G2210" t="str">
            <v>CORRUGATE TUBE</v>
          </cell>
          <cell r="H2210" t="str">
            <v>TUB0003</v>
          </cell>
        </row>
        <row r="2211">
          <cell r="F2211" t="str">
            <v>7Ø(BK) GARUM</v>
          </cell>
          <cell r="G2211" t="str">
            <v>CORRUGATE TUBE</v>
          </cell>
          <cell r="H2211" t="str">
            <v>TUB0002</v>
          </cell>
        </row>
        <row r="2212">
          <cell r="F2212" t="str">
            <v>14Ø(BK)GARUM</v>
          </cell>
          <cell r="G2212" t="str">
            <v>CORRUGATE TUBE</v>
          </cell>
          <cell r="H2212" t="str">
            <v>TUB0001</v>
          </cell>
        </row>
        <row r="2213">
          <cell r="F2213" t="str">
            <v>35407-6812</v>
          </cell>
          <cell r="G2213" t="str">
            <v>TERMINAL</v>
          </cell>
          <cell r="H2213" t="str">
            <v>TSM3509W16SN</v>
          </cell>
        </row>
        <row r="2214">
          <cell r="F2214" t="str">
            <v>8240-0346</v>
          </cell>
          <cell r="G2214" t="str">
            <v>TERMINAL</v>
          </cell>
          <cell r="H2214" t="str">
            <v>TSM34HY152SN</v>
          </cell>
        </row>
        <row r="2215">
          <cell r="F2215" t="str">
            <v>8230-5134</v>
          </cell>
          <cell r="G2215" t="str">
            <v>TERMINAL</v>
          </cell>
          <cell r="H2215" t="str">
            <v>TSM34HY151SN</v>
          </cell>
        </row>
        <row r="2216">
          <cell r="F2216" t="str">
            <v>8240-0345</v>
          </cell>
          <cell r="G2216" t="str">
            <v>TERMINAL</v>
          </cell>
          <cell r="H2216" t="str">
            <v>TSM22HY152SN</v>
          </cell>
        </row>
        <row r="2217">
          <cell r="F2217" t="str">
            <v>8230-5133</v>
          </cell>
          <cell r="G2217" t="str">
            <v>TERMINAL</v>
          </cell>
          <cell r="H2217" t="str">
            <v>TSM12HY151SN</v>
          </cell>
        </row>
        <row r="2218">
          <cell r="F2218" t="str">
            <v>8240-0785</v>
          </cell>
          <cell r="G2218" t="str">
            <v>TERMINAL</v>
          </cell>
          <cell r="H2218" t="str">
            <v>TSM1212026SN</v>
          </cell>
        </row>
        <row r="2219">
          <cell r="F2219" t="str">
            <v>8240-0560</v>
          </cell>
          <cell r="G2219" t="str">
            <v>TERMINAL</v>
          </cell>
          <cell r="H2219" t="str">
            <v>TSM1212006SN</v>
          </cell>
        </row>
        <row r="2220">
          <cell r="F2220" t="str">
            <v>8240-0559</v>
          </cell>
          <cell r="G2220" t="str">
            <v>TERMINAL</v>
          </cell>
          <cell r="H2220" t="str">
            <v>TSM1212006AU</v>
          </cell>
        </row>
        <row r="2221">
          <cell r="F2221" t="str">
            <v>8100-3455</v>
          </cell>
          <cell r="G2221" t="str">
            <v>TERMINAL</v>
          </cell>
          <cell r="H2221" t="str">
            <v>TSM1202506SN</v>
          </cell>
        </row>
        <row r="2222">
          <cell r="F2222" t="str">
            <v>8240-0344</v>
          </cell>
          <cell r="G2222" t="str">
            <v>TERMINAL</v>
          </cell>
          <cell r="H2222" t="str">
            <v>TSM11HY152SN</v>
          </cell>
        </row>
        <row r="2223">
          <cell r="F2223" t="str">
            <v>91984-GI010</v>
          </cell>
          <cell r="G2223" t="str">
            <v>BATT TERMINAL</v>
          </cell>
          <cell r="H2223" t="str">
            <v>TSEBCGI410SN</v>
          </cell>
        </row>
        <row r="2224">
          <cell r="F2224" t="str">
            <v>XADS-18V-K</v>
          </cell>
          <cell r="G2224" t="str">
            <v>TPA</v>
          </cell>
          <cell r="H2224" t="str">
            <v>TPA1303</v>
          </cell>
        </row>
        <row r="2225">
          <cell r="F2225" t="str">
            <v>PWES-03V-R</v>
          </cell>
          <cell r="G2225" t="str">
            <v>TPA</v>
          </cell>
          <cell r="H2225" t="str">
            <v>TPA1302</v>
          </cell>
        </row>
        <row r="2226">
          <cell r="F2226" t="str">
            <v>XADS-22V-K</v>
          </cell>
          <cell r="G2226" t="str">
            <v>TPA</v>
          </cell>
          <cell r="H2226" t="str">
            <v>TPA1301</v>
          </cell>
        </row>
        <row r="2227">
          <cell r="F2227" t="str">
            <v>XADS-20V-K</v>
          </cell>
          <cell r="G2227" t="str">
            <v>TPA</v>
          </cell>
          <cell r="H2227" t="str">
            <v>TPA1300</v>
          </cell>
        </row>
        <row r="2228">
          <cell r="F2228" t="str">
            <v>XADS-14V-K</v>
          </cell>
          <cell r="G2228" t="str">
            <v>TPA</v>
          </cell>
          <cell r="H2228" t="str">
            <v>TPA1299</v>
          </cell>
        </row>
        <row r="2229">
          <cell r="F2229" t="str">
            <v>SMH420-H04BR(RE)</v>
          </cell>
          <cell r="G2229" t="str">
            <v>TPA</v>
          </cell>
          <cell r="H2229" t="str">
            <v>TPA1298</v>
          </cell>
        </row>
        <row r="2230">
          <cell r="F2230" t="str">
            <v>1376396-1</v>
          </cell>
          <cell r="G2230" t="str">
            <v>TPA</v>
          </cell>
          <cell r="H2230" t="str">
            <v>TPA1297</v>
          </cell>
        </row>
        <row r="2231">
          <cell r="F2231" t="str">
            <v>MG636089-211</v>
          </cell>
          <cell r="G2231" t="str">
            <v>TPA</v>
          </cell>
          <cell r="H2231" t="str">
            <v>TPA1296</v>
          </cell>
        </row>
        <row r="2232">
          <cell r="F2232" t="str">
            <v>MG636089-208</v>
          </cell>
          <cell r="G2232" t="str">
            <v>TPA</v>
          </cell>
          <cell r="H2232" t="str">
            <v>TPA1295</v>
          </cell>
        </row>
        <row r="2233">
          <cell r="F2233" t="str">
            <v>MG635826-215</v>
          </cell>
          <cell r="G2233" t="str">
            <v>TPA</v>
          </cell>
          <cell r="H2233" t="str">
            <v>TPA1294</v>
          </cell>
        </row>
        <row r="2234">
          <cell r="F2234" t="str">
            <v>MG636089-209</v>
          </cell>
          <cell r="G2234" t="str">
            <v>TPA</v>
          </cell>
          <cell r="H2234" t="str">
            <v>TPA1293</v>
          </cell>
        </row>
        <row r="2235">
          <cell r="F2235" t="str">
            <v>AH080710</v>
          </cell>
          <cell r="G2235" t="str">
            <v>TPA</v>
          </cell>
          <cell r="H2235" t="str">
            <v>TPA1292</v>
          </cell>
        </row>
        <row r="2236">
          <cell r="F2236" t="str">
            <v>AH140510</v>
          </cell>
          <cell r="G2236" t="str">
            <v>TPA</v>
          </cell>
          <cell r="H2236" t="str">
            <v>TPA1291</v>
          </cell>
        </row>
        <row r="2237">
          <cell r="F2237" t="str">
            <v>YH396-10VRT(RE)</v>
          </cell>
          <cell r="G2237" t="str">
            <v>TPA</v>
          </cell>
          <cell r="H2237" t="str">
            <v>TPA1290</v>
          </cell>
        </row>
        <row r="2238">
          <cell r="F2238" t="str">
            <v>PWASX-09V-K</v>
          </cell>
          <cell r="G2238" t="str">
            <v>TPA</v>
          </cell>
          <cell r="H2238" t="str">
            <v>TPA1289</v>
          </cell>
        </row>
        <row r="2239">
          <cell r="F2239" t="str">
            <v>YH396-06JRT(RE)</v>
          </cell>
          <cell r="G2239" t="str">
            <v>TPA</v>
          </cell>
          <cell r="H2239" t="str">
            <v>TPA1288</v>
          </cell>
        </row>
        <row r="2240">
          <cell r="F2240" t="str">
            <v>1376394-1</v>
          </cell>
          <cell r="G2240" t="str">
            <v>TPA</v>
          </cell>
          <cell r="H2240" t="str">
            <v>TPA1287</v>
          </cell>
        </row>
        <row r="2241">
          <cell r="F2241" t="str">
            <v>172709-0006</v>
          </cell>
          <cell r="G2241" t="str">
            <v>TPA</v>
          </cell>
          <cell r="H2241" t="str">
            <v>TPA1286</v>
          </cell>
        </row>
        <row r="2242">
          <cell r="F2242" t="str">
            <v>YH396-07JRT(RE)</v>
          </cell>
          <cell r="G2242" t="str">
            <v>TPA</v>
          </cell>
          <cell r="H2242" t="str">
            <v>TPA1285</v>
          </cell>
        </row>
        <row r="2243">
          <cell r="F2243" t="str">
            <v>MG634534-1</v>
          </cell>
          <cell r="G2243" t="str">
            <v>TPA</v>
          </cell>
          <cell r="H2243" t="str">
            <v>TPA1284</v>
          </cell>
        </row>
        <row r="2244">
          <cell r="F2244" t="str">
            <v>MG635987-204</v>
          </cell>
          <cell r="G2244" t="str">
            <v>TPA</v>
          </cell>
          <cell r="H2244" t="str">
            <v>TPA1283</v>
          </cell>
        </row>
        <row r="2245">
          <cell r="F2245" t="str">
            <v>MG635636-3</v>
          </cell>
          <cell r="G2245" t="str">
            <v>TPA</v>
          </cell>
          <cell r="H2245" t="str">
            <v>TPA1281</v>
          </cell>
        </row>
        <row r="2246">
          <cell r="F2246" t="str">
            <v>XMS-05V(N)</v>
          </cell>
          <cell r="G2246" t="str">
            <v>TPA</v>
          </cell>
          <cell r="H2246" t="str">
            <v>TPA1280</v>
          </cell>
        </row>
        <row r="2247">
          <cell r="F2247" t="str">
            <v>MG635391-1</v>
          </cell>
          <cell r="G2247" t="str">
            <v>TPA</v>
          </cell>
          <cell r="H2247" t="str">
            <v>TPA1264</v>
          </cell>
        </row>
        <row r="2248">
          <cell r="F2248" t="str">
            <v>ZNDS-26V-K</v>
          </cell>
          <cell r="G2248" t="str">
            <v>TPA</v>
          </cell>
          <cell r="H2248" t="str">
            <v>TPA1263</v>
          </cell>
        </row>
        <row r="2249">
          <cell r="F2249" t="str">
            <v>MG636101-522</v>
          </cell>
          <cell r="G2249" t="str">
            <v>TPA</v>
          </cell>
          <cell r="H2249" t="str">
            <v>TPA1262</v>
          </cell>
        </row>
        <row r="2250">
          <cell r="F2250" t="str">
            <v>ZNDS-24V-K</v>
          </cell>
          <cell r="G2250" t="str">
            <v>TPA</v>
          </cell>
          <cell r="H2250" t="str">
            <v>TPA1261</v>
          </cell>
        </row>
        <row r="2251">
          <cell r="F2251" t="str">
            <v>MG636101-530</v>
          </cell>
          <cell r="G2251" t="str">
            <v>TPA</v>
          </cell>
          <cell r="H2251" t="str">
            <v>TPA1260</v>
          </cell>
        </row>
        <row r="2252">
          <cell r="F2252" t="str">
            <v>MG635391-2</v>
          </cell>
          <cell r="G2252" t="str">
            <v>TPA</v>
          </cell>
          <cell r="H2252" t="str">
            <v>TPA1259</v>
          </cell>
        </row>
        <row r="2253">
          <cell r="F2253" t="str">
            <v>YHL500-03BRT(RE)</v>
          </cell>
          <cell r="G2253" t="str">
            <v>TPA</v>
          </cell>
          <cell r="H2253" t="str">
            <v>TPA1258</v>
          </cell>
        </row>
        <row r="2254">
          <cell r="F2254" t="str">
            <v>YH396-H03PR</v>
          </cell>
          <cell r="G2254" t="str">
            <v>TPA</v>
          </cell>
          <cell r="H2254" t="str">
            <v>TPA1257</v>
          </cell>
        </row>
        <row r="2255">
          <cell r="F2255" t="str">
            <v>YH396-11JRT(RE)</v>
          </cell>
          <cell r="G2255" t="str">
            <v>TPA</v>
          </cell>
          <cell r="H2255" t="str">
            <v>TPA1256</v>
          </cell>
        </row>
        <row r="2256">
          <cell r="F2256" t="str">
            <v>YH396-10JRT(RE)</v>
          </cell>
          <cell r="G2256" t="str">
            <v>TPA</v>
          </cell>
          <cell r="H2256" t="str">
            <v>TPA1255</v>
          </cell>
        </row>
        <row r="2257">
          <cell r="F2257" t="str">
            <v>YH396-03JRT(RE)</v>
          </cell>
          <cell r="G2257" t="str">
            <v>TPA</v>
          </cell>
          <cell r="H2257" t="str">
            <v>TPA1254</v>
          </cell>
        </row>
        <row r="2258">
          <cell r="F2258" t="str">
            <v>YH396-02JRT(RE)</v>
          </cell>
          <cell r="G2258" t="str">
            <v>TPA</v>
          </cell>
          <cell r="H2258" t="str">
            <v>TPA1252</v>
          </cell>
        </row>
        <row r="2259">
          <cell r="F2259" t="str">
            <v>316770-1</v>
          </cell>
          <cell r="G2259" t="str">
            <v>TPA</v>
          </cell>
          <cell r="H2259" t="str">
            <v>TPA1251</v>
          </cell>
        </row>
        <row r="2260">
          <cell r="F2260" t="str">
            <v>MG636089-204</v>
          </cell>
          <cell r="G2260" t="str">
            <v>TPA</v>
          </cell>
          <cell r="H2260" t="str">
            <v>TPA1250</v>
          </cell>
        </row>
        <row r="2261">
          <cell r="F2261" t="str">
            <v>2005543-6</v>
          </cell>
          <cell r="G2261" t="str">
            <v>TPA</v>
          </cell>
          <cell r="H2261" t="str">
            <v>TPA1249</v>
          </cell>
        </row>
        <row r="2262">
          <cell r="F2262" t="str">
            <v>MG636089-207</v>
          </cell>
          <cell r="G2262" t="str">
            <v>TPA</v>
          </cell>
          <cell r="H2262" t="str">
            <v>TPA1248</v>
          </cell>
        </row>
        <row r="2263">
          <cell r="F2263" t="str">
            <v>MG636089-206</v>
          </cell>
          <cell r="G2263" t="str">
            <v>TPA</v>
          </cell>
          <cell r="H2263" t="str">
            <v>TPA1247</v>
          </cell>
        </row>
        <row r="2264">
          <cell r="F2264" t="str">
            <v>MG636089-203</v>
          </cell>
          <cell r="G2264" t="str">
            <v>TPA</v>
          </cell>
          <cell r="H2264" t="str">
            <v>TPA1246</v>
          </cell>
        </row>
        <row r="2265">
          <cell r="F2265" t="str">
            <v>MG635256-2</v>
          </cell>
          <cell r="G2265" t="str">
            <v>TPA</v>
          </cell>
          <cell r="H2265" t="str">
            <v>TPA1245</v>
          </cell>
        </row>
        <row r="2266">
          <cell r="F2266" t="str">
            <v>SC41242-031A-WH</v>
          </cell>
          <cell r="G2266" t="str">
            <v>TPA</v>
          </cell>
          <cell r="H2266" t="str">
            <v>TPA1244</v>
          </cell>
        </row>
        <row r="2267">
          <cell r="F2267" t="str">
            <v>MG635956-214</v>
          </cell>
          <cell r="G2267" t="str">
            <v>TPA</v>
          </cell>
          <cell r="H2267" t="str">
            <v>TPA1243</v>
          </cell>
        </row>
        <row r="2268">
          <cell r="F2268" t="str">
            <v>MG635955-210</v>
          </cell>
          <cell r="G2268" t="str">
            <v>TPA</v>
          </cell>
          <cell r="H2268" t="str">
            <v>TPA1242</v>
          </cell>
        </row>
        <row r="2269">
          <cell r="F2269" t="str">
            <v>MG636090-601</v>
          </cell>
          <cell r="G2269" t="str">
            <v>TPA</v>
          </cell>
          <cell r="H2269" t="str">
            <v>TPA1241</v>
          </cell>
        </row>
        <row r="2270">
          <cell r="F2270" t="str">
            <v>WB39A-005-454A</v>
          </cell>
          <cell r="G2270" t="str">
            <v>TPA</v>
          </cell>
          <cell r="H2270" t="str">
            <v>TPA1240</v>
          </cell>
        </row>
        <row r="2271">
          <cell r="F2271" t="str">
            <v>MG636089-205</v>
          </cell>
          <cell r="G2271" t="str">
            <v>TPA</v>
          </cell>
          <cell r="H2271" t="str">
            <v>TPA1239</v>
          </cell>
        </row>
        <row r="2272">
          <cell r="F2272" t="str">
            <v>MG636060-201</v>
          </cell>
          <cell r="G2272" t="str">
            <v>TPA</v>
          </cell>
          <cell r="H2272" t="str">
            <v>TPA1236</v>
          </cell>
        </row>
        <row r="2273">
          <cell r="F2273" t="str">
            <v>MG635318-2</v>
          </cell>
          <cell r="G2273" t="str">
            <v>TPA</v>
          </cell>
          <cell r="H2273" t="str">
            <v>TPA1235</v>
          </cell>
        </row>
        <row r="2274">
          <cell r="F2274" t="str">
            <v>MG635826-106</v>
          </cell>
          <cell r="G2274" t="str">
            <v>TPA</v>
          </cell>
          <cell r="H2274" t="str">
            <v>TPA1234</v>
          </cell>
        </row>
        <row r="2275">
          <cell r="F2275" t="str">
            <v>MG635982-206</v>
          </cell>
          <cell r="G2275" t="str">
            <v>TPA</v>
          </cell>
          <cell r="H2275" t="str">
            <v>TPA1233</v>
          </cell>
        </row>
        <row r="2276">
          <cell r="F2276" t="str">
            <v>Y4.5-10</v>
          </cell>
          <cell r="G2276" t="str">
            <v>TPA</v>
          </cell>
          <cell r="H2276" t="str">
            <v>TPA1232</v>
          </cell>
        </row>
        <row r="2277">
          <cell r="F2277" t="str">
            <v>MG636090-301</v>
          </cell>
          <cell r="G2277" t="str">
            <v>TPA</v>
          </cell>
          <cell r="H2277" t="str">
            <v>TPA1231</v>
          </cell>
        </row>
        <row r="2278">
          <cell r="F2278" t="str">
            <v>MG636090-201</v>
          </cell>
          <cell r="G2278" t="str">
            <v>TPA</v>
          </cell>
          <cell r="H2278" t="str">
            <v>TPA1230</v>
          </cell>
        </row>
        <row r="2279">
          <cell r="F2279" t="str">
            <v>MG636090-101</v>
          </cell>
          <cell r="G2279" t="str">
            <v>TPA</v>
          </cell>
          <cell r="H2279" t="str">
            <v>TPA1229</v>
          </cell>
        </row>
        <row r="2280">
          <cell r="F2280" t="str">
            <v>MG636075-102</v>
          </cell>
          <cell r="G2280" t="str">
            <v>TPA</v>
          </cell>
          <cell r="H2280" t="str">
            <v>TPA1228</v>
          </cell>
        </row>
        <row r="2281">
          <cell r="F2281" t="str">
            <v>MG635318</v>
          </cell>
          <cell r="G2281" t="str">
            <v>TPA</v>
          </cell>
          <cell r="H2281" t="str">
            <v>TPA1227</v>
          </cell>
        </row>
        <row r="2282">
          <cell r="F2282" t="str">
            <v>SMH200-18HRT(RE)</v>
          </cell>
          <cell r="G2282" t="str">
            <v>TPA</v>
          </cell>
          <cell r="H2282" t="str">
            <v>TPA1226</v>
          </cell>
        </row>
        <row r="2283">
          <cell r="F2283" t="str">
            <v>MG636089-210</v>
          </cell>
          <cell r="G2283" t="str">
            <v>TPA</v>
          </cell>
          <cell r="H2283" t="str">
            <v>TPA1225</v>
          </cell>
        </row>
        <row r="2284">
          <cell r="F2284" t="str">
            <v>Y4.5-16</v>
          </cell>
          <cell r="G2284" t="str">
            <v>TPA</v>
          </cell>
          <cell r="H2284" t="str">
            <v>TPA1224</v>
          </cell>
        </row>
        <row r="2285">
          <cell r="F2285" t="str">
            <v>MG636076-103</v>
          </cell>
          <cell r="G2285" t="str">
            <v>TPA</v>
          </cell>
          <cell r="H2285" t="str">
            <v>TPA1223</v>
          </cell>
        </row>
        <row r="2286">
          <cell r="F2286" t="str">
            <v>MG635318-1</v>
          </cell>
          <cell r="G2286" t="str">
            <v>TPA</v>
          </cell>
          <cell r="H2286" t="str">
            <v>TPA1222</v>
          </cell>
        </row>
        <row r="2287">
          <cell r="F2287" t="str">
            <v>YH396-11VRT(RE)</v>
          </cell>
          <cell r="G2287" t="str">
            <v>TPA</v>
          </cell>
          <cell r="H2287" t="str">
            <v>TPA1221</v>
          </cell>
        </row>
        <row r="2288">
          <cell r="F2288" t="str">
            <v>MG635252-2</v>
          </cell>
          <cell r="G2288" t="str">
            <v>TPA</v>
          </cell>
          <cell r="H2288" t="str">
            <v>TPA1220</v>
          </cell>
        </row>
        <row r="2289">
          <cell r="F2289" t="str">
            <v>MG635956-014</v>
          </cell>
          <cell r="G2289" t="str">
            <v>TPA</v>
          </cell>
          <cell r="H2289" t="str">
            <v>TPA0363</v>
          </cell>
        </row>
        <row r="2290">
          <cell r="F2290" t="str">
            <v>MG635955-010</v>
          </cell>
          <cell r="G2290" t="str">
            <v>TPA</v>
          </cell>
          <cell r="H2290" t="str">
            <v>TPA0362</v>
          </cell>
        </row>
        <row r="2291">
          <cell r="F2291" t="str">
            <v>YH396-H03PR(BL)</v>
          </cell>
          <cell r="G2291" t="str">
            <v>TPA</v>
          </cell>
          <cell r="H2291" t="str">
            <v>TPA0360</v>
          </cell>
        </row>
        <row r="2292">
          <cell r="F2292" t="str">
            <v>MG635317-1</v>
          </cell>
          <cell r="G2292" t="str">
            <v>TPA</v>
          </cell>
          <cell r="H2292" t="str">
            <v>TPA0359</v>
          </cell>
        </row>
        <row r="2293">
          <cell r="F2293" t="str">
            <v>ZNDS-30V-K</v>
          </cell>
          <cell r="G2293" t="str">
            <v>TPA</v>
          </cell>
          <cell r="H2293" t="str">
            <v>TPA0355</v>
          </cell>
        </row>
        <row r="2294">
          <cell r="F2294" t="str">
            <v>ZNDS-22V-K</v>
          </cell>
          <cell r="G2294" t="str">
            <v>TPA</v>
          </cell>
          <cell r="H2294" t="str">
            <v>TPA0354</v>
          </cell>
        </row>
        <row r="2295">
          <cell r="F2295" t="str">
            <v>MG635169-1</v>
          </cell>
          <cell r="G2295" t="str">
            <v>TPA</v>
          </cell>
          <cell r="H2295" t="str">
            <v>TPA0353</v>
          </cell>
        </row>
        <row r="2296">
          <cell r="F2296" t="str">
            <v>35187-0390</v>
          </cell>
          <cell r="G2296" t="str">
            <v>TPA</v>
          </cell>
          <cell r="H2296" t="str">
            <v>TPA0352</v>
          </cell>
        </row>
        <row r="2297">
          <cell r="F2297" t="str">
            <v>YH396-08VRT(RE)</v>
          </cell>
          <cell r="G2297" t="str">
            <v>TPA</v>
          </cell>
          <cell r="H2297" t="str">
            <v>TPA0351</v>
          </cell>
        </row>
        <row r="2298">
          <cell r="F2298" t="str">
            <v>20003RT-H14(BL)</v>
          </cell>
          <cell r="G2298" t="str">
            <v>TPA</v>
          </cell>
          <cell r="H2298" t="str">
            <v>TPA0350</v>
          </cell>
        </row>
        <row r="2299">
          <cell r="F2299" t="str">
            <v>20003RT-H13(BL)</v>
          </cell>
          <cell r="G2299" t="str">
            <v>TPA</v>
          </cell>
          <cell r="H2299" t="str">
            <v>TPA0349</v>
          </cell>
        </row>
        <row r="2300">
          <cell r="F2300" t="str">
            <v>MG635939-212</v>
          </cell>
          <cell r="G2300" t="str">
            <v>TPA</v>
          </cell>
          <cell r="H2300" t="str">
            <v>TPA0348</v>
          </cell>
        </row>
        <row r="2301">
          <cell r="F2301" t="str">
            <v>20003RT-H12(BL)</v>
          </cell>
          <cell r="G2301" t="str">
            <v>TPA</v>
          </cell>
          <cell r="H2301" t="str">
            <v>TPA0346</v>
          </cell>
        </row>
        <row r="2302">
          <cell r="F2302" t="str">
            <v>YH396-13VRT(RE)</v>
          </cell>
          <cell r="G2302" t="str">
            <v>TPA</v>
          </cell>
          <cell r="H2302" t="str">
            <v>TPA0345</v>
          </cell>
        </row>
        <row r="2303">
          <cell r="F2303" t="str">
            <v>917698-1</v>
          </cell>
          <cell r="G2303" t="str">
            <v>TPA</v>
          </cell>
          <cell r="H2303" t="str">
            <v>TPA0344</v>
          </cell>
        </row>
        <row r="2304">
          <cell r="F2304" t="str">
            <v>51164-0305</v>
          </cell>
          <cell r="G2304" t="str">
            <v>TPA</v>
          </cell>
          <cell r="H2304" t="str">
            <v>TPA0343</v>
          </cell>
        </row>
        <row r="2305">
          <cell r="F2305" t="str">
            <v>51164-0405</v>
          </cell>
          <cell r="G2305" t="str">
            <v>TPA</v>
          </cell>
          <cell r="H2305" t="str">
            <v>TPA0342</v>
          </cell>
        </row>
        <row r="2306">
          <cell r="F2306" t="str">
            <v>MG635939-213</v>
          </cell>
          <cell r="G2306" t="str">
            <v>TPA</v>
          </cell>
          <cell r="H2306" t="str">
            <v>TPA0341</v>
          </cell>
        </row>
        <row r="2307">
          <cell r="F2307" t="str">
            <v>MG635939-214</v>
          </cell>
          <cell r="G2307" t="str">
            <v>TPA</v>
          </cell>
          <cell r="H2307" t="str">
            <v>TPA0340</v>
          </cell>
        </row>
        <row r="2308">
          <cell r="F2308" t="str">
            <v>MG635826-213</v>
          </cell>
          <cell r="G2308" t="str">
            <v>TPA</v>
          </cell>
          <cell r="H2308" t="str">
            <v>TPA0336</v>
          </cell>
        </row>
        <row r="2309">
          <cell r="F2309" t="str">
            <v>MG635826-212</v>
          </cell>
          <cell r="G2309" t="str">
            <v>TPA</v>
          </cell>
          <cell r="H2309" t="str">
            <v>TPA0335</v>
          </cell>
        </row>
        <row r="2310">
          <cell r="F2310" t="str">
            <v>MG635826-210</v>
          </cell>
          <cell r="G2310" t="str">
            <v>TPA</v>
          </cell>
          <cell r="H2310" t="str">
            <v>TPA0333</v>
          </cell>
        </row>
        <row r="2311">
          <cell r="F2311" t="str">
            <v>MG635826-209</v>
          </cell>
          <cell r="G2311" t="str">
            <v>TPA</v>
          </cell>
          <cell r="H2311" t="str">
            <v>TPA0332</v>
          </cell>
        </row>
        <row r="2312">
          <cell r="F2312" t="str">
            <v>MG635826-208</v>
          </cell>
          <cell r="G2312" t="str">
            <v>TPA</v>
          </cell>
          <cell r="H2312" t="str">
            <v>TPA0331</v>
          </cell>
        </row>
        <row r="2313">
          <cell r="F2313" t="str">
            <v>MG635826-207</v>
          </cell>
          <cell r="G2313" t="str">
            <v>TPA</v>
          </cell>
          <cell r="H2313" t="str">
            <v>TPA0330</v>
          </cell>
        </row>
        <row r="2314">
          <cell r="F2314" t="str">
            <v>MG635826-206</v>
          </cell>
          <cell r="G2314" t="str">
            <v>TPA</v>
          </cell>
          <cell r="H2314" t="str">
            <v>TPA0329</v>
          </cell>
        </row>
        <row r="2315">
          <cell r="F2315" t="str">
            <v>MG635826-205</v>
          </cell>
          <cell r="G2315" t="str">
            <v>TPA</v>
          </cell>
          <cell r="H2315" t="str">
            <v>TPA0328</v>
          </cell>
        </row>
        <row r="2316">
          <cell r="F2316" t="str">
            <v>MG635826-204</v>
          </cell>
          <cell r="G2316" t="str">
            <v>TPA</v>
          </cell>
          <cell r="H2316" t="str">
            <v>TPA0327</v>
          </cell>
        </row>
        <row r="2317">
          <cell r="F2317" t="str">
            <v>MG635826-203</v>
          </cell>
          <cell r="G2317" t="str">
            <v>TPA</v>
          </cell>
          <cell r="H2317" t="str">
            <v>TPA0326</v>
          </cell>
        </row>
        <row r="2318">
          <cell r="F2318" t="str">
            <v>MG635826-202</v>
          </cell>
          <cell r="G2318" t="str">
            <v>TPA</v>
          </cell>
          <cell r="H2318" t="str">
            <v>TPA0325</v>
          </cell>
        </row>
        <row r="2319">
          <cell r="F2319" t="str">
            <v>MG635317</v>
          </cell>
          <cell r="G2319" t="str">
            <v>TPA</v>
          </cell>
          <cell r="H2319" t="str">
            <v>TPA0324</v>
          </cell>
        </row>
        <row r="2320">
          <cell r="F2320" t="str">
            <v>MG635907-201</v>
          </cell>
          <cell r="G2320" t="str">
            <v>TPA</v>
          </cell>
          <cell r="H2320" t="str">
            <v>TPA0323</v>
          </cell>
        </row>
        <row r="2321">
          <cell r="F2321" t="str">
            <v>MG634164-1</v>
          </cell>
          <cell r="G2321" t="str">
            <v>TPA</v>
          </cell>
          <cell r="H2321" t="str">
            <v>TPA0322</v>
          </cell>
        </row>
        <row r="2322">
          <cell r="F2322" t="str">
            <v>WB20M-028-454</v>
          </cell>
          <cell r="G2322" t="str">
            <v>TPA</v>
          </cell>
          <cell r="H2322" t="str">
            <v>TPA0321</v>
          </cell>
        </row>
        <row r="2323">
          <cell r="F2323" t="str">
            <v>WB20M-026-454</v>
          </cell>
          <cell r="G2323" t="str">
            <v>TPA</v>
          </cell>
          <cell r="H2323" t="str">
            <v>TPA0320</v>
          </cell>
        </row>
        <row r="2324">
          <cell r="F2324" t="str">
            <v>WB20M-024-454</v>
          </cell>
          <cell r="G2324" t="str">
            <v>TPA</v>
          </cell>
          <cell r="H2324" t="str">
            <v>TPA0319</v>
          </cell>
        </row>
        <row r="2325">
          <cell r="F2325" t="str">
            <v>MG631228-2</v>
          </cell>
          <cell r="G2325" t="str">
            <v>TPA</v>
          </cell>
          <cell r="H2325" t="str">
            <v>TPA0318</v>
          </cell>
        </row>
        <row r="2326">
          <cell r="F2326" t="str">
            <v>WB20L-026-454</v>
          </cell>
          <cell r="G2326" t="str">
            <v>TPA</v>
          </cell>
          <cell r="H2326" t="str">
            <v>TPA0317</v>
          </cell>
        </row>
        <row r="2327">
          <cell r="F2327" t="str">
            <v>WB20L-028-454</v>
          </cell>
          <cell r="G2327" t="str">
            <v>TPA</v>
          </cell>
          <cell r="H2327" t="str">
            <v>TPA0316</v>
          </cell>
        </row>
        <row r="2328">
          <cell r="F2328" t="str">
            <v>WB20L-024-454</v>
          </cell>
          <cell r="G2328" t="str">
            <v>TPA</v>
          </cell>
          <cell r="H2328" t="str">
            <v>TPA0315</v>
          </cell>
        </row>
        <row r="2329">
          <cell r="F2329" t="str">
            <v>35965-0290</v>
          </cell>
          <cell r="G2329" t="str">
            <v>TPA</v>
          </cell>
          <cell r="H2329" t="str">
            <v>TPA0314</v>
          </cell>
        </row>
        <row r="2330">
          <cell r="F2330" t="str">
            <v>SC42206-061A</v>
          </cell>
          <cell r="G2330" t="str">
            <v>TPA</v>
          </cell>
          <cell r="H2330" t="str">
            <v>TPA0312</v>
          </cell>
        </row>
        <row r="2331">
          <cell r="F2331" t="str">
            <v>SC42206-021A</v>
          </cell>
          <cell r="G2331" t="str">
            <v>TPA</v>
          </cell>
          <cell r="H2331" t="str">
            <v>TPA0311</v>
          </cell>
        </row>
        <row r="2332">
          <cell r="F2332" t="str">
            <v>SC41242-031A-BK</v>
          </cell>
          <cell r="G2332" t="str">
            <v>TPA</v>
          </cell>
          <cell r="H2332" t="str">
            <v>TPA0308</v>
          </cell>
        </row>
        <row r="2333">
          <cell r="F2333" t="str">
            <v>YH396-H02PR(RE)</v>
          </cell>
          <cell r="G2333" t="str">
            <v>TPA</v>
          </cell>
          <cell r="H2333" t="str">
            <v>TPA0306</v>
          </cell>
        </row>
        <row r="2334">
          <cell r="F2334" t="str">
            <v>YH396-06VRT(RE)</v>
          </cell>
          <cell r="G2334" t="str">
            <v>TPA</v>
          </cell>
          <cell r="H2334" t="str">
            <v>TPA0305</v>
          </cell>
        </row>
        <row r="2335">
          <cell r="F2335" t="str">
            <v>SC42206-051A</v>
          </cell>
          <cell r="G2335" t="str">
            <v>TPA</v>
          </cell>
          <cell r="H2335" t="str">
            <v>TPA0304</v>
          </cell>
        </row>
        <row r="2336">
          <cell r="F2336" t="str">
            <v>SC42206-031A</v>
          </cell>
          <cell r="G2336" t="str">
            <v>TPA</v>
          </cell>
          <cell r="H2336" t="str">
            <v>TPA0303</v>
          </cell>
        </row>
        <row r="2337">
          <cell r="F2337" t="str">
            <v>SC42206-071A</v>
          </cell>
          <cell r="G2337" t="str">
            <v>TPA</v>
          </cell>
          <cell r="H2337" t="str">
            <v>TPA0302</v>
          </cell>
        </row>
        <row r="2338">
          <cell r="F2338" t="str">
            <v>PWBS-04V</v>
          </cell>
          <cell r="G2338" t="str">
            <v>TPA</v>
          </cell>
          <cell r="H2338" t="str">
            <v>TPA0301</v>
          </cell>
        </row>
        <row r="2339">
          <cell r="F2339" t="str">
            <v>SC41204-031A</v>
          </cell>
          <cell r="G2339" t="str">
            <v>TPA</v>
          </cell>
          <cell r="H2339" t="str">
            <v>TPA0299</v>
          </cell>
        </row>
        <row r="2340">
          <cell r="F2340" t="str">
            <v>SC41203-071A</v>
          </cell>
          <cell r="G2340" t="str">
            <v>TPA</v>
          </cell>
          <cell r="H2340" t="str">
            <v>TPA0298</v>
          </cell>
        </row>
        <row r="2341">
          <cell r="F2341" t="str">
            <v>SC41204-021A</v>
          </cell>
          <cell r="G2341" t="str">
            <v>TPA</v>
          </cell>
          <cell r="H2341" t="str">
            <v>TPA0297</v>
          </cell>
        </row>
        <row r="2342">
          <cell r="F2342" t="str">
            <v>YH396-12VRT(RE)</v>
          </cell>
          <cell r="G2342" t="str">
            <v>TPA</v>
          </cell>
          <cell r="H2342" t="str">
            <v>TPA0296</v>
          </cell>
        </row>
        <row r="2343">
          <cell r="F2343" t="str">
            <v>MG630989-1</v>
          </cell>
          <cell r="G2343" t="str">
            <v>TPA</v>
          </cell>
          <cell r="H2343" t="str">
            <v>TPA0295</v>
          </cell>
        </row>
        <row r="2344">
          <cell r="F2344" t="str">
            <v>MG630982-2</v>
          </cell>
          <cell r="G2344" t="str">
            <v>TPA</v>
          </cell>
          <cell r="H2344" t="str">
            <v>TPA0294</v>
          </cell>
        </row>
        <row r="2345">
          <cell r="F2345" t="str">
            <v>1897629-5</v>
          </cell>
          <cell r="G2345" t="str">
            <v>TPA</v>
          </cell>
          <cell r="H2345" t="str">
            <v>TPA0293</v>
          </cell>
        </row>
        <row r="2346">
          <cell r="F2346" t="str">
            <v>1897630-5</v>
          </cell>
          <cell r="G2346" t="str">
            <v>TPA</v>
          </cell>
          <cell r="H2346" t="str">
            <v>TPA0292</v>
          </cell>
        </row>
        <row r="2347">
          <cell r="F2347" t="str">
            <v>2108798-1</v>
          </cell>
          <cell r="G2347" t="str">
            <v>TPA</v>
          </cell>
          <cell r="H2347" t="str">
            <v>TPA0291</v>
          </cell>
        </row>
        <row r="2348">
          <cell r="F2348" t="str">
            <v>35182-0290</v>
          </cell>
          <cell r="G2348" t="str">
            <v>TPA</v>
          </cell>
          <cell r="H2348" t="str">
            <v>TPA0290</v>
          </cell>
        </row>
        <row r="2349">
          <cell r="F2349" t="str">
            <v>35182-0390</v>
          </cell>
          <cell r="G2349" t="str">
            <v>TPA</v>
          </cell>
          <cell r="H2349" t="str">
            <v>TPA0289</v>
          </cell>
        </row>
        <row r="2350">
          <cell r="F2350" t="str">
            <v>WB25B-015-454</v>
          </cell>
          <cell r="G2350" t="str">
            <v>TPA</v>
          </cell>
          <cell r="H2350" t="str">
            <v>TPA0288</v>
          </cell>
        </row>
        <row r="2351">
          <cell r="F2351" t="str">
            <v>WB25B-014-454</v>
          </cell>
          <cell r="G2351" t="str">
            <v>TPA</v>
          </cell>
          <cell r="H2351" t="str">
            <v>TPA0287</v>
          </cell>
        </row>
        <row r="2352">
          <cell r="F2352" t="str">
            <v>WB25B-013-454</v>
          </cell>
          <cell r="G2352" t="str">
            <v>TPA</v>
          </cell>
          <cell r="H2352" t="str">
            <v>TPA0286</v>
          </cell>
        </row>
        <row r="2353">
          <cell r="F2353" t="str">
            <v>WB25B-012-454</v>
          </cell>
          <cell r="G2353" t="str">
            <v>TPA</v>
          </cell>
          <cell r="H2353" t="str">
            <v>TPA0285</v>
          </cell>
        </row>
        <row r="2354">
          <cell r="F2354" t="str">
            <v>WB25B-011-454</v>
          </cell>
          <cell r="G2354" t="str">
            <v>TPA</v>
          </cell>
          <cell r="H2354" t="str">
            <v>TPA0284</v>
          </cell>
        </row>
        <row r="2355">
          <cell r="F2355" t="str">
            <v>WB25B-010-454</v>
          </cell>
          <cell r="G2355" t="str">
            <v>TPA</v>
          </cell>
          <cell r="H2355" t="str">
            <v>TPA0283</v>
          </cell>
        </row>
        <row r="2356">
          <cell r="F2356" t="str">
            <v>WB25B-009-454</v>
          </cell>
          <cell r="G2356" t="str">
            <v>TPA</v>
          </cell>
          <cell r="H2356" t="str">
            <v>TPA0282</v>
          </cell>
        </row>
        <row r="2357">
          <cell r="F2357" t="str">
            <v>WB25B-008-454</v>
          </cell>
          <cell r="G2357" t="str">
            <v>TPA</v>
          </cell>
          <cell r="H2357" t="str">
            <v>TPA0281</v>
          </cell>
        </row>
        <row r="2358">
          <cell r="F2358" t="str">
            <v>WB25B-007-454</v>
          </cell>
          <cell r="G2358" t="str">
            <v>TPA</v>
          </cell>
          <cell r="H2358" t="str">
            <v>TPA0280</v>
          </cell>
        </row>
        <row r="2359">
          <cell r="F2359" t="str">
            <v>WB25B-006-454</v>
          </cell>
          <cell r="G2359" t="str">
            <v>TPA</v>
          </cell>
          <cell r="H2359" t="str">
            <v>TPA0279</v>
          </cell>
        </row>
        <row r="2360">
          <cell r="F2360" t="str">
            <v>WB25B-005-454</v>
          </cell>
          <cell r="G2360" t="str">
            <v>TPA</v>
          </cell>
          <cell r="H2360" t="str">
            <v>TPA0278</v>
          </cell>
        </row>
        <row r="2361">
          <cell r="F2361" t="str">
            <v>WB25B-004-454</v>
          </cell>
          <cell r="G2361" t="str">
            <v>TPA</v>
          </cell>
          <cell r="H2361" t="str">
            <v>TPA0277</v>
          </cell>
        </row>
        <row r="2362">
          <cell r="F2362" t="str">
            <v>WB25B-003-454</v>
          </cell>
          <cell r="G2362" t="str">
            <v>TPA</v>
          </cell>
          <cell r="H2362" t="str">
            <v>TPA0276</v>
          </cell>
        </row>
        <row r="2363">
          <cell r="F2363" t="str">
            <v>WB25B-002-454</v>
          </cell>
          <cell r="G2363" t="str">
            <v>TPA</v>
          </cell>
          <cell r="H2363" t="str">
            <v>TPA0275</v>
          </cell>
        </row>
        <row r="2364">
          <cell r="F2364" t="str">
            <v>VLS-02V</v>
          </cell>
          <cell r="G2364" t="str">
            <v>TPA</v>
          </cell>
          <cell r="H2364" t="str">
            <v>TPA0274</v>
          </cell>
        </row>
        <row r="2365">
          <cell r="F2365" t="str">
            <v>VLS-03V</v>
          </cell>
          <cell r="G2365" t="str">
            <v>TPA</v>
          </cell>
          <cell r="H2365" t="str">
            <v>TPA0273</v>
          </cell>
        </row>
        <row r="2366">
          <cell r="F2366" t="str">
            <v>SMH200-05HRT(BL)</v>
          </cell>
          <cell r="G2366" t="str">
            <v>TPA</v>
          </cell>
          <cell r="H2366" t="str">
            <v>TPA0272</v>
          </cell>
        </row>
        <row r="2367">
          <cell r="F2367" t="str">
            <v>YH396-H06PR(RE)</v>
          </cell>
          <cell r="G2367" t="str">
            <v>TPA</v>
          </cell>
          <cell r="H2367" t="str">
            <v>TPA0270</v>
          </cell>
        </row>
        <row r="2368">
          <cell r="F2368" t="str">
            <v>MG634698-1</v>
          </cell>
          <cell r="G2368" t="str">
            <v>TPA</v>
          </cell>
          <cell r="H2368" t="str">
            <v>TPA0269</v>
          </cell>
        </row>
        <row r="2369">
          <cell r="F2369" t="str">
            <v>SMH250-06IRT(BL)</v>
          </cell>
          <cell r="G2369" t="str">
            <v>TPA</v>
          </cell>
          <cell r="H2369" t="str">
            <v>TPA0268</v>
          </cell>
        </row>
        <row r="2370">
          <cell r="F2370" t="str">
            <v>DEM8-00271</v>
          </cell>
          <cell r="G2370" t="str">
            <v>TPA</v>
          </cell>
          <cell r="H2370" t="str">
            <v>TPA0267</v>
          </cell>
        </row>
        <row r="2371">
          <cell r="F2371" t="str">
            <v>DEM8-00281</v>
          </cell>
          <cell r="G2371" t="str">
            <v>TPA</v>
          </cell>
          <cell r="H2371" t="str">
            <v>TPA0266</v>
          </cell>
        </row>
        <row r="2372">
          <cell r="F2372" t="str">
            <v>DEM8-00291</v>
          </cell>
          <cell r="G2372" t="str">
            <v>TPA</v>
          </cell>
          <cell r="H2372" t="str">
            <v>TPA0265</v>
          </cell>
        </row>
        <row r="2373">
          <cell r="F2373" t="str">
            <v>SMH250J-15RT(BL)</v>
          </cell>
          <cell r="G2373" t="str">
            <v>TPA</v>
          </cell>
          <cell r="H2373" t="str">
            <v>TPA0263</v>
          </cell>
        </row>
        <row r="2374">
          <cell r="F2374" t="str">
            <v>SMH250J-14RT(BL)</v>
          </cell>
          <cell r="G2374" t="str">
            <v>TPA</v>
          </cell>
          <cell r="H2374" t="str">
            <v>TPA0262</v>
          </cell>
        </row>
        <row r="2375">
          <cell r="F2375" t="str">
            <v>SMH250J-13RT(BL)</v>
          </cell>
          <cell r="G2375" t="str">
            <v>TPA</v>
          </cell>
          <cell r="H2375" t="str">
            <v>TPA0261</v>
          </cell>
        </row>
        <row r="2376">
          <cell r="F2376" t="str">
            <v>SMH250J-12RT(BL)</v>
          </cell>
          <cell r="G2376" t="str">
            <v>TPA</v>
          </cell>
          <cell r="H2376" t="str">
            <v>TPA0260</v>
          </cell>
        </row>
        <row r="2377">
          <cell r="F2377" t="str">
            <v>SMH250J-11RT(BL)</v>
          </cell>
          <cell r="G2377" t="str">
            <v>TPA</v>
          </cell>
          <cell r="H2377" t="str">
            <v>TPA0259</v>
          </cell>
        </row>
        <row r="2378">
          <cell r="F2378" t="str">
            <v>SMH250J-10RT(BL)</v>
          </cell>
          <cell r="G2378" t="str">
            <v>TPA</v>
          </cell>
          <cell r="H2378" t="str">
            <v>TPA0258</v>
          </cell>
        </row>
        <row r="2379">
          <cell r="F2379" t="str">
            <v>SMH250J-09RT(BL)</v>
          </cell>
          <cell r="G2379" t="str">
            <v>TPA</v>
          </cell>
          <cell r="H2379" t="str">
            <v>TPA0257</v>
          </cell>
        </row>
        <row r="2380">
          <cell r="F2380" t="str">
            <v>SMH250J-08RT(BL)</v>
          </cell>
          <cell r="G2380" t="str">
            <v>TPA</v>
          </cell>
          <cell r="H2380" t="str">
            <v>TPA0256</v>
          </cell>
        </row>
        <row r="2381">
          <cell r="F2381" t="str">
            <v>SMH250J-07RT(BL)</v>
          </cell>
          <cell r="G2381" t="str">
            <v>TPA</v>
          </cell>
          <cell r="H2381" t="str">
            <v>TPA0255</v>
          </cell>
        </row>
        <row r="2382">
          <cell r="F2382" t="str">
            <v>SMH250J-05RT(BL)</v>
          </cell>
          <cell r="G2382" t="str">
            <v>TPA</v>
          </cell>
          <cell r="H2382" t="str">
            <v>TPA0254</v>
          </cell>
        </row>
        <row r="2383">
          <cell r="F2383" t="str">
            <v>SMH250J-04RT(BL)</v>
          </cell>
          <cell r="G2383" t="str">
            <v>TPA</v>
          </cell>
          <cell r="H2383" t="str">
            <v>TPA0253</v>
          </cell>
        </row>
        <row r="2384">
          <cell r="F2384" t="str">
            <v>SMH250J-03RT(BL)</v>
          </cell>
          <cell r="G2384" t="str">
            <v>TPA</v>
          </cell>
          <cell r="H2384" t="str">
            <v>TPA0252</v>
          </cell>
        </row>
        <row r="2385">
          <cell r="F2385" t="str">
            <v>SMH250J-02RT(BL)</v>
          </cell>
          <cell r="G2385" t="str">
            <v>TPA</v>
          </cell>
          <cell r="H2385" t="str">
            <v>TPA0251</v>
          </cell>
        </row>
        <row r="2386">
          <cell r="F2386" t="str">
            <v>35150-0390</v>
          </cell>
          <cell r="G2386" t="str">
            <v>TPA</v>
          </cell>
          <cell r="H2386" t="str">
            <v>TPA0250</v>
          </cell>
        </row>
        <row r="2387">
          <cell r="F2387" t="str">
            <v>MG635145-6(R/H)</v>
          </cell>
          <cell r="G2387" t="str">
            <v>TPA</v>
          </cell>
          <cell r="H2387" t="str">
            <v>TPA0249</v>
          </cell>
        </row>
        <row r="2388">
          <cell r="F2388" t="str">
            <v>SMH250J-06RT(BL)</v>
          </cell>
          <cell r="G2388" t="str">
            <v>TPA</v>
          </cell>
          <cell r="H2388" t="str">
            <v>TPA0248</v>
          </cell>
        </row>
        <row r="2389">
          <cell r="F2389" t="str">
            <v>MG635756-2</v>
          </cell>
          <cell r="G2389" t="str">
            <v>TPA</v>
          </cell>
          <cell r="H2389" t="str">
            <v>TPA0247</v>
          </cell>
        </row>
        <row r="2390">
          <cell r="F2390" t="str">
            <v>Y4.5-02</v>
          </cell>
          <cell r="G2390" t="str">
            <v>TPA</v>
          </cell>
          <cell r="H2390" t="str">
            <v>TPA0246</v>
          </cell>
        </row>
        <row r="2391">
          <cell r="F2391" t="str">
            <v>WW45A-008-375</v>
          </cell>
          <cell r="G2391" t="str">
            <v>TPA</v>
          </cell>
          <cell r="H2391" t="str">
            <v>TPA0243</v>
          </cell>
        </row>
        <row r="2392">
          <cell r="F2392" t="str">
            <v>WW45A-006-375</v>
          </cell>
          <cell r="G2392" t="str">
            <v>TPA</v>
          </cell>
          <cell r="H2392" t="str">
            <v>TPA0242</v>
          </cell>
        </row>
        <row r="2393">
          <cell r="F2393" t="str">
            <v>WW45A-005-375</v>
          </cell>
          <cell r="G2393" t="str">
            <v>TPA</v>
          </cell>
          <cell r="H2393" t="str">
            <v>TPA0241</v>
          </cell>
        </row>
        <row r="2394">
          <cell r="F2394" t="str">
            <v>WW45A-004-375</v>
          </cell>
          <cell r="G2394" t="str">
            <v>TPA</v>
          </cell>
          <cell r="H2394" t="str">
            <v>TPA0240</v>
          </cell>
        </row>
        <row r="2395">
          <cell r="F2395" t="str">
            <v>WW45A-002-375</v>
          </cell>
          <cell r="G2395" t="str">
            <v>TPA</v>
          </cell>
          <cell r="H2395" t="str">
            <v>TPA0239</v>
          </cell>
        </row>
        <row r="2396">
          <cell r="F2396" t="str">
            <v>WW45A-010-378</v>
          </cell>
          <cell r="G2396" t="str">
            <v>TPA</v>
          </cell>
          <cell r="H2396" t="str">
            <v>TPA0238</v>
          </cell>
        </row>
        <row r="2397">
          <cell r="F2397" t="str">
            <v>WW45A-003-378</v>
          </cell>
          <cell r="G2397" t="str">
            <v>TPA</v>
          </cell>
          <cell r="H2397" t="str">
            <v>TPA0237</v>
          </cell>
        </row>
        <row r="2398">
          <cell r="F2398" t="str">
            <v>Y4.5-12</v>
          </cell>
          <cell r="G2398" t="str">
            <v>TPA</v>
          </cell>
          <cell r="H2398" t="str">
            <v>TPA0236</v>
          </cell>
        </row>
        <row r="2399">
          <cell r="F2399" t="str">
            <v>Y4.5-08</v>
          </cell>
          <cell r="G2399" t="str">
            <v>TPA</v>
          </cell>
          <cell r="H2399" t="str">
            <v>TPA0235</v>
          </cell>
        </row>
        <row r="2400">
          <cell r="F2400" t="str">
            <v>MG635620-2</v>
          </cell>
          <cell r="G2400" t="str">
            <v>TPA</v>
          </cell>
          <cell r="H2400" t="str">
            <v>TPA0234</v>
          </cell>
        </row>
        <row r="2401">
          <cell r="F2401" t="str">
            <v>SMH420-H03BR2(RE)</v>
          </cell>
          <cell r="G2401" t="str">
            <v>TPA</v>
          </cell>
          <cell r="H2401" t="str">
            <v>TPA0233</v>
          </cell>
        </row>
        <row r="2402">
          <cell r="F2402" t="str">
            <v>PMS-06V-S</v>
          </cell>
          <cell r="G2402" t="str">
            <v>TPA</v>
          </cell>
          <cell r="H2402" t="str">
            <v>TPA0232</v>
          </cell>
        </row>
        <row r="2403">
          <cell r="F2403" t="str">
            <v>YHL500-02BRT(RE)</v>
          </cell>
          <cell r="G2403" t="str">
            <v>TPA</v>
          </cell>
          <cell r="H2403" t="str">
            <v>TPA0231</v>
          </cell>
        </row>
        <row r="2404">
          <cell r="F2404" t="str">
            <v>HLP1005-02</v>
          </cell>
          <cell r="G2404" t="str">
            <v>TPA</v>
          </cell>
          <cell r="H2404" t="str">
            <v>TPA0230</v>
          </cell>
        </row>
        <row r="2405">
          <cell r="F2405" t="str">
            <v>SC51102-151ABL</v>
          </cell>
          <cell r="G2405" t="str">
            <v>TPA</v>
          </cell>
          <cell r="H2405" t="str">
            <v>TPA0229</v>
          </cell>
        </row>
        <row r="2406">
          <cell r="F2406" t="str">
            <v>SC51102-131ABL</v>
          </cell>
          <cell r="G2406" t="str">
            <v>TPA</v>
          </cell>
          <cell r="H2406" t="str">
            <v>TPA0228</v>
          </cell>
        </row>
        <row r="2407">
          <cell r="F2407" t="str">
            <v>SC51102-111ABL</v>
          </cell>
          <cell r="G2407" t="str">
            <v>TPA</v>
          </cell>
          <cell r="H2407" t="str">
            <v>TPA0227</v>
          </cell>
        </row>
        <row r="2408">
          <cell r="F2408" t="str">
            <v>SC51102-091ABL</v>
          </cell>
          <cell r="G2408" t="str">
            <v>TPA</v>
          </cell>
          <cell r="H2408" t="str">
            <v>TPA0226</v>
          </cell>
        </row>
        <row r="2409">
          <cell r="F2409" t="str">
            <v>SC51102-071ABL</v>
          </cell>
          <cell r="G2409" t="str">
            <v>TPA</v>
          </cell>
          <cell r="H2409" t="str">
            <v>TPA0225</v>
          </cell>
        </row>
        <row r="2410">
          <cell r="F2410" t="str">
            <v>SC51102-051ABL</v>
          </cell>
          <cell r="G2410" t="str">
            <v>TPA</v>
          </cell>
          <cell r="H2410" t="str">
            <v>TPA0224</v>
          </cell>
        </row>
        <row r="2411">
          <cell r="F2411" t="str">
            <v>SC51102-031ABL</v>
          </cell>
          <cell r="G2411" t="str">
            <v>TPA</v>
          </cell>
          <cell r="H2411" t="str">
            <v>TPA0223</v>
          </cell>
        </row>
        <row r="2412">
          <cell r="F2412" t="str">
            <v>MG635043-1</v>
          </cell>
          <cell r="G2412" t="str">
            <v>TPA</v>
          </cell>
          <cell r="H2412" t="str">
            <v>TPA0222</v>
          </cell>
        </row>
        <row r="2413">
          <cell r="F2413" t="str">
            <v>DM120102(RED)</v>
          </cell>
          <cell r="G2413" t="str">
            <v>TPA</v>
          </cell>
          <cell r="H2413" t="str">
            <v>TPA0217</v>
          </cell>
        </row>
        <row r="2414">
          <cell r="F2414" t="str">
            <v>DEM8-D0042</v>
          </cell>
          <cell r="G2414" t="str">
            <v>TPA</v>
          </cell>
          <cell r="H2414" t="str">
            <v>TPA0215</v>
          </cell>
        </row>
        <row r="2415">
          <cell r="F2415" t="str">
            <v>DEM8-00092</v>
          </cell>
          <cell r="G2415" t="str">
            <v>TPA</v>
          </cell>
          <cell r="H2415" t="str">
            <v>TPA0214</v>
          </cell>
        </row>
        <row r="2416">
          <cell r="F2416" t="str">
            <v>DBT061-03-C/C</v>
          </cell>
          <cell r="G2416" t="str">
            <v>TPA</v>
          </cell>
          <cell r="H2416" t="str">
            <v>TPA0213</v>
          </cell>
        </row>
        <row r="2417">
          <cell r="F2417" t="str">
            <v>DBT081-02-C/C</v>
          </cell>
          <cell r="G2417" t="str">
            <v>TPA</v>
          </cell>
          <cell r="H2417" t="str">
            <v>TPA0212</v>
          </cell>
        </row>
        <row r="2418">
          <cell r="F2418" t="str">
            <v>WB25B-015-456</v>
          </cell>
          <cell r="G2418" t="str">
            <v>TPA</v>
          </cell>
          <cell r="H2418" t="str">
            <v>TPA0211</v>
          </cell>
        </row>
        <row r="2419">
          <cell r="F2419" t="str">
            <v>WB25B-014-456</v>
          </cell>
          <cell r="G2419" t="str">
            <v>TPA</v>
          </cell>
          <cell r="H2419" t="str">
            <v>TPA0210</v>
          </cell>
        </row>
        <row r="2420">
          <cell r="F2420" t="str">
            <v>WB25B-013-456</v>
          </cell>
          <cell r="G2420" t="str">
            <v>TPA</v>
          </cell>
          <cell r="H2420" t="str">
            <v>TPA0209</v>
          </cell>
        </row>
        <row r="2421">
          <cell r="F2421" t="str">
            <v>WB25B-012-456</v>
          </cell>
          <cell r="G2421" t="str">
            <v>TPA</v>
          </cell>
          <cell r="H2421" t="str">
            <v>TPA0208</v>
          </cell>
        </row>
        <row r="2422">
          <cell r="F2422" t="str">
            <v>WB25B-011-456</v>
          </cell>
          <cell r="G2422" t="str">
            <v>TPA</v>
          </cell>
          <cell r="H2422" t="str">
            <v>TPA0207</v>
          </cell>
        </row>
        <row r="2423">
          <cell r="F2423" t="str">
            <v>WB25B-010-456</v>
          </cell>
          <cell r="G2423" t="str">
            <v>TPA</v>
          </cell>
          <cell r="H2423" t="str">
            <v>TPA0206</v>
          </cell>
        </row>
        <row r="2424">
          <cell r="F2424" t="str">
            <v>WB25B-009-456</v>
          </cell>
          <cell r="G2424" t="str">
            <v>TPA</v>
          </cell>
          <cell r="H2424" t="str">
            <v>TPA0205</v>
          </cell>
        </row>
        <row r="2425">
          <cell r="F2425" t="str">
            <v>WB25B-008-456</v>
          </cell>
          <cell r="G2425" t="str">
            <v>TPA</v>
          </cell>
          <cell r="H2425" t="str">
            <v>TPA0204</v>
          </cell>
        </row>
        <row r="2426">
          <cell r="F2426" t="str">
            <v>WB25B-007-456</v>
          </cell>
          <cell r="G2426" t="str">
            <v>TPA</v>
          </cell>
          <cell r="H2426" t="str">
            <v>TPA0203</v>
          </cell>
        </row>
        <row r="2427">
          <cell r="F2427" t="str">
            <v>WB25B-006-456</v>
          </cell>
          <cell r="G2427" t="str">
            <v>TPA</v>
          </cell>
          <cell r="H2427" t="str">
            <v>TPA0202</v>
          </cell>
        </row>
        <row r="2428">
          <cell r="F2428" t="str">
            <v>WB25B-005-456</v>
          </cell>
          <cell r="G2428" t="str">
            <v>TPA</v>
          </cell>
          <cell r="H2428" t="str">
            <v>TPA0201</v>
          </cell>
        </row>
        <row r="2429">
          <cell r="F2429" t="str">
            <v>WB25B-004-456</v>
          </cell>
          <cell r="G2429" t="str">
            <v>TPA</v>
          </cell>
          <cell r="H2429" t="str">
            <v>TPA0200</v>
          </cell>
        </row>
        <row r="2430">
          <cell r="F2430" t="str">
            <v>WB25B-003-456</v>
          </cell>
          <cell r="G2430" t="str">
            <v>TPA</v>
          </cell>
          <cell r="H2430" t="str">
            <v>TPA0199</v>
          </cell>
        </row>
        <row r="2431">
          <cell r="F2431" t="str">
            <v>WB25B-002-456</v>
          </cell>
          <cell r="G2431" t="str">
            <v>TPA</v>
          </cell>
          <cell r="H2431" t="str">
            <v>TPA0198</v>
          </cell>
        </row>
        <row r="2432">
          <cell r="F2432" t="str">
            <v>YH396-05VRT(RE)</v>
          </cell>
          <cell r="G2432" t="str">
            <v>TPA</v>
          </cell>
          <cell r="H2432" t="str">
            <v>TPA0197</v>
          </cell>
        </row>
        <row r="2433">
          <cell r="F2433" t="str">
            <v>MG630989-2</v>
          </cell>
          <cell r="G2433" t="str">
            <v>TPA</v>
          </cell>
          <cell r="H2433" t="str">
            <v>TPA0196</v>
          </cell>
        </row>
        <row r="2434">
          <cell r="F2434" t="str">
            <v>MG630878-2</v>
          </cell>
          <cell r="G2434" t="str">
            <v>TPA</v>
          </cell>
          <cell r="H2434" t="str">
            <v>TPA0195</v>
          </cell>
        </row>
        <row r="2435">
          <cell r="F2435" t="str">
            <v>MG630875-2</v>
          </cell>
          <cell r="G2435" t="str">
            <v>TPA</v>
          </cell>
          <cell r="H2435" t="str">
            <v>TPA0194</v>
          </cell>
        </row>
        <row r="2436">
          <cell r="F2436" t="str">
            <v>HLP1005-03</v>
          </cell>
          <cell r="G2436" t="str">
            <v>TPA</v>
          </cell>
          <cell r="H2436" t="str">
            <v>TPA0193</v>
          </cell>
        </row>
        <row r="2437">
          <cell r="F2437" t="str">
            <v>PAFS-06V-S</v>
          </cell>
          <cell r="G2437" t="str">
            <v>TPA</v>
          </cell>
          <cell r="H2437" t="str">
            <v>TPA0192</v>
          </cell>
        </row>
        <row r="2438">
          <cell r="F2438" t="str">
            <v>YH396-07VRT(RE)</v>
          </cell>
          <cell r="G2438" t="str">
            <v>TPA</v>
          </cell>
          <cell r="H2438" t="str">
            <v>TPA0191</v>
          </cell>
        </row>
        <row r="2439">
          <cell r="F2439" t="str">
            <v>BLDC TPA(GEUMSAN)</v>
          </cell>
          <cell r="G2439" t="str">
            <v>TPA</v>
          </cell>
          <cell r="H2439" t="str">
            <v>TPA0190</v>
          </cell>
        </row>
        <row r="2440">
          <cell r="F2440" t="str">
            <v>1565089-1</v>
          </cell>
          <cell r="G2440" t="str">
            <v>TPA</v>
          </cell>
          <cell r="H2440" t="str">
            <v>TPA0189</v>
          </cell>
        </row>
        <row r="2441">
          <cell r="F2441" t="str">
            <v>35182-0192</v>
          </cell>
          <cell r="G2441" t="str">
            <v>TPA</v>
          </cell>
          <cell r="H2441" t="str">
            <v>TPA0188</v>
          </cell>
        </row>
        <row r="2442">
          <cell r="F2442" t="str">
            <v>YH396-04VRT(RE)</v>
          </cell>
          <cell r="G2442" t="str">
            <v>TPA</v>
          </cell>
          <cell r="H2442" t="str">
            <v>TPA0187</v>
          </cell>
        </row>
        <row r="2443">
          <cell r="F2443" t="str">
            <v>YH396-09VRT(RE)</v>
          </cell>
          <cell r="G2443" t="str">
            <v>TPA</v>
          </cell>
          <cell r="H2443" t="str">
            <v>TPA0186</v>
          </cell>
        </row>
        <row r="2444">
          <cell r="F2444" t="str">
            <v>PNDS-22V-Z-A</v>
          </cell>
          <cell r="G2444" t="str">
            <v>TPA</v>
          </cell>
          <cell r="H2444" t="str">
            <v>TPA0185</v>
          </cell>
        </row>
        <row r="2445">
          <cell r="F2445" t="str">
            <v>49509-0301(BLK)</v>
          </cell>
          <cell r="G2445" t="str">
            <v>TPA</v>
          </cell>
          <cell r="H2445" t="str">
            <v>TPA0184</v>
          </cell>
        </row>
        <row r="2446">
          <cell r="F2446" t="str">
            <v>49509-0300</v>
          </cell>
          <cell r="G2446" t="str">
            <v>TPA</v>
          </cell>
          <cell r="H2446" t="str">
            <v>TPA0183</v>
          </cell>
        </row>
        <row r="2447">
          <cell r="F2447" t="str">
            <v>HM9430001</v>
          </cell>
          <cell r="G2447" t="str">
            <v>TPA</v>
          </cell>
          <cell r="H2447" t="str">
            <v>TPA0182</v>
          </cell>
        </row>
        <row r="2448">
          <cell r="F2448" t="str">
            <v>MG635483-2</v>
          </cell>
          <cell r="G2448" t="str">
            <v>TPA</v>
          </cell>
          <cell r="H2448" t="str">
            <v>TPA0181</v>
          </cell>
        </row>
        <row r="2449">
          <cell r="F2449" t="str">
            <v>YH396-03VRT(RE)</v>
          </cell>
          <cell r="G2449" t="str">
            <v>TPA</v>
          </cell>
          <cell r="H2449" t="str">
            <v>TPA0179</v>
          </cell>
        </row>
        <row r="2450">
          <cell r="F2450" t="str">
            <v>MG634165-2</v>
          </cell>
          <cell r="G2450" t="str">
            <v>TPA</v>
          </cell>
          <cell r="H2450" t="str">
            <v>TPA0178</v>
          </cell>
        </row>
        <row r="2451">
          <cell r="F2451" t="str">
            <v>DEM8-D0032(RT)</v>
          </cell>
          <cell r="G2451" t="str">
            <v>TPA</v>
          </cell>
          <cell r="H2451" t="str">
            <v>TPA0177</v>
          </cell>
        </row>
        <row r="2452">
          <cell r="F2452" t="str">
            <v>SMH200-15HRT(RE)</v>
          </cell>
          <cell r="G2452" t="str">
            <v>TPA</v>
          </cell>
          <cell r="H2452" t="str">
            <v>TPA0176</v>
          </cell>
        </row>
        <row r="2453">
          <cell r="F2453" t="str">
            <v>SMH200-14HRT(RE)</v>
          </cell>
          <cell r="G2453" t="str">
            <v>TPA</v>
          </cell>
          <cell r="H2453" t="str">
            <v>TPA0175</v>
          </cell>
        </row>
        <row r="2454">
          <cell r="F2454" t="str">
            <v>SMH200-13HRT(RE)</v>
          </cell>
          <cell r="G2454" t="str">
            <v>TPA</v>
          </cell>
          <cell r="H2454" t="str">
            <v>TPA0174</v>
          </cell>
        </row>
        <row r="2455">
          <cell r="F2455" t="str">
            <v>SMH200-12HRT(RE)</v>
          </cell>
          <cell r="G2455" t="str">
            <v>TPA</v>
          </cell>
          <cell r="H2455" t="str">
            <v>TPA0173</v>
          </cell>
        </row>
        <row r="2456">
          <cell r="F2456" t="str">
            <v>SMH200-11HRT(RE)</v>
          </cell>
          <cell r="G2456" t="str">
            <v>TPA</v>
          </cell>
          <cell r="H2456" t="str">
            <v>TPA0172</v>
          </cell>
        </row>
        <row r="2457">
          <cell r="F2457" t="str">
            <v>SMH200-10HRT(RE)</v>
          </cell>
          <cell r="G2457" t="str">
            <v>TPA</v>
          </cell>
          <cell r="H2457" t="str">
            <v>TPA0171</v>
          </cell>
        </row>
        <row r="2458">
          <cell r="F2458" t="str">
            <v>SMH200-09HRT(RE)</v>
          </cell>
          <cell r="G2458" t="str">
            <v>TPA</v>
          </cell>
          <cell r="H2458" t="str">
            <v>TPA0170</v>
          </cell>
        </row>
        <row r="2459">
          <cell r="F2459" t="str">
            <v>SMH200-07HRT(RE)</v>
          </cell>
          <cell r="G2459" t="str">
            <v>TPA</v>
          </cell>
          <cell r="H2459" t="str">
            <v>TPA0169</v>
          </cell>
        </row>
        <row r="2460">
          <cell r="F2460" t="str">
            <v>SMH200-05HRT(RE)</v>
          </cell>
          <cell r="G2460" t="str">
            <v>TPA</v>
          </cell>
          <cell r="H2460" t="str">
            <v>TPA0168</v>
          </cell>
        </row>
        <row r="2461">
          <cell r="F2461" t="str">
            <v>SMH200-04HRT(RE)</v>
          </cell>
          <cell r="G2461" t="str">
            <v>TPA</v>
          </cell>
          <cell r="H2461" t="str">
            <v>TPA0167</v>
          </cell>
        </row>
        <row r="2462">
          <cell r="F2462" t="str">
            <v>SMH200-03HRT(RE)</v>
          </cell>
          <cell r="G2462" t="str">
            <v>TPA</v>
          </cell>
          <cell r="H2462" t="str">
            <v>TPA0166</v>
          </cell>
        </row>
        <row r="2463">
          <cell r="F2463" t="str">
            <v>SMH200-02HRT(RE)</v>
          </cell>
          <cell r="G2463" t="str">
            <v>TPA</v>
          </cell>
          <cell r="H2463" t="str">
            <v>TPA0165</v>
          </cell>
        </row>
        <row r="2464">
          <cell r="F2464" t="str">
            <v>YH396-02VRT(RE)</v>
          </cell>
          <cell r="G2464" t="str">
            <v>TPA</v>
          </cell>
          <cell r="H2464" t="str">
            <v>TPA0164</v>
          </cell>
        </row>
        <row r="2465">
          <cell r="F2465" t="str">
            <v>DEM8-00301</v>
          </cell>
          <cell r="G2465" t="str">
            <v>TPA</v>
          </cell>
          <cell r="H2465" t="str">
            <v>TPA0163</v>
          </cell>
        </row>
        <row r="2466">
          <cell r="F2466" t="str">
            <v>H3.96-03</v>
          </cell>
          <cell r="G2466" t="str">
            <v>TPA</v>
          </cell>
          <cell r="H2466" t="str">
            <v>TPA0162</v>
          </cell>
        </row>
        <row r="2467">
          <cell r="F2467" t="str">
            <v>X2.5-09</v>
          </cell>
          <cell r="G2467" t="str">
            <v>TPA</v>
          </cell>
          <cell r="H2467" t="str">
            <v>TPA0161</v>
          </cell>
        </row>
        <row r="2468">
          <cell r="F2468" t="str">
            <v>Y4.5-20</v>
          </cell>
          <cell r="G2468" t="str">
            <v>TPA</v>
          </cell>
          <cell r="H2468" t="str">
            <v>TPA0160</v>
          </cell>
        </row>
        <row r="2469">
          <cell r="F2469" t="str">
            <v>Y4.5-03</v>
          </cell>
          <cell r="G2469" t="str">
            <v>TPA</v>
          </cell>
          <cell r="H2469" t="str">
            <v>TPA0158</v>
          </cell>
        </row>
        <row r="2470">
          <cell r="F2470" t="str">
            <v>MG631228-5</v>
          </cell>
          <cell r="G2470" t="str">
            <v>TPA</v>
          </cell>
          <cell r="H2470" t="str">
            <v>TPA0156</v>
          </cell>
        </row>
        <row r="2471">
          <cell r="F2471" t="str">
            <v>2005543-5</v>
          </cell>
          <cell r="G2471" t="str">
            <v>TPA</v>
          </cell>
          <cell r="H2471" t="str">
            <v>TPA0155</v>
          </cell>
        </row>
        <row r="2472">
          <cell r="F2472" t="str">
            <v>MG634746-1</v>
          </cell>
          <cell r="G2472" t="str">
            <v>TPA</v>
          </cell>
          <cell r="H2472" t="str">
            <v>TPA0153</v>
          </cell>
        </row>
        <row r="2473">
          <cell r="F2473" t="str">
            <v>MG634164-2</v>
          </cell>
          <cell r="G2473" t="str">
            <v>TPA</v>
          </cell>
          <cell r="H2473" t="str">
            <v>TPA0151</v>
          </cell>
        </row>
        <row r="2474">
          <cell r="F2474" t="str">
            <v>MG631230-5</v>
          </cell>
          <cell r="G2474" t="str">
            <v>TPA</v>
          </cell>
          <cell r="H2474" t="str">
            <v>TPA0150</v>
          </cell>
        </row>
        <row r="2475">
          <cell r="F2475" t="str">
            <v>MG631230-2</v>
          </cell>
          <cell r="G2475" t="str">
            <v>TPA</v>
          </cell>
          <cell r="H2475" t="str">
            <v>TPA0149</v>
          </cell>
        </row>
        <row r="2476">
          <cell r="F2476" t="str">
            <v>SMH200-06HRT(RE)</v>
          </cell>
          <cell r="G2476" t="str">
            <v>TPA</v>
          </cell>
          <cell r="H2476" t="str">
            <v>TPA0148</v>
          </cell>
        </row>
        <row r="2477">
          <cell r="F2477" t="str">
            <v>MG634882-2</v>
          </cell>
          <cell r="G2477" t="str">
            <v>TPA</v>
          </cell>
          <cell r="H2477" t="str">
            <v>TPA0147</v>
          </cell>
        </row>
        <row r="2478">
          <cell r="F2478" t="str">
            <v>DEM8-00302</v>
          </cell>
          <cell r="G2478" t="str">
            <v>TPA</v>
          </cell>
          <cell r="H2478" t="str">
            <v>TPA0146</v>
          </cell>
        </row>
        <row r="2479">
          <cell r="F2479" t="str">
            <v>DEM8-00292</v>
          </cell>
          <cell r="G2479" t="str">
            <v>TPA</v>
          </cell>
          <cell r="H2479" t="str">
            <v>TPA0145</v>
          </cell>
        </row>
        <row r="2480">
          <cell r="F2480" t="str">
            <v>DEM8-00312</v>
          </cell>
          <cell r="G2480" t="str">
            <v>TPA</v>
          </cell>
          <cell r="H2480" t="str">
            <v>TPA0144</v>
          </cell>
        </row>
        <row r="2481">
          <cell r="F2481" t="str">
            <v>DEM8-00282</v>
          </cell>
          <cell r="G2481" t="str">
            <v>TPA</v>
          </cell>
          <cell r="H2481" t="str">
            <v>TPA0143</v>
          </cell>
        </row>
        <row r="2482">
          <cell r="F2482" t="str">
            <v>DEM8-00272</v>
          </cell>
          <cell r="G2482" t="str">
            <v>TPA</v>
          </cell>
          <cell r="H2482" t="str">
            <v>TPA0142</v>
          </cell>
        </row>
        <row r="2483">
          <cell r="F2483" t="str">
            <v>MG634708-1</v>
          </cell>
          <cell r="G2483" t="str">
            <v>TPA</v>
          </cell>
          <cell r="H2483" t="str">
            <v>TPA0141</v>
          </cell>
        </row>
        <row r="2484">
          <cell r="F2484" t="str">
            <v>SMH250J-03RT(WH)</v>
          </cell>
          <cell r="G2484" t="str">
            <v>TPA</v>
          </cell>
          <cell r="H2484" t="str">
            <v>TPA0139</v>
          </cell>
        </row>
        <row r="2485">
          <cell r="F2485" t="str">
            <v>MG634482-1</v>
          </cell>
          <cell r="G2485" t="str">
            <v>TPA</v>
          </cell>
          <cell r="H2485" t="str">
            <v>TPA0138</v>
          </cell>
        </row>
        <row r="2486">
          <cell r="F2486" t="str">
            <v>MG634825-1</v>
          </cell>
          <cell r="G2486" t="str">
            <v>TPA</v>
          </cell>
          <cell r="H2486" t="str">
            <v>TPA0137</v>
          </cell>
        </row>
        <row r="2487">
          <cell r="F2487" t="str">
            <v>MG635164-1</v>
          </cell>
          <cell r="G2487" t="str">
            <v>TPA</v>
          </cell>
          <cell r="H2487" t="str">
            <v>TPA0135</v>
          </cell>
        </row>
        <row r="2488">
          <cell r="F2488" t="str">
            <v>MG635079-1</v>
          </cell>
          <cell r="G2488" t="str">
            <v>TPA</v>
          </cell>
          <cell r="H2488" t="str">
            <v>TPA0134</v>
          </cell>
        </row>
        <row r="2489">
          <cell r="F2489" t="str">
            <v>49627-0582</v>
          </cell>
          <cell r="G2489" t="str">
            <v>TPA</v>
          </cell>
          <cell r="H2489" t="str">
            <v>TPA0132</v>
          </cell>
        </row>
        <row r="2490">
          <cell r="F2490" t="str">
            <v>PWCS-03V</v>
          </cell>
          <cell r="G2490" t="str">
            <v>TPA</v>
          </cell>
          <cell r="H2490" t="str">
            <v>TPA0131</v>
          </cell>
        </row>
        <row r="2491">
          <cell r="F2491" t="str">
            <v>MG635013-1</v>
          </cell>
          <cell r="G2491" t="str">
            <v>TPA</v>
          </cell>
          <cell r="H2491" t="str">
            <v>TPA0130</v>
          </cell>
        </row>
        <row r="2492">
          <cell r="F2492" t="str">
            <v>SMH200-08HRT(RE)</v>
          </cell>
          <cell r="G2492" t="str">
            <v>TPA</v>
          </cell>
          <cell r="H2492" t="str">
            <v>TPA0128</v>
          </cell>
        </row>
        <row r="2493">
          <cell r="F2493" t="str">
            <v>YDH236-H01ERT(RE)</v>
          </cell>
          <cell r="G2493" t="str">
            <v>TPA</v>
          </cell>
          <cell r="H2493" t="str">
            <v>TPA0127</v>
          </cell>
        </row>
        <row r="2494">
          <cell r="F2494" t="str">
            <v>XMS-05V</v>
          </cell>
          <cell r="G2494" t="str">
            <v>TPA</v>
          </cell>
          <cell r="H2494" t="str">
            <v>TPA0125</v>
          </cell>
        </row>
        <row r="2495">
          <cell r="F2495" t="str">
            <v>YDH236-H02ERT(RE)</v>
          </cell>
          <cell r="G2495" t="str">
            <v>TPA</v>
          </cell>
          <cell r="H2495" t="str">
            <v>TPA0124</v>
          </cell>
        </row>
        <row r="2496">
          <cell r="F2496" t="str">
            <v>MG633660-1</v>
          </cell>
          <cell r="G2496" t="str">
            <v>TPA</v>
          </cell>
          <cell r="H2496" t="str">
            <v>TPA0123</v>
          </cell>
        </row>
        <row r="2497">
          <cell r="F2497" t="str">
            <v>XMS-08V</v>
          </cell>
          <cell r="G2497" t="str">
            <v>TPA</v>
          </cell>
          <cell r="H2497" t="str">
            <v>TPA0122</v>
          </cell>
        </row>
        <row r="2498">
          <cell r="F2498" t="str">
            <v>MG634456-2</v>
          </cell>
          <cell r="G2498" t="str">
            <v>TPA</v>
          </cell>
          <cell r="H2498" t="str">
            <v>TPA0121</v>
          </cell>
        </row>
        <row r="2499">
          <cell r="F2499" t="str">
            <v>AMP177918-1</v>
          </cell>
          <cell r="G2499" t="str">
            <v>TPA</v>
          </cell>
          <cell r="H2499" t="str">
            <v>TPA0120</v>
          </cell>
        </row>
        <row r="2500">
          <cell r="F2500" t="str">
            <v>49626-0682</v>
          </cell>
          <cell r="G2500" t="str">
            <v>TPA</v>
          </cell>
          <cell r="H2500" t="str">
            <v>TPA0119</v>
          </cell>
        </row>
        <row r="2501">
          <cell r="F2501" t="str">
            <v>49625-0682</v>
          </cell>
          <cell r="G2501" t="str">
            <v>TPA</v>
          </cell>
          <cell r="H2501" t="str">
            <v>TPA0118</v>
          </cell>
        </row>
        <row r="2502">
          <cell r="F2502" t="str">
            <v>MG633661-1</v>
          </cell>
          <cell r="G2502" t="str">
            <v>TPA</v>
          </cell>
          <cell r="H2502" t="str">
            <v>TPA0117</v>
          </cell>
        </row>
        <row r="2503">
          <cell r="F2503" t="str">
            <v>MG633658-1</v>
          </cell>
          <cell r="G2503" t="str">
            <v>TPA</v>
          </cell>
          <cell r="H2503" t="str">
            <v>TPA0116</v>
          </cell>
        </row>
        <row r="2504">
          <cell r="F2504" t="str">
            <v>MG633861-1</v>
          </cell>
          <cell r="G2504" t="str">
            <v>TPA</v>
          </cell>
          <cell r="H2504" t="str">
            <v>TPA0115</v>
          </cell>
        </row>
        <row r="2505">
          <cell r="F2505" t="str">
            <v>MG633858-1</v>
          </cell>
          <cell r="G2505" t="str">
            <v>TPA</v>
          </cell>
          <cell r="H2505" t="str">
            <v>TPA0113</v>
          </cell>
        </row>
        <row r="2506">
          <cell r="F2506" t="str">
            <v>MG633659-1</v>
          </cell>
          <cell r="G2506" t="str">
            <v>TPA</v>
          </cell>
          <cell r="H2506" t="str">
            <v>TPA0112</v>
          </cell>
        </row>
        <row r="2507">
          <cell r="F2507" t="str">
            <v>XMS-09V</v>
          </cell>
          <cell r="G2507" t="str">
            <v>TPA</v>
          </cell>
          <cell r="H2507" t="str">
            <v>TPA0111</v>
          </cell>
        </row>
        <row r="2508">
          <cell r="F2508" t="str">
            <v>XMS-03V</v>
          </cell>
          <cell r="G2508" t="str">
            <v>TPA</v>
          </cell>
          <cell r="H2508" t="str">
            <v>TPA0109</v>
          </cell>
        </row>
        <row r="2509">
          <cell r="F2509" t="str">
            <v>XMS-07V</v>
          </cell>
          <cell r="G2509" t="str">
            <v>TPA</v>
          </cell>
          <cell r="H2509" t="str">
            <v>TPA0108</v>
          </cell>
        </row>
        <row r="2510">
          <cell r="F2510" t="str">
            <v>YLS-10V</v>
          </cell>
          <cell r="G2510" t="str">
            <v>TPA</v>
          </cell>
          <cell r="H2510" t="str">
            <v>TPA0106</v>
          </cell>
        </row>
        <row r="2511">
          <cell r="F2511" t="str">
            <v>XMS-02V</v>
          </cell>
          <cell r="G2511" t="str">
            <v>TPA</v>
          </cell>
          <cell r="H2511" t="str">
            <v>TPA0105</v>
          </cell>
        </row>
        <row r="2512">
          <cell r="F2512" t="str">
            <v>MG634487-2</v>
          </cell>
          <cell r="G2512" t="str">
            <v>TPA</v>
          </cell>
          <cell r="H2512" t="str">
            <v>TPA0104</v>
          </cell>
        </row>
        <row r="2513">
          <cell r="F2513" t="str">
            <v>YH396-06VRT(BL)</v>
          </cell>
          <cell r="G2513" t="str">
            <v>TPA</v>
          </cell>
          <cell r="H2513" t="str">
            <v>TPA0103</v>
          </cell>
        </row>
        <row r="2514">
          <cell r="F2514" t="str">
            <v>PWBS-03V</v>
          </cell>
          <cell r="G2514" t="str">
            <v>TPA</v>
          </cell>
          <cell r="H2514" t="str">
            <v>TPA0102</v>
          </cell>
        </row>
        <row r="2515">
          <cell r="F2515" t="str">
            <v>49627-0382</v>
          </cell>
          <cell r="G2515" t="str">
            <v>TPA</v>
          </cell>
          <cell r="H2515" t="str">
            <v>TPA0100</v>
          </cell>
        </row>
        <row r="2516">
          <cell r="F2516" t="str">
            <v>49627-0682</v>
          </cell>
          <cell r="G2516" t="str">
            <v>TPA</v>
          </cell>
          <cell r="H2516" t="str">
            <v>TPA0099</v>
          </cell>
        </row>
        <row r="2517">
          <cell r="F2517" t="str">
            <v>49626-0582</v>
          </cell>
          <cell r="G2517" t="str">
            <v>TPA</v>
          </cell>
          <cell r="H2517" t="str">
            <v>TPA0096</v>
          </cell>
        </row>
        <row r="2518">
          <cell r="F2518" t="str">
            <v>49625-0582</v>
          </cell>
          <cell r="G2518" t="str">
            <v>TPA</v>
          </cell>
          <cell r="H2518" t="str">
            <v>TPA0095</v>
          </cell>
        </row>
        <row r="2519">
          <cell r="F2519" t="str">
            <v>PWBS-02V</v>
          </cell>
          <cell r="G2519" t="str">
            <v>TPA</v>
          </cell>
          <cell r="H2519" t="str">
            <v>TPA0094</v>
          </cell>
        </row>
        <row r="2520">
          <cell r="F2520" t="str">
            <v>SMH250-06IRT(RE)</v>
          </cell>
          <cell r="G2520" t="str">
            <v>TPA</v>
          </cell>
          <cell r="H2520" t="str">
            <v>TPA0091</v>
          </cell>
        </row>
        <row r="2521">
          <cell r="F2521" t="str">
            <v>90019HS-03BRT(RE)</v>
          </cell>
          <cell r="G2521" t="str">
            <v>TPA</v>
          </cell>
          <cell r="H2521" t="str">
            <v>TPA0090</v>
          </cell>
        </row>
        <row r="2522">
          <cell r="F2522" t="str">
            <v>50016HS-02BRT</v>
          </cell>
          <cell r="G2522" t="str">
            <v>TPA</v>
          </cell>
          <cell r="H2522" t="str">
            <v>TPA0089</v>
          </cell>
        </row>
        <row r="2523">
          <cell r="F2523" t="str">
            <v>49543-0892</v>
          </cell>
          <cell r="G2523" t="str">
            <v>TPA</v>
          </cell>
          <cell r="H2523" t="str">
            <v>TPA0088</v>
          </cell>
        </row>
        <row r="2524">
          <cell r="F2524" t="str">
            <v>49543-1692</v>
          </cell>
          <cell r="G2524" t="str">
            <v>TPA</v>
          </cell>
          <cell r="H2524" t="str">
            <v>TPA0087</v>
          </cell>
        </row>
        <row r="2525">
          <cell r="F2525" t="str">
            <v>MG631535-2</v>
          </cell>
          <cell r="G2525" t="str">
            <v>TPA</v>
          </cell>
          <cell r="H2525" t="str">
            <v>TPA0086</v>
          </cell>
        </row>
        <row r="2526">
          <cell r="F2526" t="str">
            <v>MG631165-2</v>
          </cell>
          <cell r="G2526" t="str">
            <v>TPA</v>
          </cell>
          <cell r="H2526" t="str">
            <v>TPA0085</v>
          </cell>
        </row>
        <row r="2527">
          <cell r="F2527" t="str">
            <v>177919-1</v>
          </cell>
          <cell r="G2527" t="str">
            <v>TPA</v>
          </cell>
          <cell r="H2527" t="str">
            <v>TPA0084</v>
          </cell>
        </row>
        <row r="2528">
          <cell r="F2528" t="str">
            <v>1565090-1</v>
          </cell>
          <cell r="G2528" t="str">
            <v>TPA</v>
          </cell>
          <cell r="H2528" t="str">
            <v>TPA0083</v>
          </cell>
        </row>
        <row r="2529">
          <cell r="F2529" t="str">
            <v>GME-T07-M03</v>
          </cell>
          <cell r="G2529" t="str">
            <v>TPA</v>
          </cell>
          <cell r="H2529" t="str">
            <v>TPA0082</v>
          </cell>
        </row>
        <row r="2530">
          <cell r="F2530" t="str">
            <v>SMH250J-12RT(RE)</v>
          </cell>
          <cell r="G2530" t="str">
            <v>TPA</v>
          </cell>
          <cell r="H2530" t="str">
            <v>TPA0080</v>
          </cell>
        </row>
        <row r="2531">
          <cell r="F2531" t="str">
            <v>49544-1692</v>
          </cell>
          <cell r="G2531" t="str">
            <v>TPA</v>
          </cell>
          <cell r="H2531" t="str">
            <v>TPA0078</v>
          </cell>
        </row>
        <row r="2532">
          <cell r="F2532" t="str">
            <v>49545-1692</v>
          </cell>
          <cell r="G2532" t="str">
            <v>TPA</v>
          </cell>
          <cell r="H2532" t="str">
            <v>TPA0077</v>
          </cell>
        </row>
        <row r="2533">
          <cell r="F2533" t="str">
            <v>49545-0892</v>
          </cell>
          <cell r="G2533" t="str">
            <v>TPA</v>
          </cell>
          <cell r="H2533" t="str">
            <v>TPA0076</v>
          </cell>
        </row>
        <row r="2534">
          <cell r="F2534" t="str">
            <v>49544-0892</v>
          </cell>
          <cell r="G2534" t="str">
            <v>TPA</v>
          </cell>
          <cell r="H2534" t="str">
            <v>TPA0075</v>
          </cell>
        </row>
        <row r="2535">
          <cell r="F2535" t="str">
            <v>49518-0392</v>
          </cell>
          <cell r="G2535" t="str">
            <v>TPA</v>
          </cell>
          <cell r="H2535" t="str">
            <v>TPA0065</v>
          </cell>
        </row>
        <row r="2536">
          <cell r="F2536" t="str">
            <v>YLS-03V</v>
          </cell>
          <cell r="G2536" t="str">
            <v>TPA</v>
          </cell>
          <cell r="H2536" t="str">
            <v>TPA0064</v>
          </cell>
        </row>
        <row r="2537">
          <cell r="F2537" t="str">
            <v>49543-1492</v>
          </cell>
          <cell r="G2537" t="str">
            <v>TPA</v>
          </cell>
          <cell r="H2537" t="str">
            <v>TPA0059</v>
          </cell>
        </row>
        <row r="2538">
          <cell r="F2538" t="str">
            <v>49545-1492</v>
          </cell>
          <cell r="G2538" t="str">
            <v>TPA</v>
          </cell>
          <cell r="H2538" t="str">
            <v>TPA0058</v>
          </cell>
        </row>
        <row r="2539">
          <cell r="F2539" t="str">
            <v>49544-1492</v>
          </cell>
          <cell r="G2539" t="str">
            <v>TPA</v>
          </cell>
          <cell r="H2539" t="str">
            <v>TPA0057</v>
          </cell>
        </row>
        <row r="2540">
          <cell r="F2540" t="str">
            <v>YLS-16V</v>
          </cell>
          <cell r="G2540" t="str">
            <v>TPA</v>
          </cell>
          <cell r="H2540" t="str">
            <v>TPA0056</v>
          </cell>
        </row>
        <row r="2541">
          <cell r="F2541" t="str">
            <v>35965-0292</v>
          </cell>
          <cell r="G2541" t="str">
            <v>TPA</v>
          </cell>
          <cell r="H2541" t="str">
            <v>TPA0052</v>
          </cell>
        </row>
        <row r="2542">
          <cell r="F2542" t="str">
            <v>SMH250J-15RT(RE)</v>
          </cell>
          <cell r="G2542" t="str">
            <v>TPA</v>
          </cell>
          <cell r="H2542" t="str">
            <v>TPA0051</v>
          </cell>
        </row>
        <row r="2543">
          <cell r="F2543" t="str">
            <v>MG631229-5</v>
          </cell>
          <cell r="G2543" t="str">
            <v>TPA</v>
          </cell>
          <cell r="H2543" t="str">
            <v>TPA0050</v>
          </cell>
        </row>
        <row r="2544">
          <cell r="F2544" t="str">
            <v>MG631171-2</v>
          </cell>
          <cell r="G2544" t="str">
            <v>TPA</v>
          </cell>
          <cell r="H2544" t="str">
            <v>TPA0048</v>
          </cell>
        </row>
        <row r="2545">
          <cell r="F2545" t="str">
            <v>MG631168-2</v>
          </cell>
          <cell r="G2545" t="str">
            <v>TPA</v>
          </cell>
          <cell r="H2545" t="str">
            <v>TPA0045</v>
          </cell>
        </row>
        <row r="2546">
          <cell r="F2546" t="str">
            <v>35182-0392</v>
          </cell>
          <cell r="G2546" t="str">
            <v>TPA</v>
          </cell>
          <cell r="H2546" t="str">
            <v>TPA0044</v>
          </cell>
        </row>
        <row r="2547">
          <cell r="F2547" t="str">
            <v>35182-0292</v>
          </cell>
          <cell r="G2547" t="str">
            <v>TPA</v>
          </cell>
          <cell r="H2547" t="str">
            <v>TPA0043</v>
          </cell>
        </row>
        <row r="2548">
          <cell r="F2548" t="str">
            <v>35150-0392</v>
          </cell>
          <cell r="G2548" t="str">
            <v>TPA</v>
          </cell>
          <cell r="H2548" t="str">
            <v>TPA0042</v>
          </cell>
        </row>
        <row r="2549">
          <cell r="F2549" t="str">
            <v>35150-0292</v>
          </cell>
          <cell r="G2549" t="str">
            <v>TPA</v>
          </cell>
          <cell r="H2549" t="str">
            <v>TPA0041</v>
          </cell>
        </row>
        <row r="2550">
          <cell r="F2550" t="str">
            <v>35150-0290</v>
          </cell>
          <cell r="G2550" t="str">
            <v>TPA</v>
          </cell>
          <cell r="H2550" t="str">
            <v>TPA0040</v>
          </cell>
        </row>
        <row r="2551">
          <cell r="F2551" t="str">
            <v>SMH250J-14RT(RE)</v>
          </cell>
          <cell r="G2551" t="str">
            <v>TPA</v>
          </cell>
          <cell r="H2551" t="str">
            <v>TPA0039</v>
          </cell>
        </row>
        <row r="2552">
          <cell r="F2552" t="str">
            <v>SMH250J-13RT(RE)</v>
          </cell>
          <cell r="G2552" t="str">
            <v>TPA</v>
          </cell>
          <cell r="H2552" t="str">
            <v>TPA0038</v>
          </cell>
        </row>
        <row r="2553">
          <cell r="F2553" t="str">
            <v>SMH250J-11RT(RE)</v>
          </cell>
          <cell r="G2553" t="str">
            <v>TPA</v>
          </cell>
          <cell r="H2553" t="str">
            <v>TPA0037</v>
          </cell>
        </row>
        <row r="2554">
          <cell r="F2554" t="str">
            <v>SMH250J-10RT(RE)</v>
          </cell>
          <cell r="G2554" t="str">
            <v>TPA</v>
          </cell>
          <cell r="H2554" t="str">
            <v>TPA0036</v>
          </cell>
        </row>
        <row r="2555">
          <cell r="F2555" t="str">
            <v>SMH250J-08RT(RE)</v>
          </cell>
          <cell r="G2555" t="str">
            <v>TPA</v>
          </cell>
          <cell r="H2555" t="str">
            <v>TPA0035</v>
          </cell>
        </row>
        <row r="2556">
          <cell r="F2556" t="str">
            <v>SMH250J-07RT(RE)</v>
          </cell>
          <cell r="G2556" t="str">
            <v>TPA</v>
          </cell>
          <cell r="H2556" t="str">
            <v>TPA0034</v>
          </cell>
        </row>
        <row r="2557">
          <cell r="F2557" t="str">
            <v>SMH250J-06RT(RE)</v>
          </cell>
          <cell r="G2557" t="str">
            <v>TPA</v>
          </cell>
          <cell r="H2557" t="str">
            <v>TPA0033</v>
          </cell>
        </row>
        <row r="2558">
          <cell r="F2558" t="str">
            <v>SMH250J-05RT(RE)</v>
          </cell>
          <cell r="G2558" t="str">
            <v>TPA</v>
          </cell>
          <cell r="H2558" t="str">
            <v>TPA0032</v>
          </cell>
        </row>
        <row r="2559">
          <cell r="F2559" t="str">
            <v>SMH250J-04RT(RE)</v>
          </cell>
          <cell r="G2559" t="str">
            <v>TPA</v>
          </cell>
          <cell r="H2559" t="str">
            <v>TPA0031</v>
          </cell>
        </row>
        <row r="2560">
          <cell r="F2560" t="str">
            <v>SMH250J-03RT(RE)</v>
          </cell>
          <cell r="G2560" t="str">
            <v>TPA</v>
          </cell>
          <cell r="H2560" t="str">
            <v>TPA0030</v>
          </cell>
        </row>
        <row r="2561">
          <cell r="F2561" t="str">
            <v>SMH250J-02RT(RE)</v>
          </cell>
          <cell r="G2561" t="str">
            <v>TPA</v>
          </cell>
          <cell r="H2561" t="str">
            <v>TPA0029</v>
          </cell>
        </row>
        <row r="2562">
          <cell r="F2562" t="str">
            <v>YH396-13VRT(BL)</v>
          </cell>
          <cell r="G2562" t="str">
            <v>TPA</v>
          </cell>
          <cell r="H2562" t="str">
            <v>TPA0026</v>
          </cell>
        </row>
        <row r="2563">
          <cell r="F2563" t="str">
            <v>YH396-11VRT(BL)</v>
          </cell>
          <cell r="G2563" t="str">
            <v>TPA</v>
          </cell>
          <cell r="H2563" t="str">
            <v>TPA0025</v>
          </cell>
        </row>
        <row r="2564">
          <cell r="F2564" t="str">
            <v>YH396-09VRT(BL)</v>
          </cell>
          <cell r="G2564" t="str">
            <v>TPA</v>
          </cell>
          <cell r="H2564" t="str">
            <v>TPA0024</v>
          </cell>
        </row>
        <row r="2565">
          <cell r="F2565" t="str">
            <v>YH396-07VRT(BL)</v>
          </cell>
          <cell r="G2565" t="str">
            <v>TPA</v>
          </cell>
          <cell r="H2565" t="str">
            <v>TPA0023</v>
          </cell>
        </row>
        <row r="2566">
          <cell r="F2566" t="str">
            <v>YH396-05VRT(BL)</v>
          </cell>
          <cell r="G2566" t="str">
            <v>TPA</v>
          </cell>
          <cell r="H2566" t="str">
            <v>TPA0022</v>
          </cell>
        </row>
        <row r="2567">
          <cell r="F2567" t="str">
            <v>YH396-15VRT(BL)</v>
          </cell>
          <cell r="G2567" t="str">
            <v>TPA</v>
          </cell>
          <cell r="H2567" t="str">
            <v>TPA0020</v>
          </cell>
        </row>
        <row r="2568">
          <cell r="F2568" t="str">
            <v>YH396-03VRT(BL)</v>
          </cell>
          <cell r="G2568" t="str">
            <v>TPA</v>
          </cell>
          <cell r="H2568" t="str">
            <v>TPA0019</v>
          </cell>
        </row>
        <row r="2569">
          <cell r="F2569" t="str">
            <v>XMS-15V</v>
          </cell>
          <cell r="G2569" t="str">
            <v>TPA</v>
          </cell>
          <cell r="H2569" t="str">
            <v>TPA0018</v>
          </cell>
        </row>
        <row r="2570">
          <cell r="F2570" t="str">
            <v>XMS-06V</v>
          </cell>
          <cell r="G2570" t="str">
            <v>TPA</v>
          </cell>
          <cell r="H2570" t="str">
            <v>TPA0016</v>
          </cell>
        </row>
        <row r="2571">
          <cell r="F2571" t="str">
            <v>XMS-11V</v>
          </cell>
          <cell r="G2571" t="str">
            <v>TPA</v>
          </cell>
          <cell r="H2571" t="str">
            <v>TPA0015</v>
          </cell>
        </row>
        <row r="2572">
          <cell r="F2572" t="str">
            <v>HLS-03V</v>
          </cell>
          <cell r="G2572" t="str">
            <v>TPA</v>
          </cell>
          <cell r="H2572" t="str">
            <v>TPA0014</v>
          </cell>
        </row>
        <row r="2573">
          <cell r="F2573" t="str">
            <v>XMS-13V</v>
          </cell>
          <cell r="G2573" t="str">
            <v>TPA</v>
          </cell>
          <cell r="H2573" t="str">
            <v>TPA0013</v>
          </cell>
        </row>
        <row r="2574">
          <cell r="F2574" t="str">
            <v>YLS-20V</v>
          </cell>
          <cell r="G2574" t="str">
            <v>TPA</v>
          </cell>
          <cell r="H2574" t="str">
            <v>TPA0012</v>
          </cell>
        </row>
        <row r="2575">
          <cell r="F2575" t="str">
            <v>HLS-02V</v>
          </cell>
          <cell r="G2575" t="str">
            <v>TPA</v>
          </cell>
          <cell r="H2575" t="str">
            <v>TPA0011</v>
          </cell>
        </row>
        <row r="2576">
          <cell r="F2576" t="str">
            <v>XMS-12V</v>
          </cell>
          <cell r="G2576" t="str">
            <v>TPA</v>
          </cell>
          <cell r="H2576" t="str">
            <v>TPA0008</v>
          </cell>
        </row>
        <row r="2577">
          <cell r="F2577" t="str">
            <v>XMS-10V</v>
          </cell>
          <cell r="G2577" t="str">
            <v>TPA</v>
          </cell>
          <cell r="H2577" t="str">
            <v>TPA0007</v>
          </cell>
        </row>
        <row r="2578">
          <cell r="F2578" t="str">
            <v>YLS-08V</v>
          </cell>
          <cell r="G2578" t="str">
            <v>TPA</v>
          </cell>
          <cell r="H2578" t="str">
            <v>TPA0005</v>
          </cell>
        </row>
        <row r="2579">
          <cell r="F2579" t="str">
            <v>YLS-02V</v>
          </cell>
          <cell r="G2579" t="str">
            <v>TPA</v>
          </cell>
          <cell r="H2579" t="str">
            <v>TPA0004</v>
          </cell>
        </row>
        <row r="2580">
          <cell r="F2580" t="str">
            <v>SMH250J-09RT(RE)</v>
          </cell>
          <cell r="G2580" t="str">
            <v>TPA</v>
          </cell>
          <cell r="H2580" t="str">
            <v>TPA0003</v>
          </cell>
        </row>
        <row r="2581">
          <cell r="F2581" t="str">
            <v>YLS-12V</v>
          </cell>
          <cell r="G2581" t="str">
            <v>TPA</v>
          </cell>
          <cell r="H2581" t="str">
            <v>TPA0002</v>
          </cell>
        </row>
        <row r="2582">
          <cell r="F2582" t="str">
            <v>XMS-04V</v>
          </cell>
          <cell r="G2582" t="str">
            <v>TPA</v>
          </cell>
          <cell r="H2582" t="str">
            <v>TPA0001</v>
          </cell>
        </row>
        <row r="2583">
          <cell r="F2583" t="str">
            <v>33012-3003</v>
          </cell>
          <cell r="G2583" t="str">
            <v>TERMINAL</v>
          </cell>
          <cell r="H2583" t="str">
            <v>TMK11MX1L6SN</v>
          </cell>
        </row>
        <row r="2584">
          <cell r="F2584" t="str">
            <v>4011-0046</v>
          </cell>
          <cell r="G2584" t="str">
            <v>TERMINAL</v>
          </cell>
          <cell r="H2584" t="str">
            <v>TKYMM02502SN</v>
          </cell>
        </row>
        <row r="2585">
          <cell r="F2585" t="str">
            <v>4021-0049</v>
          </cell>
          <cell r="G2585" t="str">
            <v>TERMINAL</v>
          </cell>
          <cell r="H2585" t="str">
            <v>TKYMM02501SN</v>
          </cell>
        </row>
        <row r="2586">
          <cell r="F2586" t="str">
            <v>TKC56-11022</v>
          </cell>
          <cell r="G2586" t="str">
            <v>TERMINAL</v>
          </cell>
          <cell r="H2586" t="str">
            <v>TKY5611002SN</v>
          </cell>
        </row>
        <row r="2587">
          <cell r="F2587" t="str">
            <v>TKC56-11012</v>
          </cell>
          <cell r="G2587" t="str">
            <v>TERMINAL</v>
          </cell>
          <cell r="H2587" t="str">
            <v>TKY5611001SN</v>
          </cell>
        </row>
        <row r="2588">
          <cell r="F2588" t="str">
            <v>TKC34-11022</v>
          </cell>
          <cell r="G2588" t="str">
            <v>TERMINAL</v>
          </cell>
          <cell r="H2588" t="str">
            <v>TKY3411002SN</v>
          </cell>
        </row>
        <row r="2589">
          <cell r="F2589" t="str">
            <v>TKC33-12222</v>
          </cell>
          <cell r="G2589" t="str">
            <v>TERMINAL</v>
          </cell>
          <cell r="H2589" t="str">
            <v>TKY3305006SN</v>
          </cell>
        </row>
        <row r="2590">
          <cell r="F2590" t="str">
            <v>TKC12-11022</v>
          </cell>
          <cell r="G2590" t="str">
            <v>TERMINAL</v>
          </cell>
          <cell r="H2590" t="str">
            <v>TKY1211002SN</v>
          </cell>
        </row>
        <row r="2591">
          <cell r="F2591" t="str">
            <v>TKC12-12222</v>
          </cell>
          <cell r="G2591" t="str">
            <v>TERMINAL</v>
          </cell>
          <cell r="H2591" t="str">
            <v>TKY1205006SN</v>
          </cell>
        </row>
        <row r="2592">
          <cell r="F2592" t="str">
            <v>TKC12-B6422</v>
          </cell>
          <cell r="G2592" t="str">
            <v>TERMINAL</v>
          </cell>
          <cell r="H2592" t="str">
            <v>TKY12025C2SN</v>
          </cell>
        </row>
        <row r="2593">
          <cell r="F2593" t="str">
            <v>TKC12-B6412</v>
          </cell>
          <cell r="G2593" t="str">
            <v>TERMINAL</v>
          </cell>
          <cell r="H2593" t="str">
            <v>TKY12025C1SN</v>
          </cell>
        </row>
        <row r="2594">
          <cell r="F2594" t="str">
            <v>TKC12-12722</v>
          </cell>
          <cell r="G2594" t="str">
            <v>TERMINAL</v>
          </cell>
          <cell r="H2594" t="str">
            <v>TKY1202506SN</v>
          </cell>
        </row>
        <row r="2595">
          <cell r="F2595" t="str">
            <v>TKC12-12712</v>
          </cell>
          <cell r="G2595" t="str">
            <v>TERMINAL</v>
          </cell>
          <cell r="H2595" t="str">
            <v>TKY1202505SN</v>
          </cell>
        </row>
        <row r="2596">
          <cell r="F2596" t="str">
            <v>TP105-00400</v>
          </cell>
          <cell r="G2596" t="str">
            <v>TERMINAL</v>
          </cell>
          <cell r="H2596" t="str">
            <v>TKUMMTWP06SN</v>
          </cell>
        </row>
        <row r="2597">
          <cell r="F2597" t="str">
            <v>TK196-00400</v>
          </cell>
          <cell r="G2597" t="str">
            <v>TERMINAL</v>
          </cell>
          <cell r="H2597" t="str">
            <v>TKUMMMMC22SN</v>
          </cell>
        </row>
        <row r="2598">
          <cell r="F2598" t="str">
            <v>MT240-01400</v>
          </cell>
          <cell r="G2598" t="str">
            <v>TERMINAL</v>
          </cell>
          <cell r="H2598" t="str">
            <v>TKU88SPLI0BR</v>
          </cell>
        </row>
        <row r="2599">
          <cell r="F2599" t="str">
            <v>MT240-01200</v>
          </cell>
          <cell r="G2599" t="str">
            <v>TERMINAL</v>
          </cell>
          <cell r="H2599" t="str">
            <v>TKU66SPLI0BR</v>
          </cell>
        </row>
        <row r="2600">
          <cell r="F2600" t="str">
            <v>TP165-00300</v>
          </cell>
          <cell r="G2600" t="str">
            <v>TERMINAL</v>
          </cell>
          <cell r="H2600" t="str">
            <v>TKU56NWP06SN</v>
          </cell>
        </row>
        <row r="2601">
          <cell r="F2601" t="str">
            <v>TP161-00300</v>
          </cell>
          <cell r="G2601" t="str">
            <v>TERMINAL</v>
          </cell>
          <cell r="H2601" t="str">
            <v>TKU56NWP05SN</v>
          </cell>
        </row>
        <row r="2602">
          <cell r="F2602" t="str">
            <v>TK206-00200</v>
          </cell>
          <cell r="G2602" t="str">
            <v>TERMINAL</v>
          </cell>
          <cell r="H2602" t="str">
            <v>TKU44NIC02SN</v>
          </cell>
        </row>
        <row r="2603">
          <cell r="F2603" t="str">
            <v>MT091-40230</v>
          </cell>
          <cell r="G2603" t="str">
            <v>TERMINAL</v>
          </cell>
          <cell r="H2603" t="str">
            <v>TKU35WWP05SN</v>
          </cell>
        </row>
        <row r="2604">
          <cell r="F2604" t="str">
            <v>TK225-00200</v>
          </cell>
          <cell r="G2604" t="str">
            <v>TERMINAL</v>
          </cell>
          <cell r="H2604" t="str">
            <v>TKU34NSC02SN</v>
          </cell>
        </row>
        <row r="2605">
          <cell r="F2605" t="str">
            <v>MT095-63280</v>
          </cell>
          <cell r="G2605" t="str">
            <v>TERMINAL</v>
          </cell>
          <cell r="H2605" t="str">
            <v>TKU34NMWP6SN</v>
          </cell>
        </row>
        <row r="2606">
          <cell r="F2606" t="str">
            <v>MT091-63280</v>
          </cell>
          <cell r="G2606" t="str">
            <v>TERMINAL</v>
          </cell>
          <cell r="H2606" t="str">
            <v>TKU34NMWP5SN</v>
          </cell>
        </row>
        <row r="2607">
          <cell r="F2607" t="str">
            <v>TK205-00200</v>
          </cell>
          <cell r="G2607" t="str">
            <v>TERMINAL</v>
          </cell>
          <cell r="H2607" t="str">
            <v>TKU34NIC02SN</v>
          </cell>
        </row>
        <row r="2608">
          <cell r="F2608" t="str">
            <v>TK201-00200</v>
          </cell>
          <cell r="G2608" t="str">
            <v>TERMINAL</v>
          </cell>
          <cell r="H2608" t="str">
            <v>TKU34NIC01SN</v>
          </cell>
        </row>
        <row r="2609">
          <cell r="F2609" t="str">
            <v>MT095-29880</v>
          </cell>
          <cell r="G2609" t="str">
            <v>TERMINAL</v>
          </cell>
          <cell r="H2609" t="str">
            <v>TKU34CDR02SN</v>
          </cell>
        </row>
        <row r="2610">
          <cell r="F2610" t="str">
            <v>MT091-29830</v>
          </cell>
          <cell r="G2610" t="str">
            <v>TERMINAL</v>
          </cell>
          <cell r="H2610" t="str">
            <v>TKU34CDR01SN</v>
          </cell>
        </row>
        <row r="2611">
          <cell r="F2611" t="str">
            <v>TP135-00200</v>
          </cell>
          <cell r="G2611" t="str">
            <v>TERMINAL</v>
          </cell>
          <cell r="H2611" t="str">
            <v>TKU34AWP06SN</v>
          </cell>
        </row>
        <row r="2612">
          <cell r="F2612" t="str">
            <v>TP131-00200</v>
          </cell>
          <cell r="G2612" t="str">
            <v>TERMINAL</v>
          </cell>
          <cell r="H2612" t="str">
            <v>TKU34AWP05SN</v>
          </cell>
        </row>
        <row r="2613">
          <cell r="F2613" t="str">
            <v>TN025-00200</v>
          </cell>
          <cell r="G2613" t="str">
            <v>TERMINAL</v>
          </cell>
          <cell r="H2613" t="str">
            <v>TKU33NMWP6SN</v>
          </cell>
        </row>
        <row r="2614">
          <cell r="F2614" t="str">
            <v>TN021-00200</v>
          </cell>
          <cell r="G2614" t="str">
            <v>TERMINAL</v>
          </cell>
          <cell r="H2614" t="str">
            <v>TKU33NMWP5SN</v>
          </cell>
        </row>
        <row r="2615">
          <cell r="F2615" t="str">
            <v>TN021-00210</v>
          </cell>
          <cell r="G2615" t="str">
            <v>TERMINAL</v>
          </cell>
          <cell r="H2615" t="str">
            <v>TKU33NMWP5AU</v>
          </cell>
        </row>
        <row r="2616">
          <cell r="F2616" t="str">
            <v>TK206-00100</v>
          </cell>
          <cell r="G2616" t="str">
            <v>TERMINAL</v>
          </cell>
          <cell r="H2616" t="str">
            <v>TKU33NIC02SN</v>
          </cell>
        </row>
        <row r="2617">
          <cell r="F2617" t="str">
            <v>TP035-00100</v>
          </cell>
          <cell r="G2617" t="str">
            <v>TERMINAL</v>
          </cell>
          <cell r="H2617" t="str">
            <v>TKU12XWP06SN</v>
          </cell>
        </row>
        <row r="2618">
          <cell r="F2618" t="str">
            <v>MT091-40030</v>
          </cell>
          <cell r="G2618" t="str">
            <v>TERMINAL</v>
          </cell>
          <cell r="H2618" t="str">
            <v>TKU12WWP05SN</v>
          </cell>
        </row>
        <row r="2619">
          <cell r="F2619" t="str">
            <v>TP231-00200</v>
          </cell>
          <cell r="G2619" t="str">
            <v>TERMINAL</v>
          </cell>
          <cell r="H2619" t="str">
            <v>TKU12TWP25SN</v>
          </cell>
        </row>
        <row r="2620">
          <cell r="F2620" t="str">
            <v>TP105-00100</v>
          </cell>
          <cell r="G2620" t="str">
            <v>TERMINAL</v>
          </cell>
          <cell r="H2620" t="str">
            <v>TKU12TWP06SN</v>
          </cell>
        </row>
        <row r="2621">
          <cell r="F2621" t="str">
            <v>TP165-00100</v>
          </cell>
          <cell r="G2621" t="str">
            <v>TERMINAL</v>
          </cell>
          <cell r="H2621" t="str">
            <v>TKU12NWP06SN</v>
          </cell>
        </row>
        <row r="2622">
          <cell r="F2622" t="str">
            <v>TP161-00100</v>
          </cell>
          <cell r="G2622" t="str">
            <v>TERMINAL</v>
          </cell>
          <cell r="H2622" t="str">
            <v>TKU12NWP05SN</v>
          </cell>
        </row>
        <row r="2623">
          <cell r="F2623" t="str">
            <v>TK225-00100</v>
          </cell>
          <cell r="G2623" t="str">
            <v>TERMINAL</v>
          </cell>
          <cell r="H2623" t="str">
            <v>TKU12NSC02SN</v>
          </cell>
        </row>
        <row r="2624">
          <cell r="F2624" t="str">
            <v>MT095-63080</v>
          </cell>
          <cell r="G2624" t="str">
            <v>TERMINAL</v>
          </cell>
          <cell r="H2624" t="str">
            <v>TKU12NMWP6SN</v>
          </cell>
        </row>
        <row r="2625">
          <cell r="F2625" t="str">
            <v>MT091-63080</v>
          </cell>
          <cell r="G2625" t="str">
            <v>TERMINAL</v>
          </cell>
          <cell r="H2625" t="str">
            <v>TKU12NMWP5SN</v>
          </cell>
        </row>
        <row r="2626">
          <cell r="F2626" t="str">
            <v>TK205-00100</v>
          </cell>
          <cell r="G2626" t="str">
            <v>TERMINAL</v>
          </cell>
          <cell r="H2626" t="str">
            <v>TKU12NIC02SN</v>
          </cell>
        </row>
        <row r="2627">
          <cell r="F2627" t="str">
            <v>TK196-00100</v>
          </cell>
          <cell r="G2627" t="str">
            <v>TERMINAL</v>
          </cell>
          <cell r="H2627" t="str">
            <v>TKU12MMC22SN</v>
          </cell>
        </row>
        <row r="2628">
          <cell r="F2628" t="str">
            <v>TK195-00100</v>
          </cell>
          <cell r="G2628" t="str">
            <v>TERMINAL</v>
          </cell>
          <cell r="H2628" t="str">
            <v>TKU12MMC02SN</v>
          </cell>
        </row>
        <row r="2629">
          <cell r="F2629" t="str">
            <v>MT091-29030</v>
          </cell>
          <cell r="G2629" t="str">
            <v>TERMINAL</v>
          </cell>
          <cell r="H2629" t="str">
            <v>TKU12CDR01SN</v>
          </cell>
        </row>
        <row r="2630">
          <cell r="F2630" t="str">
            <v>TP135-00100</v>
          </cell>
          <cell r="G2630" t="str">
            <v>TERMINAL</v>
          </cell>
          <cell r="H2630" t="str">
            <v>TKU12AWP06SN</v>
          </cell>
        </row>
        <row r="2631">
          <cell r="F2631" t="str">
            <v>TP131-00100</v>
          </cell>
          <cell r="G2631" t="str">
            <v>TERMINAL</v>
          </cell>
          <cell r="H2631" t="str">
            <v>TKU12AWP05SN</v>
          </cell>
        </row>
        <row r="2632">
          <cell r="F2632" t="str">
            <v>731367-3</v>
          </cell>
          <cell r="G2632" t="str">
            <v>TERMINAL</v>
          </cell>
          <cell r="H2632" t="str">
            <v>TKTMMN0606SN</v>
          </cell>
        </row>
        <row r="2633">
          <cell r="F2633" t="str">
            <v>731410-3</v>
          </cell>
          <cell r="G2633" t="str">
            <v>TERMINAL</v>
          </cell>
          <cell r="H2633" t="str">
            <v>TKTMMC2512SN</v>
          </cell>
        </row>
        <row r="2634">
          <cell r="F2634" t="str">
            <v>731410-7</v>
          </cell>
          <cell r="G2634" t="str">
            <v>TERMINAL</v>
          </cell>
          <cell r="H2634" t="str">
            <v>TKTMMC2512SM</v>
          </cell>
        </row>
        <row r="2635">
          <cell r="F2635" t="str">
            <v>ST741361-3</v>
          </cell>
          <cell r="G2635" t="str">
            <v>TERMINAL</v>
          </cell>
          <cell r="H2635" t="str">
            <v>TKTMMC2501SN</v>
          </cell>
        </row>
        <row r="2636">
          <cell r="F2636" t="str">
            <v>ST731005-3</v>
          </cell>
          <cell r="G2636" t="str">
            <v>TERMINAL</v>
          </cell>
          <cell r="H2636" t="str">
            <v>TKTMM91AA2SN</v>
          </cell>
        </row>
        <row r="2637">
          <cell r="F2637" t="str">
            <v>731334-3</v>
          </cell>
          <cell r="G2637" t="str">
            <v>TERMINAL</v>
          </cell>
          <cell r="H2637" t="str">
            <v>TKTMM06012SN</v>
          </cell>
        </row>
        <row r="2638">
          <cell r="F2638" t="str">
            <v>ST731374-3</v>
          </cell>
          <cell r="G2638" t="str">
            <v>TERMINAL</v>
          </cell>
          <cell r="H2638" t="str">
            <v>TKTMM02522SN</v>
          </cell>
        </row>
        <row r="2639">
          <cell r="F2639" t="str">
            <v>731054-3</v>
          </cell>
          <cell r="G2639" t="str">
            <v>TERMINAL</v>
          </cell>
          <cell r="H2639" t="str">
            <v>TKTMM02502SN</v>
          </cell>
        </row>
        <row r="2640">
          <cell r="F2640" t="str">
            <v>ST731535-3</v>
          </cell>
          <cell r="G2640" t="str">
            <v>TERMINAL</v>
          </cell>
          <cell r="H2640" t="str">
            <v>TKTMM020L2SN</v>
          </cell>
        </row>
        <row r="2641">
          <cell r="F2641" t="str">
            <v>ST731133-3</v>
          </cell>
          <cell r="G2641" t="str">
            <v>RING TERMINAL</v>
          </cell>
          <cell r="H2641" t="str">
            <v>TKTAB950W2SN</v>
          </cell>
        </row>
        <row r="2642">
          <cell r="F2642" t="str">
            <v>ST711352-3</v>
          </cell>
          <cell r="G2642" t="str">
            <v>RING TERMINAL</v>
          </cell>
          <cell r="H2642" t="str">
            <v>TKT88N64U0SN</v>
          </cell>
        </row>
        <row r="2643">
          <cell r="F2643" t="str">
            <v>ST730893-3</v>
          </cell>
          <cell r="G2643" t="str">
            <v>RING TERMINAL</v>
          </cell>
          <cell r="H2643" t="str">
            <v>TKT8831226SN</v>
          </cell>
        </row>
        <row r="2644">
          <cell r="F2644" t="str">
            <v>ST740668-3</v>
          </cell>
          <cell r="G2644" t="str">
            <v>RING TERMINAL</v>
          </cell>
          <cell r="H2644" t="str">
            <v>TKT8831225SN</v>
          </cell>
        </row>
        <row r="2645">
          <cell r="F2645" t="str">
            <v>ST710953-3</v>
          </cell>
          <cell r="G2645" t="str">
            <v>TERMINAL</v>
          </cell>
          <cell r="H2645" t="str">
            <v>TKT78RHTB0SN</v>
          </cell>
        </row>
        <row r="2646">
          <cell r="F2646" t="str">
            <v>ST731427-3</v>
          </cell>
          <cell r="G2646" t="str">
            <v>TERMINAL</v>
          </cell>
          <cell r="H2646" t="str">
            <v>TKT78N2512SN</v>
          </cell>
        </row>
        <row r="2647">
          <cell r="F2647" t="str">
            <v>ST710967-3</v>
          </cell>
          <cell r="G2647" t="str">
            <v>TERMINAL</v>
          </cell>
          <cell r="H2647" t="str">
            <v>TKT78LHTB0SN</v>
          </cell>
        </row>
        <row r="2648">
          <cell r="F2648" t="str">
            <v>711370-3</v>
          </cell>
          <cell r="G2648" t="str">
            <v>TERMINAL</v>
          </cell>
          <cell r="H2648" t="str">
            <v>TKT7864EL0SN</v>
          </cell>
        </row>
        <row r="2649">
          <cell r="F2649" t="str">
            <v>ST740539-3</v>
          </cell>
          <cell r="G2649" t="str">
            <v>TERMINAL</v>
          </cell>
          <cell r="H2649" t="str">
            <v>TKT7858L01SN</v>
          </cell>
        </row>
        <row r="2650">
          <cell r="F2650" t="str">
            <v>ST730652-3</v>
          </cell>
          <cell r="G2650" t="str">
            <v>TERMINAL</v>
          </cell>
          <cell r="H2650" t="str">
            <v>TKT7831226SN</v>
          </cell>
        </row>
        <row r="2651">
          <cell r="F2651" t="str">
            <v>ST740655-3</v>
          </cell>
          <cell r="G2651" t="str">
            <v>TERMINAL</v>
          </cell>
          <cell r="H2651" t="str">
            <v>TKT7831225SN</v>
          </cell>
        </row>
        <row r="2652">
          <cell r="F2652" t="str">
            <v>ST731485-3</v>
          </cell>
          <cell r="G2652" t="str">
            <v>TERMINAL</v>
          </cell>
          <cell r="H2652" t="str">
            <v>TKT7825006SN</v>
          </cell>
        </row>
        <row r="2653">
          <cell r="F2653" t="str">
            <v>ST711200-3</v>
          </cell>
          <cell r="G2653" t="str">
            <v>RING TERMINAL</v>
          </cell>
          <cell r="H2653" t="str">
            <v>TKT78064TLSN</v>
          </cell>
        </row>
        <row r="2654">
          <cell r="F2654" t="str">
            <v>ST710591-3</v>
          </cell>
          <cell r="G2654" t="str">
            <v>TERMINAL</v>
          </cell>
          <cell r="H2654" t="str">
            <v>TKT78064R0SN</v>
          </cell>
        </row>
        <row r="2655">
          <cell r="F2655" t="str">
            <v>ST711310-3</v>
          </cell>
          <cell r="G2655" t="str">
            <v>TERMINAL</v>
          </cell>
          <cell r="H2655" t="str">
            <v>TKT78064LSSN</v>
          </cell>
        </row>
        <row r="2656">
          <cell r="F2656" t="str">
            <v>ST760145-1(YR)</v>
          </cell>
          <cell r="G2656" t="str">
            <v>TERMINAL</v>
          </cell>
          <cell r="H2656" t="str">
            <v>TKT67SPLI0BR</v>
          </cell>
        </row>
        <row r="2657">
          <cell r="F2657" t="str">
            <v>ST741284-3</v>
          </cell>
          <cell r="G2657" t="str">
            <v>TERMINAL</v>
          </cell>
          <cell r="H2657" t="str">
            <v>TKT67SLBL1SN</v>
          </cell>
        </row>
        <row r="2658">
          <cell r="F2658" t="str">
            <v>ST711351-3</v>
          </cell>
          <cell r="G2658" t="str">
            <v>RING TERMINAL</v>
          </cell>
          <cell r="H2658" t="str">
            <v>TKT67N64U0SN</v>
          </cell>
        </row>
        <row r="2659">
          <cell r="F2659" t="str">
            <v>ST731428-3</v>
          </cell>
          <cell r="G2659" t="str">
            <v>TERMINAL</v>
          </cell>
          <cell r="H2659" t="str">
            <v>TKT67N2512SN</v>
          </cell>
        </row>
        <row r="2660">
          <cell r="F2660" t="str">
            <v>ST731423-3</v>
          </cell>
          <cell r="G2660" t="str">
            <v>TERMINAL</v>
          </cell>
          <cell r="H2660" t="str">
            <v>TKT67N1102SN</v>
          </cell>
        </row>
        <row r="2661">
          <cell r="F2661" t="str">
            <v>ST711365-3</v>
          </cell>
          <cell r="G2661" t="str">
            <v>RING TERMINAL</v>
          </cell>
          <cell r="H2661" t="str">
            <v>TKT6764TC0SN</v>
          </cell>
        </row>
        <row r="2662">
          <cell r="F2662" t="str">
            <v>ST711358-3</v>
          </cell>
          <cell r="G2662" t="str">
            <v>RING TERMINAL</v>
          </cell>
          <cell r="H2662" t="str">
            <v>TKT6764TA0SN</v>
          </cell>
        </row>
        <row r="2663">
          <cell r="F2663" t="str">
            <v>ST730722-3</v>
          </cell>
          <cell r="G2663" t="str">
            <v>TERMINAL</v>
          </cell>
          <cell r="H2663" t="str">
            <v>TKT6758L00SN</v>
          </cell>
        </row>
        <row r="2664">
          <cell r="F2664" t="str">
            <v>ST741021-3</v>
          </cell>
          <cell r="G2664" t="str">
            <v>TERMINAL</v>
          </cell>
          <cell r="H2664" t="str">
            <v>TKT67312C1SN</v>
          </cell>
        </row>
        <row r="2665">
          <cell r="F2665" t="str">
            <v>ST741420-3</v>
          </cell>
          <cell r="G2665" t="str">
            <v>TERMINAL</v>
          </cell>
          <cell r="H2665" t="str">
            <v>TKT6628005SN</v>
          </cell>
        </row>
        <row r="2666">
          <cell r="F2666" t="str">
            <v>ST741370-3</v>
          </cell>
          <cell r="G2666" t="str">
            <v>TERMINAL</v>
          </cell>
          <cell r="H2666" t="str">
            <v>TKT6625011SN</v>
          </cell>
        </row>
        <row r="2667">
          <cell r="F2667" t="str">
            <v>ST731508-3</v>
          </cell>
          <cell r="G2667" t="str">
            <v>TERMINAL</v>
          </cell>
          <cell r="H2667" t="str">
            <v>TKT6625006SN</v>
          </cell>
        </row>
        <row r="2668">
          <cell r="F2668" t="str">
            <v>ST710964-3</v>
          </cell>
          <cell r="G2668" t="str">
            <v>TERMINAL</v>
          </cell>
          <cell r="H2668" t="str">
            <v>TKT56RHTB0SN</v>
          </cell>
        </row>
        <row r="2669">
          <cell r="F2669" t="str">
            <v>ST711350-3</v>
          </cell>
          <cell r="G2669" t="str">
            <v>TERMINAL</v>
          </cell>
          <cell r="H2669" t="str">
            <v>TKT56N64U0SN</v>
          </cell>
        </row>
        <row r="2670">
          <cell r="F2670" t="str">
            <v>ST731209-3</v>
          </cell>
          <cell r="G2670" t="str">
            <v>TERMINAL</v>
          </cell>
          <cell r="H2670" t="str">
            <v>TKT56N2502SN</v>
          </cell>
        </row>
        <row r="2671">
          <cell r="F2671" t="str">
            <v>ST710952-3</v>
          </cell>
          <cell r="G2671" t="str">
            <v>RING TERMINAL</v>
          </cell>
          <cell r="H2671" t="str">
            <v>TKT56LHTB0SN</v>
          </cell>
        </row>
        <row r="2672">
          <cell r="F2672" t="str">
            <v>711364-3</v>
          </cell>
          <cell r="G2672" t="str">
            <v>RING TERMINAL</v>
          </cell>
          <cell r="H2672" t="str">
            <v>TKT5664TC0SN</v>
          </cell>
        </row>
        <row r="2673">
          <cell r="F2673" t="str">
            <v>ST711357-3</v>
          </cell>
          <cell r="G2673" t="str">
            <v>TERMINAL</v>
          </cell>
          <cell r="H2673" t="str">
            <v>TKT5664TA0SN</v>
          </cell>
        </row>
        <row r="2674">
          <cell r="F2674" t="str">
            <v>ST731282-3</v>
          </cell>
          <cell r="G2674" t="str">
            <v>TERMINAL</v>
          </cell>
          <cell r="H2674" t="str">
            <v>TKT5628006SN</v>
          </cell>
        </row>
        <row r="2675">
          <cell r="F2675" t="str">
            <v>ST731281-3</v>
          </cell>
          <cell r="G2675" t="str">
            <v>TERMINAL</v>
          </cell>
          <cell r="H2675" t="str">
            <v>TKT5611012SN</v>
          </cell>
        </row>
        <row r="2676">
          <cell r="F2676" t="str">
            <v>ST760149-1(YR)</v>
          </cell>
          <cell r="G2676" t="str">
            <v>TERMINAL</v>
          </cell>
          <cell r="H2676" t="str">
            <v>TKT55SPLI0BR</v>
          </cell>
        </row>
        <row r="2677">
          <cell r="F2677" t="str">
            <v>ST730723-3</v>
          </cell>
          <cell r="G2677" t="str">
            <v>TERMINAL</v>
          </cell>
          <cell r="H2677" t="str">
            <v>TKT5558L00SN</v>
          </cell>
        </row>
        <row r="2678">
          <cell r="F2678" t="str">
            <v>711199-3</v>
          </cell>
          <cell r="G2678" t="str">
            <v>TERMINAL</v>
          </cell>
          <cell r="H2678" t="str">
            <v>TKT46064TLSN</v>
          </cell>
        </row>
        <row r="2679">
          <cell r="F2679" t="str">
            <v>ST741283-3</v>
          </cell>
          <cell r="G2679" t="str">
            <v>TERMINAL</v>
          </cell>
          <cell r="H2679" t="str">
            <v>TKT45SLBL1SN</v>
          </cell>
        </row>
        <row r="2680">
          <cell r="F2680" t="str">
            <v>ST731429-3</v>
          </cell>
          <cell r="G2680" t="str">
            <v>TERMINAL</v>
          </cell>
          <cell r="H2680" t="str">
            <v>TKT45N2512SN</v>
          </cell>
        </row>
        <row r="2681">
          <cell r="F2681" t="str">
            <v>ST731210-3</v>
          </cell>
          <cell r="G2681" t="str">
            <v>TERMINAL</v>
          </cell>
          <cell r="H2681" t="str">
            <v>TKT45N2502SN</v>
          </cell>
        </row>
        <row r="2682">
          <cell r="F2682" t="str">
            <v>731424-3</v>
          </cell>
          <cell r="G2682" t="str">
            <v>TERMINAL</v>
          </cell>
          <cell r="H2682" t="str">
            <v>TKT45N1102SN</v>
          </cell>
        </row>
        <row r="2683">
          <cell r="F2683" t="str">
            <v>760320-1</v>
          </cell>
          <cell r="G2683" t="str">
            <v>TERMINAL</v>
          </cell>
          <cell r="H2683" t="str">
            <v>TKT44SPLI0BR</v>
          </cell>
        </row>
        <row r="2684">
          <cell r="F2684" t="str">
            <v>731495-3</v>
          </cell>
          <cell r="G2684" t="str">
            <v>TERMINAL</v>
          </cell>
          <cell r="H2684" t="str">
            <v>TKT44N11L2SN</v>
          </cell>
        </row>
        <row r="2685">
          <cell r="F2685" t="str">
            <v>ST731152-3</v>
          </cell>
          <cell r="G2685" t="str">
            <v>TERMINAL</v>
          </cell>
          <cell r="H2685" t="str">
            <v>TKT4428006SN</v>
          </cell>
        </row>
        <row r="2686">
          <cell r="F2686" t="str">
            <v>ST731404-3</v>
          </cell>
          <cell r="G2686" t="str">
            <v>TERMINAL</v>
          </cell>
          <cell r="H2686" t="str">
            <v>TKT44090L2SN</v>
          </cell>
        </row>
        <row r="2687">
          <cell r="F2687" t="str">
            <v>ST731502-3</v>
          </cell>
          <cell r="G2687" t="str">
            <v>TERMINAL</v>
          </cell>
          <cell r="H2687" t="str">
            <v>TKT44070L2SN</v>
          </cell>
        </row>
        <row r="2688">
          <cell r="F2688" t="str">
            <v>731583-3</v>
          </cell>
          <cell r="G2688" t="str">
            <v>TERMINAL</v>
          </cell>
          <cell r="H2688" t="str">
            <v>TKT4406C22SN</v>
          </cell>
        </row>
        <row r="2689">
          <cell r="F2689" t="str">
            <v>731478-3</v>
          </cell>
          <cell r="G2689" t="str">
            <v>TERMINAL</v>
          </cell>
          <cell r="H2689" t="str">
            <v>TKT44060L2SN</v>
          </cell>
        </row>
        <row r="2690">
          <cell r="F2690" t="str">
            <v>ST710236-3(YR)</v>
          </cell>
          <cell r="G2690" t="str">
            <v>TERMINAL</v>
          </cell>
          <cell r="H2690" t="str">
            <v>TKT3506400SN</v>
          </cell>
        </row>
        <row r="2691">
          <cell r="F2691" t="str">
            <v>ST711346-3</v>
          </cell>
          <cell r="G2691" t="str">
            <v>RING TERMINAL</v>
          </cell>
          <cell r="H2691" t="str">
            <v>TKT34N64T0SN</v>
          </cell>
        </row>
        <row r="2692">
          <cell r="F2692" t="str">
            <v>ST710966-3</v>
          </cell>
          <cell r="G2692" t="str">
            <v>RING TERMINAL</v>
          </cell>
          <cell r="H2692" t="str">
            <v>TKT34LHTB0SN</v>
          </cell>
        </row>
        <row r="2693">
          <cell r="F2693" t="str">
            <v>ST731166-3</v>
          </cell>
          <cell r="G2693" t="str">
            <v>TERMINAL</v>
          </cell>
          <cell r="H2693" t="str">
            <v>TKT34C2502SN</v>
          </cell>
        </row>
        <row r="2694">
          <cell r="F2694" t="str">
            <v>ST731438-3</v>
          </cell>
          <cell r="G2694" t="str">
            <v>TERMINAL</v>
          </cell>
          <cell r="H2694" t="str">
            <v>TKT34C0616SN</v>
          </cell>
        </row>
        <row r="2695">
          <cell r="F2695" t="str">
            <v>ST741375-3</v>
          </cell>
          <cell r="G2695" t="str">
            <v>TERMINAL</v>
          </cell>
          <cell r="H2695" t="str">
            <v>TKT34C0615SN</v>
          </cell>
        </row>
        <row r="2696">
          <cell r="F2696" t="str">
            <v>731411-3</v>
          </cell>
          <cell r="G2696" t="str">
            <v>TERMINAL</v>
          </cell>
          <cell r="H2696" t="str">
            <v>TKT34C0602SN</v>
          </cell>
        </row>
        <row r="2697">
          <cell r="F2697" t="str">
            <v>731411-7</v>
          </cell>
          <cell r="G2697" t="str">
            <v>TERMINAL</v>
          </cell>
          <cell r="H2697" t="str">
            <v>TKT34C0602SM</v>
          </cell>
        </row>
        <row r="2698">
          <cell r="F2698" t="str">
            <v>ST711363-3</v>
          </cell>
          <cell r="G2698" t="str">
            <v>TERMINAL</v>
          </cell>
          <cell r="H2698" t="str">
            <v>TKT3464TC0SN</v>
          </cell>
        </row>
        <row r="2699">
          <cell r="F2699" t="str">
            <v>ST711356-3</v>
          </cell>
          <cell r="G2699" t="str">
            <v>TERMINAL</v>
          </cell>
          <cell r="H2699" t="str">
            <v>TKT3464TA0SN</v>
          </cell>
        </row>
        <row r="2700">
          <cell r="F2700" t="str">
            <v>731280-3</v>
          </cell>
          <cell r="G2700" t="str">
            <v>TERMINAL</v>
          </cell>
          <cell r="H2700" t="str">
            <v>TKT3411012SN</v>
          </cell>
        </row>
        <row r="2701">
          <cell r="F2701" t="str">
            <v>ST730624-3</v>
          </cell>
          <cell r="G2701" t="str">
            <v>TERMINAL</v>
          </cell>
          <cell r="H2701" t="str">
            <v>TKT34092W6SN</v>
          </cell>
        </row>
        <row r="2702">
          <cell r="F2702" t="str">
            <v>730676-3</v>
          </cell>
          <cell r="G2702" t="str">
            <v>TERMINAL</v>
          </cell>
          <cell r="H2702" t="str">
            <v>TKT3409022SN</v>
          </cell>
        </row>
        <row r="2703">
          <cell r="F2703" t="str">
            <v>ST741413-3</v>
          </cell>
          <cell r="G2703" t="str">
            <v>TERMINAL</v>
          </cell>
          <cell r="H2703" t="str">
            <v>TKT34060C5SN</v>
          </cell>
        </row>
        <row r="2704">
          <cell r="F2704" t="str">
            <v>ST731336-3</v>
          </cell>
          <cell r="G2704" t="str">
            <v>TERMINAL</v>
          </cell>
          <cell r="H2704" t="str">
            <v>TKT3406012SN</v>
          </cell>
        </row>
        <row r="2705">
          <cell r="F2705" t="str">
            <v>731487-7</v>
          </cell>
          <cell r="G2705" t="str">
            <v>TERMINAL</v>
          </cell>
          <cell r="H2705" t="str">
            <v>TKT33C06L2SM</v>
          </cell>
        </row>
        <row r="2706">
          <cell r="F2706" t="str">
            <v>731349-3</v>
          </cell>
          <cell r="G2706" t="str">
            <v>TERMINAL</v>
          </cell>
          <cell r="H2706" t="str">
            <v>TKT33090L2SN</v>
          </cell>
        </row>
        <row r="2707">
          <cell r="F2707" t="str">
            <v>731486-3</v>
          </cell>
          <cell r="G2707" t="str">
            <v>TERMINAL</v>
          </cell>
          <cell r="H2707" t="str">
            <v>TKT33060L2SN</v>
          </cell>
        </row>
        <row r="2708">
          <cell r="F2708" t="str">
            <v>ST710965-3</v>
          </cell>
          <cell r="G2708" t="str">
            <v>TERMINAL</v>
          </cell>
          <cell r="H2708" t="str">
            <v>TKT24RHTB0SN</v>
          </cell>
        </row>
        <row r="2709">
          <cell r="F2709" t="str">
            <v>ST710506-3</v>
          </cell>
          <cell r="G2709" t="str">
            <v>TERMINAL</v>
          </cell>
          <cell r="H2709" t="str">
            <v>TKT24064R0SN</v>
          </cell>
        </row>
        <row r="2710">
          <cell r="F2710" t="str">
            <v>ST711308-3</v>
          </cell>
          <cell r="G2710" t="str">
            <v>RING TERMINAL</v>
          </cell>
          <cell r="H2710" t="str">
            <v>TKT24064LSSN</v>
          </cell>
        </row>
        <row r="2711">
          <cell r="F2711" t="str">
            <v>731425-3</v>
          </cell>
          <cell r="G2711" t="str">
            <v>TERMINAL</v>
          </cell>
          <cell r="H2711" t="str">
            <v>TKT23N1102SN</v>
          </cell>
        </row>
        <row r="2712">
          <cell r="F2712" t="str">
            <v>ST741372-3</v>
          </cell>
          <cell r="G2712" t="str">
            <v>TERMINAL</v>
          </cell>
          <cell r="H2712" t="str">
            <v>TKT2325011SN</v>
          </cell>
        </row>
        <row r="2713">
          <cell r="F2713" t="str">
            <v>730704-3</v>
          </cell>
          <cell r="G2713" t="str">
            <v>TERMINAL</v>
          </cell>
          <cell r="H2713" t="str">
            <v>TKT2306002SN</v>
          </cell>
        </row>
        <row r="2714">
          <cell r="F2714" t="str">
            <v>ST730962-3</v>
          </cell>
          <cell r="G2714" t="str">
            <v>TERMINAL</v>
          </cell>
          <cell r="H2714" t="str">
            <v>TKT22RH006SN</v>
          </cell>
        </row>
        <row r="2715">
          <cell r="F2715" t="str">
            <v>730497-3</v>
          </cell>
          <cell r="G2715" t="str">
            <v>TERMINAL</v>
          </cell>
          <cell r="H2715" t="str">
            <v>TKT1307002SN</v>
          </cell>
        </row>
        <row r="2716">
          <cell r="F2716" t="str">
            <v>ST730622-3</v>
          </cell>
          <cell r="G2716" t="str">
            <v>TERMINAL</v>
          </cell>
          <cell r="H2716" t="str">
            <v>TKT13050W6SN</v>
          </cell>
        </row>
        <row r="2717">
          <cell r="F2717" t="str">
            <v>ST731368-3</v>
          </cell>
          <cell r="G2717" t="str">
            <v>TERMINAL</v>
          </cell>
          <cell r="H2717" t="str">
            <v>TKT12N0606SN</v>
          </cell>
        </row>
        <row r="2718">
          <cell r="F2718" t="str">
            <v>ST741332-3</v>
          </cell>
          <cell r="G2718" t="str">
            <v>TERMINAL</v>
          </cell>
          <cell r="H2718" t="str">
            <v>TKT12N0601SN</v>
          </cell>
        </row>
        <row r="2719">
          <cell r="F2719" t="str">
            <v>780801-3</v>
          </cell>
          <cell r="G2719" t="str">
            <v>TERMINAL</v>
          </cell>
          <cell r="H2719" t="str">
            <v>TKT12MFS22SN</v>
          </cell>
        </row>
        <row r="2720">
          <cell r="F2720" t="str">
            <v>ST731516-3</v>
          </cell>
          <cell r="G2720" t="str">
            <v>TERMINAL</v>
          </cell>
          <cell r="H2720" t="str">
            <v>TKT12KN016SN</v>
          </cell>
        </row>
        <row r="2721">
          <cell r="F2721" t="str">
            <v>731409-3</v>
          </cell>
          <cell r="G2721" t="str">
            <v>TERMINAL</v>
          </cell>
          <cell r="H2721" t="str">
            <v>TKT12C2512SN</v>
          </cell>
        </row>
        <row r="2722">
          <cell r="F2722" t="str">
            <v>731409-7</v>
          </cell>
          <cell r="G2722" t="str">
            <v>TERMINAL</v>
          </cell>
          <cell r="H2722" t="str">
            <v>TKT12C2512SM</v>
          </cell>
        </row>
        <row r="2723">
          <cell r="F2723" t="str">
            <v>ST731165-3</v>
          </cell>
          <cell r="G2723" t="str">
            <v>TERMINAL</v>
          </cell>
          <cell r="H2723" t="str">
            <v>TKT12C2502SN</v>
          </cell>
        </row>
        <row r="2724">
          <cell r="F2724" t="str">
            <v>741360-3</v>
          </cell>
          <cell r="G2724" t="str">
            <v>TERMINAL</v>
          </cell>
          <cell r="H2724" t="str">
            <v>TKT12C2501SN</v>
          </cell>
        </row>
        <row r="2725">
          <cell r="F2725" t="str">
            <v>741360-G</v>
          </cell>
          <cell r="G2725" t="str">
            <v>TERMINAL</v>
          </cell>
          <cell r="H2725" t="str">
            <v>TKT12C2501AU</v>
          </cell>
        </row>
        <row r="2726">
          <cell r="F2726" t="str">
            <v>ST731439-3</v>
          </cell>
          <cell r="G2726" t="str">
            <v>TERMINAL</v>
          </cell>
          <cell r="H2726" t="str">
            <v>TKT12C0616SN</v>
          </cell>
        </row>
        <row r="2727">
          <cell r="F2727" t="str">
            <v>741376-3</v>
          </cell>
          <cell r="G2727" t="str">
            <v>TERMINAL</v>
          </cell>
          <cell r="H2727" t="str">
            <v>TKT12C0615SN</v>
          </cell>
        </row>
        <row r="2728">
          <cell r="F2728" t="str">
            <v>731412-7</v>
          </cell>
          <cell r="G2728" t="str">
            <v>TERMINAL</v>
          </cell>
          <cell r="H2728" t="str">
            <v>TKT12C0602SM</v>
          </cell>
        </row>
        <row r="2729">
          <cell r="F2729" t="str">
            <v>731441-3</v>
          </cell>
          <cell r="G2729" t="str">
            <v>TERMINAL</v>
          </cell>
          <cell r="H2729" t="str">
            <v>TKT12C0256SN</v>
          </cell>
        </row>
        <row r="2730">
          <cell r="F2730" t="str">
            <v>741378-3</v>
          </cell>
          <cell r="G2730" t="str">
            <v>TERMINAL</v>
          </cell>
          <cell r="H2730" t="str">
            <v>TKT12C0255SN</v>
          </cell>
        </row>
        <row r="2731">
          <cell r="F2731" t="str">
            <v>ST730467-3</v>
          </cell>
          <cell r="G2731" t="str">
            <v>TERMINAL</v>
          </cell>
          <cell r="H2731" t="str">
            <v>TKT12250D2SN</v>
          </cell>
        </row>
        <row r="2732">
          <cell r="F2732" t="str">
            <v>ST731279-3</v>
          </cell>
          <cell r="G2732" t="str">
            <v>TERMINAL</v>
          </cell>
          <cell r="H2732" t="str">
            <v>TKT1211012SN</v>
          </cell>
        </row>
        <row r="2733">
          <cell r="F2733" t="str">
            <v>741288-3</v>
          </cell>
          <cell r="G2733" t="str">
            <v>TERMINAL</v>
          </cell>
          <cell r="H2733" t="str">
            <v>TKT1211005SN</v>
          </cell>
        </row>
        <row r="2734">
          <cell r="F2734" t="str">
            <v>ST730623-3</v>
          </cell>
          <cell r="G2734" t="str">
            <v>TERMINAL</v>
          </cell>
          <cell r="H2734" t="str">
            <v>TKT12092W6SN</v>
          </cell>
        </row>
        <row r="2735">
          <cell r="F2735" t="str">
            <v>ST730775-3</v>
          </cell>
          <cell r="G2735" t="str">
            <v>TERMINAL</v>
          </cell>
          <cell r="H2735" t="str">
            <v>TKT1209032SN</v>
          </cell>
        </row>
        <row r="2736">
          <cell r="F2736" t="str">
            <v>730675-3</v>
          </cell>
          <cell r="G2736" t="str">
            <v>TERMINAL</v>
          </cell>
          <cell r="H2736" t="str">
            <v>TKT1209022SN</v>
          </cell>
        </row>
        <row r="2737">
          <cell r="F2737" t="str">
            <v>731581-3</v>
          </cell>
          <cell r="G2737" t="str">
            <v>TERMINAL</v>
          </cell>
          <cell r="H2737" t="str">
            <v>TKT1206C22SN</v>
          </cell>
        </row>
        <row r="2738">
          <cell r="F2738" t="str">
            <v>ST731068-3</v>
          </cell>
          <cell r="G2738" t="str">
            <v>TERMINAL</v>
          </cell>
          <cell r="H2738" t="str">
            <v>TKT1206402SN</v>
          </cell>
        </row>
        <row r="2739">
          <cell r="F2739" t="str">
            <v>ST731274-3</v>
          </cell>
          <cell r="G2739" t="str">
            <v>TERMINAL</v>
          </cell>
          <cell r="H2739" t="str">
            <v>TKT12060W6SN</v>
          </cell>
        </row>
        <row r="2740">
          <cell r="F2740" t="str">
            <v>731274-G</v>
          </cell>
          <cell r="G2740" t="str">
            <v>TERMINAL</v>
          </cell>
          <cell r="H2740" t="str">
            <v>TKT12060W6AU</v>
          </cell>
        </row>
        <row r="2741">
          <cell r="F2741" t="str">
            <v>ST741414-3</v>
          </cell>
          <cell r="G2741" t="str">
            <v>TERMINAL</v>
          </cell>
          <cell r="H2741" t="str">
            <v>TKT12060C5SN</v>
          </cell>
        </row>
        <row r="2742">
          <cell r="F2742" t="str">
            <v>ST741414-G</v>
          </cell>
          <cell r="G2742" t="str">
            <v>TERMINAL</v>
          </cell>
          <cell r="H2742" t="str">
            <v>TKT12060C5AU</v>
          </cell>
        </row>
        <row r="2743">
          <cell r="F2743" t="str">
            <v>731335-3</v>
          </cell>
          <cell r="G2743" t="str">
            <v>TERMINAL</v>
          </cell>
          <cell r="H2743" t="str">
            <v>TKT1206012SN</v>
          </cell>
        </row>
        <row r="2744">
          <cell r="F2744" t="str">
            <v>731464-3</v>
          </cell>
          <cell r="G2744" t="str">
            <v>TERMINAL</v>
          </cell>
          <cell r="H2744" t="str">
            <v>TKT1206002SN</v>
          </cell>
        </row>
        <row r="2745">
          <cell r="F2745" t="str">
            <v>ST730751-3</v>
          </cell>
          <cell r="G2745" t="str">
            <v>TERMINAL</v>
          </cell>
          <cell r="H2745" t="str">
            <v>TKT1205002SN</v>
          </cell>
        </row>
        <row r="2746">
          <cell r="F2746" t="str">
            <v>730924-3</v>
          </cell>
          <cell r="G2746" t="str">
            <v>TERMINAL</v>
          </cell>
          <cell r="H2746" t="str">
            <v>TKT1204WP6SN</v>
          </cell>
        </row>
        <row r="2747">
          <cell r="F2747" t="str">
            <v>730924-G</v>
          </cell>
          <cell r="G2747" t="str">
            <v>TERMINAL</v>
          </cell>
          <cell r="H2747" t="str">
            <v>TKT1204WP6AU</v>
          </cell>
        </row>
        <row r="2748">
          <cell r="F2748" t="str">
            <v>731375-3</v>
          </cell>
          <cell r="G2748" t="str">
            <v>TERMINAL</v>
          </cell>
          <cell r="H2748" t="str">
            <v>TKT1202522SN</v>
          </cell>
        </row>
        <row r="2749">
          <cell r="F2749" t="str">
            <v>ST731364-3</v>
          </cell>
          <cell r="G2749" t="str">
            <v>TERMINAL</v>
          </cell>
          <cell r="H2749" t="str">
            <v>TKT1202506SN</v>
          </cell>
        </row>
        <row r="2750">
          <cell r="F2750" t="str">
            <v>731053-3</v>
          </cell>
          <cell r="G2750" t="str">
            <v>TERMINAL</v>
          </cell>
          <cell r="H2750" t="str">
            <v>TKT1202502SN</v>
          </cell>
        </row>
        <row r="2751">
          <cell r="F2751" t="str">
            <v>ST731418-3</v>
          </cell>
          <cell r="G2751" t="str">
            <v>TERMINAL</v>
          </cell>
          <cell r="H2751" t="str">
            <v>TKT11SWP06SN</v>
          </cell>
        </row>
        <row r="2752">
          <cell r="F2752" t="str">
            <v>ST741366-3</v>
          </cell>
          <cell r="G2752" t="str">
            <v>TERMINAL</v>
          </cell>
          <cell r="H2752" t="str">
            <v>TKT11SWP05SN</v>
          </cell>
        </row>
        <row r="2753">
          <cell r="F2753" t="str">
            <v>730963-3</v>
          </cell>
          <cell r="G2753" t="str">
            <v>TERMINAL</v>
          </cell>
          <cell r="H2753" t="str">
            <v>TKT11RH006SN</v>
          </cell>
        </row>
        <row r="2754">
          <cell r="F2754" t="str">
            <v>731426-3</v>
          </cell>
          <cell r="G2754" t="str">
            <v>TERMINAL</v>
          </cell>
          <cell r="H2754" t="str">
            <v>TKT11N1102SN</v>
          </cell>
        </row>
        <row r="2755">
          <cell r="F2755" t="str">
            <v>ST731538-3</v>
          </cell>
          <cell r="G2755" t="str">
            <v>TERMINAL</v>
          </cell>
          <cell r="H2755" t="str">
            <v>TKT11C0602SN</v>
          </cell>
        </row>
        <row r="2756">
          <cell r="F2756" t="str">
            <v>731538-7</v>
          </cell>
          <cell r="G2756" t="str">
            <v>TERMINAL</v>
          </cell>
          <cell r="H2756" t="str">
            <v>TKT11C0602SM</v>
          </cell>
        </row>
        <row r="2757">
          <cell r="F2757" t="str">
            <v>ST731463-3</v>
          </cell>
          <cell r="G2757" t="str">
            <v>TERMINAL</v>
          </cell>
          <cell r="H2757" t="str">
            <v>TKT1191AA2SN</v>
          </cell>
        </row>
        <row r="2758">
          <cell r="F2758" t="str">
            <v>ST731419-3</v>
          </cell>
          <cell r="G2758" t="str">
            <v>TERMINAL</v>
          </cell>
          <cell r="H2758" t="str">
            <v>TKT11092W6SN</v>
          </cell>
        </row>
        <row r="2759">
          <cell r="F2759" t="str">
            <v>730703-3</v>
          </cell>
          <cell r="G2759" t="str">
            <v>TERMINAL</v>
          </cell>
          <cell r="H2759" t="str">
            <v>TKT1106002SN</v>
          </cell>
        </row>
        <row r="2760">
          <cell r="F2760" t="str">
            <v>ST731316-3</v>
          </cell>
          <cell r="G2760" t="str">
            <v>TERMINAL</v>
          </cell>
          <cell r="H2760" t="str">
            <v>TKT11050W6SN</v>
          </cell>
        </row>
        <row r="2761">
          <cell r="F2761" t="str">
            <v>731414-3</v>
          </cell>
          <cell r="G2761" t="str">
            <v>TERMINAL</v>
          </cell>
          <cell r="H2761" t="str">
            <v>TKT1104002SN</v>
          </cell>
        </row>
        <row r="2762">
          <cell r="F2762" t="str">
            <v>ST731462-3</v>
          </cell>
          <cell r="G2762" t="str">
            <v>TERMINAL</v>
          </cell>
          <cell r="H2762" t="str">
            <v>TKT11020L2SN</v>
          </cell>
        </row>
        <row r="2763">
          <cell r="F2763" t="str">
            <v>321 40 73402 3</v>
          </cell>
          <cell r="G2763" t="str">
            <v>TERMINAL</v>
          </cell>
          <cell r="H2763" t="str">
            <v>TKS22ML112SN</v>
          </cell>
        </row>
        <row r="2764">
          <cell r="F2764" t="str">
            <v>SNACM-A041T-M1.5</v>
          </cell>
          <cell r="G2764" t="str">
            <v>TERMINAL</v>
          </cell>
          <cell r="H2764" t="str">
            <v>TJS34NAC02SN</v>
          </cell>
        </row>
        <row r="2765">
          <cell r="F2765" t="str">
            <v>SJIA-A021T-M063</v>
          </cell>
          <cell r="G2765" t="str">
            <v>TERMINAL</v>
          </cell>
          <cell r="H2765" t="str">
            <v>TJS22JIA02SN</v>
          </cell>
        </row>
        <row r="2766">
          <cell r="F2766" t="str">
            <v>SMSAS-B031T-M1.2</v>
          </cell>
          <cell r="G2766" t="str">
            <v>TERMINAL</v>
          </cell>
          <cell r="H2766" t="str">
            <v>TJS12MSAI6SN</v>
          </cell>
        </row>
        <row r="2767">
          <cell r="F2767" t="str">
            <v>CL6431-0012-0</v>
          </cell>
          <cell r="G2767" t="str">
            <v>TERMINAL</v>
          </cell>
          <cell r="H2767" t="str">
            <v>THRMM02512SN</v>
          </cell>
        </row>
        <row r="2768">
          <cell r="F2768" t="str">
            <v>CL6431-0014-6</v>
          </cell>
          <cell r="G2768" t="str">
            <v>TERMINAL</v>
          </cell>
          <cell r="H2768" t="str">
            <v>THRMM02501SN</v>
          </cell>
        </row>
        <row r="2769">
          <cell r="F2769" t="str">
            <v>6405-0047-9</v>
          </cell>
          <cell r="G2769" t="str">
            <v>TERMINAL</v>
          </cell>
          <cell r="H2769" t="str">
            <v>THRLM025C2SN</v>
          </cell>
        </row>
        <row r="2770">
          <cell r="F2770" t="str">
            <v>CL6431-0018-7</v>
          </cell>
          <cell r="G2770" t="str">
            <v>TERMINAL</v>
          </cell>
          <cell r="H2770" t="str">
            <v>THR5611002SN</v>
          </cell>
        </row>
        <row r="2771">
          <cell r="F2771" t="str">
            <v>6424-0111-4</v>
          </cell>
          <cell r="G2771" t="str">
            <v>TERMINAL</v>
          </cell>
          <cell r="H2771" t="str">
            <v>THR44060L2SN</v>
          </cell>
        </row>
        <row r="2772">
          <cell r="F2772" t="str">
            <v>CL6431-0019-0</v>
          </cell>
          <cell r="G2772" t="str">
            <v>TERMINAL</v>
          </cell>
          <cell r="H2772" t="str">
            <v>THR3411002SN</v>
          </cell>
        </row>
        <row r="2773">
          <cell r="F2773" t="str">
            <v>6431-0002-7-000</v>
          </cell>
          <cell r="G2773" t="str">
            <v>WIRE SEAL</v>
          </cell>
          <cell r="H2773" t="str">
            <v>THR3409002SN</v>
          </cell>
        </row>
        <row r="2774">
          <cell r="F2774" t="str">
            <v>CL6424-0090-6</v>
          </cell>
          <cell r="G2774" t="str">
            <v>TERMINAL</v>
          </cell>
          <cell r="H2774" t="str">
            <v>THR34060C2SN</v>
          </cell>
        </row>
        <row r="2775">
          <cell r="F2775" t="str">
            <v>6451-0020-2</v>
          </cell>
          <cell r="G2775" t="str">
            <v>TERMINAL</v>
          </cell>
          <cell r="H2775" t="str">
            <v>THR3311002SN</v>
          </cell>
        </row>
        <row r="2776">
          <cell r="F2776" t="str">
            <v>6424-0105-1-000</v>
          </cell>
          <cell r="G2776" t="str">
            <v>TERMINAL</v>
          </cell>
          <cell r="H2776" t="str">
            <v>THR33060L2SN</v>
          </cell>
        </row>
        <row r="2777">
          <cell r="F2777" t="str">
            <v>6451-0030-2-000</v>
          </cell>
          <cell r="G2777" t="str">
            <v>TERMINAL</v>
          </cell>
          <cell r="H2777" t="str">
            <v>THR22025C2SN</v>
          </cell>
        </row>
        <row r="2778">
          <cell r="F2778" t="str">
            <v>CL6424-0089-7</v>
          </cell>
          <cell r="G2778" t="str">
            <v>TERMINAL</v>
          </cell>
          <cell r="H2778" t="str">
            <v>THR12060C2SN</v>
          </cell>
        </row>
        <row r="2779">
          <cell r="F2779" t="str">
            <v>6405-0037-5-000</v>
          </cell>
          <cell r="G2779" t="str">
            <v>TERMINAL</v>
          </cell>
          <cell r="H2779" t="str">
            <v>THR12025J2SN</v>
          </cell>
        </row>
        <row r="2780">
          <cell r="F2780" t="str">
            <v>6405-0046-6</v>
          </cell>
          <cell r="G2780" t="str">
            <v>TERMINAL</v>
          </cell>
          <cell r="H2780" t="str">
            <v>THR12025C2SN</v>
          </cell>
        </row>
        <row r="2781">
          <cell r="F2781" t="str">
            <v>CL6431-0011-8</v>
          </cell>
          <cell r="G2781" t="str">
            <v>TERMINAL</v>
          </cell>
          <cell r="H2781" t="str">
            <v>THR1202512SN</v>
          </cell>
        </row>
        <row r="2782">
          <cell r="F2782" t="str">
            <v>6451-0027-2-000</v>
          </cell>
          <cell r="G2782" t="str">
            <v>TERMINAL</v>
          </cell>
          <cell r="H2782" t="str">
            <v>THR11060B2SN</v>
          </cell>
        </row>
        <row r="2783">
          <cell r="F2783" t="str">
            <v>6452-0046-2-000</v>
          </cell>
          <cell r="G2783" t="str">
            <v>TERMINAL</v>
          </cell>
          <cell r="H2783" t="str">
            <v>THR11025D1SN</v>
          </cell>
        </row>
        <row r="2784">
          <cell r="F2784" t="str">
            <v>6451-0018-2</v>
          </cell>
          <cell r="G2784" t="str">
            <v>TERMINAL</v>
          </cell>
          <cell r="H2784" t="str">
            <v>THR11025C2SN</v>
          </cell>
        </row>
        <row r="2785">
          <cell r="F2785" t="str">
            <v>6 007 04 72</v>
          </cell>
          <cell r="G2785" t="str">
            <v>TERMINAL</v>
          </cell>
          <cell r="H2785" t="str">
            <v>TFC8AFC952AG</v>
          </cell>
        </row>
        <row r="2786">
          <cell r="F2786" t="str">
            <v>6 007 04 71</v>
          </cell>
          <cell r="G2786" t="str">
            <v>TERMINAL</v>
          </cell>
          <cell r="H2786" t="str">
            <v>TFC88FC952SN</v>
          </cell>
        </row>
        <row r="2787">
          <cell r="F2787" t="str">
            <v>6 007 04 62</v>
          </cell>
          <cell r="G2787" t="str">
            <v>TERMINAL</v>
          </cell>
          <cell r="H2787" t="str">
            <v>TFC77FC952AG</v>
          </cell>
        </row>
        <row r="2788">
          <cell r="F2788" t="str">
            <v>211CC3S2120</v>
          </cell>
          <cell r="G2788" t="str">
            <v>TERMINAL</v>
          </cell>
          <cell r="H2788" t="str">
            <v>TFC45SNSR2SN</v>
          </cell>
        </row>
        <row r="2789">
          <cell r="F2789" t="str">
            <v>211CC3S2190</v>
          </cell>
          <cell r="G2789" t="str">
            <v>TERMINAL</v>
          </cell>
          <cell r="H2789" t="str">
            <v>TFC45S3288SN</v>
          </cell>
        </row>
        <row r="2790">
          <cell r="F2790">
            <v>60013741</v>
          </cell>
          <cell r="G2790" t="str">
            <v>TERMINAL</v>
          </cell>
          <cell r="H2790" t="str">
            <v>TFC45FC2S2SN</v>
          </cell>
        </row>
        <row r="2791">
          <cell r="F2791">
            <v>60012941</v>
          </cell>
          <cell r="G2791" t="str">
            <v>TERMINAL</v>
          </cell>
          <cell r="H2791" t="str">
            <v>TFC35DCS28SN</v>
          </cell>
        </row>
        <row r="2792">
          <cell r="F2792" t="str">
            <v>5400-1864</v>
          </cell>
          <cell r="G2792" t="str">
            <v>TERMINAL</v>
          </cell>
          <cell r="H2792" t="str">
            <v>TFC3412006SN</v>
          </cell>
        </row>
        <row r="2793">
          <cell r="F2793" t="str">
            <v>5400 1625</v>
          </cell>
          <cell r="G2793" t="str">
            <v>TERMINAL</v>
          </cell>
          <cell r="H2793" t="str">
            <v>TFC3401502SN</v>
          </cell>
        </row>
        <row r="2794">
          <cell r="F2794" t="str">
            <v>600404-31</v>
          </cell>
          <cell r="G2794" t="str">
            <v>TERMINAL</v>
          </cell>
          <cell r="H2794" t="str">
            <v>TFC23FC482SN</v>
          </cell>
        </row>
        <row r="2795">
          <cell r="F2795">
            <v>60013731</v>
          </cell>
          <cell r="G2795" t="str">
            <v>TERMINAL</v>
          </cell>
          <cell r="H2795" t="str">
            <v>TFC23FC2S2SN</v>
          </cell>
        </row>
        <row r="2796">
          <cell r="F2796">
            <v>60002031</v>
          </cell>
          <cell r="G2796" t="str">
            <v>TERMINAL</v>
          </cell>
          <cell r="H2796" t="str">
            <v>TFC23DCKW6SN</v>
          </cell>
        </row>
        <row r="2797">
          <cell r="F2797">
            <v>60002034</v>
          </cell>
          <cell r="G2797" t="str">
            <v>TERMINAL</v>
          </cell>
          <cell r="H2797" t="str">
            <v>TFC23DCKW6AU</v>
          </cell>
        </row>
        <row r="2798">
          <cell r="F2798" t="str">
            <v>211CC2S1190P</v>
          </cell>
          <cell r="G2798" t="str">
            <v>TERMINAL</v>
          </cell>
          <cell r="H2798" t="str">
            <v>TFC13SNSR2SN</v>
          </cell>
        </row>
        <row r="2799">
          <cell r="F2799" t="str">
            <v>5400-2006</v>
          </cell>
          <cell r="G2799" t="str">
            <v>TERMINAL</v>
          </cell>
          <cell r="H2799" t="str">
            <v>TFC1212006SN</v>
          </cell>
        </row>
        <row r="2800">
          <cell r="F2800" t="str">
            <v>5400-2005</v>
          </cell>
          <cell r="G2800" t="str">
            <v>TERMINAL</v>
          </cell>
          <cell r="H2800" t="str">
            <v>TFC1212006AU</v>
          </cell>
        </row>
        <row r="2801">
          <cell r="F2801" t="str">
            <v>5400 2000</v>
          </cell>
          <cell r="G2801" t="str">
            <v>TERMINAL</v>
          </cell>
          <cell r="H2801" t="str">
            <v>TFC1201502SN</v>
          </cell>
        </row>
        <row r="2802">
          <cell r="F2802" t="str">
            <v>SXA-001T-P0.6L</v>
          </cell>
          <cell r="G2802" t="str">
            <v>TERMINAL</v>
          </cell>
          <cell r="H2802" t="str">
            <v>TER0951</v>
          </cell>
        </row>
        <row r="2803">
          <cell r="F2803" t="str">
            <v>SHZ-002T-P0.5A</v>
          </cell>
          <cell r="G2803" t="str">
            <v>TERMINAL</v>
          </cell>
          <cell r="H2803" t="str">
            <v>TER0950</v>
          </cell>
        </row>
        <row r="2804">
          <cell r="F2804" t="str">
            <v>ST731507-3S</v>
          </cell>
          <cell r="G2804" t="str">
            <v>TERMINAL</v>
          </cell>
          <cell r="H2804" t="str">
            <v>TER0948</v>
          </cell>
        </row>
        <row r="2805">
          <cell r="F2805" t="str">
            <v>ST731604-3S</v>
          </cell>
          <cell r="G2805" t="str">
            <v>TERMINAL</v>
          </cell>
          <cell r="H2805" t="str">
            <v>TER0947</v>
          </cell>
        </row>
        <row r="2806">
          <cell r="F2806" t="str">
            <v>720374-2MAC</v>
          </cell>
          <cell r="G2806" t="str">
            <v>TERMINAL</v>
          </cell>
          <cell r="H2806" t="str">
            <v>TER0946</v>
          </cell>
        </row>
        <row r="2807">
          <cell r="F2807" t="str">
            <v>ST730570-3T</v>
          </cell>
          <cell r="G2807" t="str">
            <v>TERMINAL</v>
          </cell>
          <cell r="H2807" t="str">
            <v>TER0945</v>
          </cell>
        </row>
        <row r="2808">
          <cell r="F2808" t="str">
            <v>12505HS-12</v>
          </cell>
          <cell r="G2808" t="str">
            <v>TERMINAL</v>
          </cell>
          <cell r="H2808" t="str">
            <v>TER0944</v>
          </cell>
        </row>
        <row r="2809">
          <cell r="F2809" t="str">
            <v>GBT-02S</v>
          </cell>
          <cell r="G2809" t="str">
            <v>TERMINAL</v>
          </cell>
          <cell r="H2809" t="str">
            <v>TER0943</v>
          </cell>
        </row>
        <row r="2810">
          <cell r="F2810" t="str">
            <v>ST750330-3</v>
          </cell>
          <cell r="G2810" t="str">
            <v>TERMINAL</v>
          </cell>
          <cell r="H2810" t="str">
            <v>TER0942</v>
          </cell>
        </row>
        <row r="2811">
          <cell r="F2811" t="str">
            <v>CT0640</v>
          </cell>
          <cell r="G2811" t="str">
            <v>TERMINAL</v>
          </cell>
          <cell r="H2811" t="str">
            <v>TER0941</v>
          </cell>
        </row>
        <row r="2812">
          <cell r="F2812" t="str">
            <v>AT080219</v>
          </cell>
          <cell r="G2812" t="str">
            <v>TERMINAL</v>
          </cell>
          <cell r="H2812" t="str">
            <v>TER0940</v>
          </cell>
        </row>
        <row r="2813">
          <cell r="F2813" t="str">
            <v>AT130210</v>
          </cell>
          <cell r="G2813" t="str">
            <v>TERMINAL</v>
          </cell>
          <cell r="H2813" t="str">
            <v>TER0939</v>
          </cell>
        </row>
        <row r="2814">
          <cell r="F2814" t="str">
            <v>ST710546-2</v>
          </cell>
          <cell r="G2814" t="str">
            <v>TERMINAL</v>
          </cell>
          <cell r="H2814" t="str">
            <v>TER0938</v>
          </cell>
        </row>
        <row r="2815">
          <cell r="F2815" t="str">
            <v>282403-1</v>
          </cell>
          <cell r="G2815" t="str">
            <v>TERMINAL</v>
          </cell>
          <cell r="H2815" t="str">
            <v>TER0937</v>
          </cell>
        </row>
        <row r="2816">
          <cell r="F2816" t="str">
            <v>ST762568-3XL</v>
          </cell>
          <cell r="G2816" t="str">
            <v>TERMINAL</v>
          </cell>
          <cell r="H2816" t="str">
            <v>TER0936</v>
          </cell>
        </row>
        <row r="2817">
          <cell r="F2817" t="str">
            <v>ST731624-3L</v>
          </cell>
          <cell r="G2817" t="str">
            <v>TERMINAL</v>
          </cell>
          <cell r="H2817" t="str">
            <v>TER0935</v>
          </cell>
        </row>
        <row r="2818">
          <cell r="F2818" t="str">
            <v>CE002506</v>
          </cell>
          <cell r="G2818" t="str">
            <v>TERMINAL</v>
          </cell>
          <cell r="H2818" t="str">
            <v>TER0934</v>
          </cell>
        </row>
        <row r="2819">
          <cell r="F2819" t="str">
            <v>JOT 2.5-54</v>
          </cell>
          <cell r="G2819" t="str">
            <v>TERMINAL</v>
          </cell>
          <cell r="H2819" t="str">
            <v>TER0933</v>
          </cell>
        </row>
        <row r="2820">
          <cell r="F2820" t="str">
            <v>JOR 2.5-3.5</v>
          </cell>
          <cell r="G2820" t="str">
            <v>TERMINAL</v>
          </cell>
          <cell r="H2820" t="str">
            <v>TER0932</v>
          </cell>
        </row>
        <row r="2821">
          <cell r="F2821" t="str">
            <v>JOR 6-4</v>
          </cell>
          <cell r="G2821" t="str">
            <v>TERMINAL</v>
          </cell>
          <cell r="H2821" t="str">
            <v>TER0931</v>
          </cell>
        </row>
        <row r="2822">
          <cell r="F2822" t="str">
            <v>JOR 1.5-6</v>
          </cell>
          <cell r="G2822" t="str">
            <v>TERMINAL</v>
          </cell>
          <cell r="H2822" t="str">
            <v>TER0930</v>
          </cell>
        </row>
        <row r="2823">
          <cell r="F2823" t="str">
            <v>JOR 6-3.5</v>
          </cell>
          <cell r="G2823" t="str">
            <v>TERMINAL</v>
          </cell>
          <cell r="H2823" t="str">
            <v>TER0929</v>
          </cell>
        </row>
        <row r="2824">
          <cell r="F2824" t="str">
            <v>JOR 1.5-5</v>
          </cell>
          <cell r="G2824" t="str">
            <v>TERMINAL</v>
          </cell>
          <cell r="H2824" t="str">
            <v>TER0928</v>
          </cell>
        </row>
        <row r="2825">
          <cell r="F2825" t="str">
            <v>JOBN253</v>
          </cell>
          <cell r="G2825" t="str">
            <v>TERMINAL</v>
          </cell>
          <cell r="H2825" t="str">
            <v>TER0927</v>
          </cell>
        </row>
        <row r="2826">
          <cell r="F2826" t="str">
            <v>JOR 1.5-M4</v>
          </cell>
          <cell r="G2826" t="str">
            <v>TERMINAL</v>
          </cell>
          <cell r="H2826" t="str">
            <v>TER0926</v>
          </cell>
        </row>
        <row r="2827">
          <cell r="F2827" t="str">
            <v>JOR 16-6</v>
          </cell>
          <cell r="G2827" t="str">
            <v>TERMINAL</v>
          </cell>
          <cell r="H2827" t="str">
            <v>TER0925</v>
          </cell>
        </row>
        <row r="2828">
          <cell r="F2828" t="str">
            <v>JOR 10-5</v>
          </cell>
          <cell r="G2828" t="str">
            <v>TERMINAL</v>
          </cell>
          <cell r="H2828" t="str">
            <v>TER0924</v>
          </cell>
        </row>
        <row r="2829">
          <cell r="F2829" t="str">
            <v>JOR 2.5-5</v>
          </cell>
          <cell r="G2829" t="str">
            <v>TERMINAL</v>
          </cell>
          <cell r="H2829" t="str">
            <v>TER0923</v>
          </cell>
        </row>
        <row r="2830">
          <cell r="F2830" t="str">
            <v>CE005006</v>
          </cell>
          <cell r="G2830" t="str">
            <v>TERMINAL</v>
          </cell>
          <cell r="H2830" t="str">
            <v>TER0922</v>
          </cell>
        </row>
        <row r="2831">
          <cell r="F2831" t="str">
            <v>JOPA8H</v>
          </cell>
          <cell r="G2831" t="str">
            <v>TERMINAL</v>
          </cell>
          <cell r="H2831" t="str">
            <v>TER0921</v>
          </cell>
        </row>
        <row r="2832">
          <cell r="F2832" t="str">
            <v>SHT-C-105</v>
          </cell>
          <cell r="G2832" t="str">
            <v>TERMINAL</v>
          </cell>
          <cell r="H2832" t="str">
            <v>TER0920</v>
          </cell>
        </row>
        <row r="2833">
          <cell r="F2833" t="str">
            <v>JOR 10-S5</v>
          </cell>
          <cell r="G2833" t="str">
            <v>TERMINAL</v>
          </cell>
          <cell r="H2833" t="str">
            <v>TER0919</v>
          </cell>
        </row>
        <row r="2834">
          <cell r="F2834" t="str">
            <v>PTSR0407</v>
          </cell>
          <cell r="G2834" t="str">
            <v>TERMINAL</v>
          </cell>
          <cell r="H2834" t="str">
            <v>TER0918</v>
          </cell>
        </row>
        <row r="2835">
          <cell r="F2835" t="str">
            <v>CE005008</v>
          </cell>
          <cell r="G2835" t="str">
            <v>TERMINAL</v>
          </cell>
          <cell r="H2835" t="str">
            <v>TER0917</v>
          </cell>
        </row>
        <row r="2836">
          <cell r="F2836" t="str">
            <v>JOR 10-M5</v>
          </cell>
          <cell r="G2836" t="str">
            <v>TERMINAL</v>
          </cell>
          <cell r="H2836" t="str">
            <v>TER0916</v>
          </cell>
        </row>
        <row r="2837">
          <cell r="F2837" t="str">
            <v>SMX-001T-P0.6(K)</v>
          </cell>
          <cell r="G2837" t="str">
            <v>TERMINAL</v>
          </cell>
          <cell r="H2837" t="str">
            <v>TER0915</v>
          </cell>
        </row>
        <row r="2838">
          <cell r="F2838" t="str">
            <v>420CP-T-2</v>
          </cell>
          <cell r="G2838" t="str">
            <v>TERMINAL</v>
          </cell>
          <cell r="H2838" t="str">
            <v>TER0914</v>
          </cell>
        </row>
        <row r="2839">
          <cell r="F2839" t="str">
            <v>ST741461-3T</v>
          </cell>
          <cell r="G2839" t="str">
            <v>TERMINAL</v>
          </cell>
          <cell r="H2839" t="str">
            <v>TER0913</v>
          </cell>
        </row>
        <row r="2840">
          <cell r="F2840" t="str">
            <v>2232112-1</v>
          </cell>
          <cell r="G2840" t="str">
            <v>TERMINAL</v>
          </cell>
          <cell r="H2840" t="str">
            <v>TER0912</v>
          </cell>
        </row>
        <row r="2841">
          <cell r="F2841">
            <v>41532</v>
          </cell>
          <cell r="G2841" t="str">
            <v>TERMINAL</v>
          </cell>
          <cell r="H2841" t="str">
            <v>TER0911</v>
          </cell>
        </row>
        <row r="2842">
          <cell r="F2842" t="str">
            <v>2390747-1</v>
          </cell>
          <cell r="G2842" t="str">
            <v>TERMINAL</v>
          </cell>
          <cell r="H2842" t="str">
            <v>TER0910</v>
          </cell>
        </row>
        <row r="2843">
          <cell r="F2843" t="str">
            <v>ST730383-3</v>
          </cell>
          <cell r="G2843" t="str">
            <v>TERMINAL</v>
          </cell>
          <cell r="H2843" t="str">
            <v>TER0909</v>
          </cell>
        </row>
        <row r="2844">
          <cell r="F2844" t="str">
            <v>725411-2MAC</v>
          </cell>
          <cell r="G2844" t="str">
            <v>TERMINAL</v>
          </cell>
          <cell r="H2844" t="str">
            <v>TER0908</v>
          </cell>
        </row>
        <row r="2845">
          <cell r="F2845" t="str">
            <v>SC51133-065A</v>
          </cell>
          <cell r="G2845" t="str">
            <v>TERMINAL</v>
          </cell>
          <cell r="H2845" t="str">
            <v>TER0907</v>
          </cell>
        </row>
        <row r="2846">
          <cell r="F2846" t="str">
            <v>ST710946-3</v>
          </cell>
          <cell r="G2846" t="str">
            <v>TERMINAL</v>
          </cell>
          <cell r="H2846" t="str">
            <v>TER0906</v>
          </cell>
        </row>
        <row r="2847">
          <cell r="F2847" t="str">
            <v>926882-1</v>
          </cell>
          <cell r="G2847" t="str">
            <v>TERMINAL</v>
          </cell>
          <cell r="H2847" t="str">
            <v>TER0905</v>
          </cell>
        </row>
        <row r="2848">
          <cell r="F2848" t="str">
            <v>DYWT-500H (SPARK PLUG 5Ø)</v>
          </cell>
          <cell r="G2848" t="str">
            <v>TERMINAL</v>
          </cell>
          <cell r="H2848" t="str">
            <v>TER0904</v>
          </cell>
        </row>
        <row r="2849">
          <cell r="F2849" t="str">
            <v>1376348-1</v>
          </cell>
          <cell r="G2849" t="str">
            <v>TERMINAL</v>
          </cell>
          <cell r="H2849" t="str">
            <v>TER0903</v>
          </cell>
        </row>
        <row r="2850">
          <cell r="F2850" t="str">
            <v>TERMINAL 3Ø</v>
          </cell>
          <cell r="G2850" t="str">
            <v>TERMINAL</v>
          </cell>
          <cell r="H2850" t="str">
            <v>TER0902</v>
          </cell>
        </row>
        <row r="2851">
          <cell r="F2851" t="str">
            <v>SIN-21T-1.8S</v>
          </cell>
          <cell r="G2851" t="str">
            <v>TERMINAL</v>
          </cell>
          <cell r="H2851" t="str">
            <v>TER0901</v>
          </cell>
        </row>
        <row r="2852">
          <cell r="F2852" t="str">
            <v>12507TS</v>
          </cell>
          <cell r="G2852" t="str">
            <v>TERMINAL</v>
          </cell>
          <cell r="H2852" t="str">
            <v>TER0900</v>
          </cell>
        </row>
        <row r="2853">
          <cell r="F2853" t="str">
            <v>ST730567-6</v>
          </cell>
          <cell r="G2853" t="str">
            <v>TERMINAL</v>
          </cell>
          <cell r="H2853" t="str">
            <v>TER0847</v>
          </cell>
        </row>
        <row r="2854">
          <cell r="F2854" t="str">
            <v>YDT236(S)SB</v>
          </cell>
          <cell r="G2854" t="str">
            <v>TERMINAL</v>
          </cell>
          <cell r="H2854" t="str">
            <v>TER0846</v>
          </cell>
        </row>
        <row r="2855">
          <cell r="F2855" t="str">
            <v>172718-3111</v>
          </cell>
          <cell r="G2855" t="str">
            <v>TERMINAL</v>
          </cell>
          <cell r="H2855" t="str">
            <v>TER0845</v>
          </cell>
        </row>
        <row r="2856">
          <cell r="F2856" t="str">
            <v>172718-5111</v>
          </cell>
          <cell r="G2856" t="str">
            <v>TERMINAL</v>
          </cell>
          <cell r="H2856" t="str">
            <v>TER0844</v>
          </cell>
        </row>
        <row r="2857">
          <cell r="F2857" t="str">
            <v>ST730712-3</v>
          </cell>
          <cell r="G2857" t="str">
            <v>TERMINAL</v>
          </cell>
          <cell r="H2857" t="str">
            <v>TER0843</v>
          </cell>
        </row>
        <row r="2858">
          <cell r="F2858" t="str">
            <v>ST731394-3L</v>
          </cell>
          <cell r="G2858" t="str">
            <v>TERMINAL</v>
          </cell>
          <cell r="H2858" t="str">
            <v>TER0842</v>
          </cell>
        </row>
        <row r="2859">
          <cell r="F2859" t="str">
            <v>12570TS-G1</v>
          </cell>
          <cell r="G2859" t="str">
            <v>TERMINAL</v>
          </cell>
          <cell r="H2859" t="str">
            <v>TER0841</v>
          </cell>
        </row>
        <row r="2860">
          <cell r="F2860" t="str">
            <v>YDT236(L)SB</v>
          </cell>
          <cell r="G2860" t="str">
            <v>TERMINAL</v>
          </cell>
          <cell r="H2860" t="str">
            <v>TER0840</v>
          </cell>
        </row>
        <row r="2861">
          <cell r="F2861" t="str">
            <v>SLM-01T-P1.3E</v>
          </cell>
          <cell r="G2861" t="str">
            <v>TERMINAL</v>
          </cell>
          <cell r="H2861" t="str">
            <v>TER0839</v>
          </cell>
        </row>
        <row r="2862">
          <cell r="F2862" t="str">
            <v>TPA0028 (CAP B)</v>
          </cell>
          <cell r="G2862" t="str">
            <v>TERMINAL</v>
          </cell>
          <cell r="H2862" t="str">
            <v>TER0838</v>
          </cell>
        </row>
        <row r="2863">
          <cell r="F2863" t="str">
            <v>YST025L</v>
          </cell>
          <cell r="G2863" t="str">
            <v>TERMINAL</v>
          </cell>
          <cell r="H2863" t="str">
            <v>TER0837</v>
          </cell>
        </row>
        <row r="2864">
          <cell r="F2864" t="str">
            <v>SZNDM-002T-P0.5</v>
          </cell>
          <cell r="G2864" t="str">
            <v>TERMINAL</v>
          </cell>
          <cell r="H2864" t="str">
            <v>TER0836</v>
          </cell>
        </row>
        <row r="2865">
          <cell r="F2865" t="str">
            <v>ST731599-3T</v>
          </cell>
          <cell r="G2865" t="str">
            <v>TERMINAL</v>
          </cell>
          <cell r="H2865" t="str">
            <v>TER0835</v>
          </cell>
        </row>
        <row r="2866">
          <cell r="F2866" t="str">
            <v>ST741249-3</v>
          </cell>
          <cell r="G2866" t="str">
            <v>TERMINAL</v>
          </cell>
          <cell r="H2866" t="str">
            <v>TER0834</v>
          </cell>
        </row>
        <row r="2867">
          <cell r="F2867" t="str">
            <v>ST731325-N</v>
          </cell>
          <cell r="G2867" t="str">
            <v>TERMINAL</v>
          </cell>
          <cell r="H2867" t="str">
            <v>TER0833</v>
          </cell>
        </row>
        <row r="2868">
          <cell r="F2868" t="str">
            <v>ST730678-3</v>
          </cell>
          <cell r="G2868" t="str">
            <v>TERMINAL</v>
          </cell>
          <cell r="H2868" t="str">
            <v>TER0832</v>
          </cell>
        </row>
        <row r="2869">
          <cell r="F2869" t="str">
            <v>LCT-03</v>
          </cell>
          <cell r="G2869" t="str">
            <v>TERMINAL</v>
          </cell>
          <cell r="H2869" t="str">
            <v>TER0831</v>
          </cell>
        </row>
        <row r="2870">
          <cell r="F2870" t="str">
            <v>62814-2</v>
          </cell>
          <cell r="G2870" t="str">
            <v>TERMINAL</v>
          </cell>
          <cell r="H2870" t="str">
            <v>TER0828</v>
          </cell>
        </row>
        <row r="2871">
          <cell r="F2871" t="str">
            <v>20056534A</v>
          </cell>
          <cell r="G2871" t="str">
            <v>TERMINAL</v>
          </cell>
          <cell r="H2871" t="str">
            <v>TER0827</v>
          </cell>
        </row>
        <row r="2872">
          <cell r="F2872" t="str">
            <v>20047540A</v>
          </cell>
          <cell r="G2872" t="str">
            <v>TERMINAL</v>
          </cell>
          <cell r="H2872" t="str">
            <v>TER0826</v>
          </cell>
        </row>
        <row r="2873">
          <cell r="F2873" t="str">
            <v>170327-1</v>
          </cell>
          <cell r="G2873" t="str">
            <v>TERMINAL</v>
          </cell>
          <cell r="H2873" t="str">
            <v>TER0825</v>
          </cell>
        </row>
        <row r="2874">
          <cell r="F2874" t="str">
            <v>12505TS</v>
          </cell>
          <cell r="G2874" t="str">
            <v>TERMINAL</v>
          </cell>
          <cell r="H2874" t="str">
            <v>TER0824</v>
          </cell>
        </row>
        <row r="2875">
          <cell r="F2875" t="str">
            <v>CTB1140</v>
          </cell>
          <cell r="G2875" t="str">
            <v>TERMINAL</v>
          </cell>
          <cell r="H2875" t="str">
            <v>TER0823</v>
          </cell>
        </row>
        <row r="2876">
          <cell r="F2876" t="str">
            <v>CTD1140</v>
          </cell>
          <cell r="G2876" t="str">
            <v>TERMINAL</v>
          </cell>
          <cell r="H2876" t="str">
            <v>TER0822</v>
          </cell>
        </row>
        <row r="2877">
          <cell r="F2877" t="str">
            <v>CTDP1140</v>
          </cell>
          <cell r="G2877" t="str">
            <v>TERMINAL</v>
          </cell>
          <cell r="H2877" t="str">
            <v>TER0821</v>
          </cell>
        </row>
        <row r="2878">
          <cell r="F2878" t="str">
            <v>ST730639-3</v>
          </cell>
          <cell r="G2878" t="str">
            <v>TERMINAL</v>
          </cell>
          <cell r="H2878" t="str">
            <v>TER0820</v>
          </cell>
        </row>
        <row r="2879">
          <cell r="F2879" t="str">
            <v>AT230206</v>
          </cell>
          <cell r="G2879" t="str">
            <v>TERMINAL</v>
          </cell>
          <cell r="H2879" t="str">
            <v>TER0819</v>
          </cell>
        </row>
        <row r="2880">
          <cell r="F2880" t="str">
            <v>ST731261-3S</v>
          </cell>
          <cell r="G2880" t="str">
            <v>TERMINAL</v>
          </cell>
          <cell r="H2880" t="str">
            <v>TER0818</v>
          </cell>
        </row>
        <row r="2881">
          <cell r="F2881" t="str">
            <v>SPND-001T-P0.5C</v>
          </cell>
          <cell r="G2881" t="str">
            <v>TERMINAL</v>
          </cell>
          <cell r="H2881" t="str">
            <v>TER0817</v>
          </cell>
        </row>
        <row r="2882">
          <cell r="F2882" t="str">
            <v>2369501-1</v>
          </cell>
          <cell r="G2882" t="str">
            <v>TERMINAL</v>
          </cell>
          <cell r="H2882" t="str">
            <v>TER0816</v>
          </cell>
        </row>
        <row r="2883">
          <cell r="F2883" t="str">
            <v>2369502-1</v>
          </cell>
          <cell r="G2883" t="str">
            <v>TERMINAL</v>
          </cell>
          <cell r="H2883" t="str">
            <v>TER0815</v>
          </cell>
        </row>
        <row r="2884">
          <cell r="F2884" t="str">
            <v>ST741461-3T</v>
          </cell>
          <cell r="G2884" t="str">
            <v>TERMINAL</v>
          </cell>
          <cell r="H2884" t="str">
            <v>TER0812</v>
          </cell>
        </row>
        <row r="2885">
          <cell r="F2885" t="str">
            <v>ST741388-3S</v>
          </cell>
          <cell r="G2885" t="str">
            <v>TERMINAL</v>
          </cell>
          <cell r="H2885" t="str">
            <v>TER0811</v>
          </cell>
        </row>
        <row r="2886">
          <cell r="F2886" t="str">
            <v>ST760299-1</v>
          </cell>
          <cell r="G2886" t="str">
            <v>TERMINAL</v>
          </cell>
          <cell r="H2886" t="str">
            <v>TER0810</v>
          </cell>
        </row>
        <row r="2887">
          <cell r="F2887" t="str">
            <v>917683-1</v>
          </cell>
          <cell r="G2887" t="str">
            <v>TERMINAL</v>
          </cell>
          <cell r="H2887" t="str">
            <v>TER0809</v>
          </cell>
        </row>
        <row r="2888">
          <cell r="F2888" t="str">
            <v>ST731449-3T</v>
          </cell>
          <cell r="G2888" t="str">
            <v>TERMINAL</v>
          </cell>
          <cell r="H2888" t="str">
            <v>TER0808</v>
          </cell>
        </row>
        <row r="2889">
          <cell r="F2889" t="str">
            <v>WB39A-61209</v>
          </cell>
          <cell r="G2889" t="str">
            <v>TERMINAL</v>
          </cell>
          <cell r="H2889" t="str">
            <v>TER0807</v>
          </cell>
        </row>
        <row r="2890">
          <cell r="F2890" t="str">
            <v>ST731494-3SS</v>
          </cell>
          <cell r="G2890" t="str">
            <v>TERMINAL</v>
          </cell>
          <cell r="H2890" t="str">
            <v>TER0806</v>
          </cell>
        </row>
        <row r="2891">
          <cell r="F2891" t="str">
            <v>ST731594-3S</v>
          </cell>
          <cell r="G2891" t="str">
            <v>TERMINAL</v>
          </cell>
          <cell r="H2891" t="str">
            <v>TER0805</v>
          </cell>
        </row>
        <row r="2892">
          <cell r="F2892" t="str">
            <v>ST741130-3</v>
          </cell>
          <cell r="G2892" t="str">
            <v>TERMINAL</v>
          </cell>
          <cell r="H2892" t="str">
            <v>TER0804</v>
          </cell>
        </row>
        <row r="2893">
          <cell r="F2893" t="str">
            <v>ST730057-6</v>
          </cell>
          <cell r="G2893" t="str">
            <v>TERMINAL</v>
          </cell>
          <cell r="H2893" t="str">
            <v>TER0803</v>
          </cell>
        </row>
        <row r="2894">
          <cell r="F2894" t="str">
            <v>ST731171-3</v>
          </cell>
          <cell r="G2894" t="str">
            <v>TERMINAL</v>
          </cell>
          <cell r="H2894" t="str">
            <v>TER0802</v>
          </cell>
        </row>
        <row r="2895">
          <cell r="F2895" t="str">
            <v>ST710447-2</v>
          </cell>
          <cell r="G2895" t="str">
            <v>TERMINAL</v>
          </cell>
          <cell r="H2895" t="str">
            <v>TER0801</v>
          </cell>
        </row>
        <row r="2896">
          <cell r="F2896" t="str">
            <v>ST710094-3</v>
          </cell>
          <cell r="G2896" t="str">
            <v>TERMINAL</v>
          </cell>
          <cell r="H2896" t="str">
            <v>TER0800</v>
          </cell>
        </row>
        <row r="2897">
          <cell r="F2897" t="str">
            <v>YRT187-08MED</v>
          </cell>
          <cell r="G2897" t="str">
            <v>TERMINAL</v>
          </cell>
          <cell r="H2897" t="str">
            <v>TER0799</v>
          </cell>
        </row>
        <row r="2898">
          <cell r="F2898" t="str">
            <v>502579-0000</v>
          </cell>
          <cell r="G2898" t="str">
            <v>TERMINAL</v>
          </cell>
          <cell r="H2898" t="str">
            <v>TER0797</v>
          </cell>
        </row>
        <row r="2899">
          <cell r="F2899" t="str">
            <v>A2006TOP-2-JT</v>
          </cell>
          <cell r="G2899" t="str">
            <v>TERMINAL</v>
          </cell>
          <cell r="H2899" t="str">
            <v>TER0796</v>
          </cell>
        </row>
        <row r="2900">
          <cell r="F2900" t="str">
            <v>ST750208-3</v>
          </cell>
          <cell r="G2900" t="str">
            <v>TERMINAL</v>
          </cell>
          <cell r="H2900" t="str">
            <v>TER0795</v>
          </cell>
        </row>
        <row r="2901">
          <cell r="F2901" t="str">
            <v>A1257TOP-2-JT</v>
          </cell>
          <cell r="G2901" t="str">
            <v>TERMINAL</v>
          </cell>
          <cell r="H2901" t="str">
            <v>TER0794</v>
          </cell>
        </row>
        <row r="2902">
          <cell r="F2902" t="str">
            <v>A2006TOP-2</v>
          </cell>
          <cell r="G2902" t="str">
            <v>TERMINAL</v>
          </cell>
          <cell r="H2902" t="str">
            <v>TER0793</v>
          </cell>
        </row>
        <row r="2903">
          <cell r="F2903" t="str">
            <v>ST731434-3DW</v>
          </cell>
          <cell r="G2903" t="str">
            <v>TERMINAL</v>
          </cell>
          <cell r="H2903" t="str">
            <v>TER0792</v>
          </cell>
        </row>
        <row r="2904">
          <cell r="F2904" t="str">
            <v>ST731434-3L</v>
          </cell>
          <cell r="G2904" t="str">
            <v>TERMINAL</v>
          </cell>
          <cell r="H2904" t="str">
            <v>TER0791</v>
          </cell>
        </row>
        <row r="2905">
          <cell r="F2905" t="str">
            <v>ST741435-3DW</v>
          </cell>
          <cell r="G2905" t="str">
            <v>TERMINAL</v>
          </cell>
          <cell r="H2905" t="str">
            <v>TER0790</v>
          </cell>
        </row>
        <row r="2906">
          <cell r="F2906">
            <v>33405736</v>
          </cell>
          <cell r="G2906" t="str">
            <v>TERMINAL</v>
          </cell>
          <cell r="H2906" t="str">
            <v>TER0789</v>
          </cell>
        </row>
        <row r="2907">
          <cell r="F2907" t="str">
            <v>ST741388-3T</v>
          </cell>
          <cell r="G2907" t="str">
            <v>TERMINAL</v>
          </cell>
          <cell r="H2907" t="str">
            <v>TER0788</v>
          </cell>
        </row>
        <row r="2908">
          <cell r="F2908" t="str">
            <v>ST710227-3</v>
          </cell>
          <cell r="G2908" t="str">
            <v>TERMINAL</v>
          </cell>
          <cell r="H2908" t="str">
            <v>TER0787</v>
          </cell>
        </row>
        <row r="2909">
          <cell r="F2909" t="str">
            <v>ST731594-3T</v>
          </cell>
          <cell r="G2909" t="str">
            <v>TERMINAL</v>
          </cell>
          <cell r="H2909" t="str">
            <v>TER0786</v>
          </cell>
        </row>
        <row r="2910">
          <cell r="F2910" t="str">
            <v>560085-0101</v>
          </cell>
          <cell r="G2910" t="str">
            <v>TERMINAL</v>
          </cell>
          <cell r="H2910" t="str">
            <v>TER0785</v>
          </cell>
        </row>
        <row r="2911">
          <cell r="F2911" t="str">
            <v>ST731433-3DW</v>
          </cell>
          <cell r="G2911" t="str">
            <v>TERMINAL</v>
          </cell>
          <cell r="H2911" t="str">
            <v>TER0784</v>
          </cell>
        </row>
        <row r="2912">
          <cell r="F2912" t="str">
            <v>ST741435-3L</v>
          </cell>
          <cell r="G2912" t="str">
            <v>TERMINAL</v>
          </cell>
          <cell r="H2912" t="str">
            <v>TER0783</v>
          </cell>
        </row>
        <row r="2913">
          <cell r="F2913" t="str">
            <v>ST741436-3DW</v>
          </cell>
          <cell r="G2913" t="str">
            <v>TERMINAL</v>
          </cell>
          <cell r="H2913" t="str">
            <v>TER0782</v>
          </cell>
        </row>
        <row r="2914">
          <cell r="F2914" t="str">
            <v>ST731434-3M</v>
          </cell>
          <cell r="G2914" t="str">
            <v>TERMINAL</v>
          </cell>
          <cell r="H2914" t="str">
            <v>TER0781</v>
          </cell>
        </row>
        <row r="2915">
          <cell r="F2915" t="str">
            <v>20003TS-L</v>
          </cell>
          <cell r="G2915" t="str">
            <v>TERMINAL</v>
          </cell>
          <cell r="H2915" t="str">
            <v>TER0776</v>
          </cell>
        </row>
        <row r="2916">
          <cell r="F2916" t="str">
            <v>ST731434-3S</v>
          </cell>
          <cell r="G2916" t="str">
            <v>TERMINAL</v>
          </cell>
          <cell r="H2916" t="str">
            <v>TER0775</v>
          </cell>
        </row>
        <row r="2917">
          <cell r="F2917" t="str">
            <v>12505TP</v>
          </cell>
          <cell r="G2917" t="str">
            <v>TERMINAL</v>
          </cell>
          <cell r="H2917" t="str">
            <v>TER0774</v>
          </cell>
        </row>
        <row r="2918">
          <cell r="F2918" t="str">
            <v>ST760299-2</v>
          </cell>
          <cell r="G2918" t="str">
            <v>TERMINAL</v>
          </cell>
          <cell r="H2918" t="str">
            <v>TER0773</v>
          </cell>
        </row>
        <row r="2919">
          <cell r="F2919" t="str">
            <v>ST741436-3L</v>
          </cell>
          <cell r="G2919" t="str">
            <v>TERMINAL</v>
          </cell>
          <cell r="H2919" t="str">
            <v>TER0772</v>
          </cell>
        </row>
        <row r="2920">
          <cell r="F2920" t="str">
            <v>ST741436-3M</v>
          </cell>
          <cell r="G2920" t="str">
            <v>TERMINAL</v>
          </cell>
          <cell r="H2920" t="str">
            <v>TER0771</v>
          </cell>
        </row>
        <row r="2921">
          <cell r="F2921" t="str">
            <v>ST731433-3M</v>
          </cell>
          <cell r="G2921" t="str">
            <v>TERMINAL</v>
          </cell>
          <cell r="H2921" t="str">
            <v>TER0770</v>
          </cell>
        </row>
        <row r="2922">
          <cell r="F2922" t="str">
            <v>ST741436-3S</v>
          </cell>
          <cell r="G2922" t="str">
            <v>TERMINAL</v>
          </cell>
          <cell r="H2922" t="str">
            <v>TER0769</v>
          </cell>
        </row>
        <row r="2923">
          <cell r="F2923" t="str">
            <v>10035TS-B</v>
          </cell>
          <cell r="G2923" t="str">
            <v>TERMINAL</v>
          </cell>
          <cell r="H2923" t="str">
            <v>TER0768</v>
          </cell>
        </row>
        <row r="2924">
          <cell r="F2924" t="str">
            <v>ST731433-3S</v>
          </cell>
          <cell r="G2924" t="str">
            <v>TERMINAL</v>
          </cell>
          <cell r="H2924" t="str">
            <v>TER0767</v>
          </cell>
        </row>
        <row r="2925">
          <cell r="F2925" t="str">
            <v>ST731433-3L</v>
          </cell>
          <cell r="G2925" t="str">
            <v>TERMINAL</v>
          </cell>
          <cell r="H2925" t="str">
            <v>TER0766</v>
          </cell>
        </row>
        <row r="2926">
          <cell r="F2926" t="str">
            <v>350561-1</v>
          </cell>
          <cell r="G2926" t="str">
            <v>TERMINAL</v>
          </cell>
          <cell r="H2926" t="str">
            <v>TER0765</v>
          </cell>
        </row>
        <row r="2927">
          <cell r="F2927" t="str">
            <v>350561-3</v>
          </cell>
          <cell r="G2927" t="str">
            <v>TERMINAL</v>
          </cell>
          <cell r="H2927" t="str">
            <v>TER0763</v>
          </cell>
        </row>
        <row r="2928">
          <cell r="F2928" t="str">
            <v>175149-2</v>
          </cell>
          <cell r="G2928" t="str">
            <v>TERMINAL</v>
          </cell>
          <cell r="H2928" t="str">
            <v>TER0762</v>
          </cell>
        </row>
        <row r="2929">
          <cell r="F2929" t="str">
            <v>RSB8260.158F 6.3-1.5</v>
          </cell>
          <cell r="G2929" t="str">
            <v>TERMINAL</v>
          </cell>
          <cell r="H2929" t="str">
            <v>TER0761</v>
          </cell>
        </row>
        <row r="2930">
          <cell r="F2930" t="str">
            <v>RSB8240.158F 6.3-1.5</v>
          </cell>
          <cell r="G2930" t="str">
            <v>TERMINAL</v>
          </cell>
          <cell r="H2930" t="str">
            <v>TER0760</v>
          </cell>
        </row>
        <row r="2931">
          <cell r="F2931" t="str">
            <v>RSB8186.158F 4.8-1.5</v>
          </cell>
          <cell r="G2931" t="str">
            <v>TERMINAL</v>
          </cell>
          <cell r="H2931" t="str">
            <v>TER0759</v>
          </cell>
        </row>
        <row r="2932">
          <cell r="F2932" t="str">
            <v>RSB8170.058F 4.8-0.5</v>
          </cell>
          <cell r="G2932" t="str">
            <v>TERMINAL</v>
          </cell>
          <cell r="H2932" t="str">
            <v>TER0758</v>
          </cell>
        </row>
        <row r="2933">
          <cell r="F2933" t="str">
            <v>ST710945-3</v>
          </cell>
          <cell r="G2933" t="str">
            <v>TERMINAL</v>
          </cell>
          <cell r="H2933" t="str">
            <v>TER0757</v>
          </cell>
        </row>
        <row r="2934">
          <cell r="F2934" t="str">
            <v>ST731393-3T</v>
          </cell>
          <cell r="G2934" t="str">
            <v>TERMINAL</v>
          </cell>
          <cell r="H2934" t="str">
            <v>TER0756</v>
          </cell>
        </row>
        <row r="2935">
          <cell r="F2935" t="str">
            <v>ST741476-3S</v>
          </cell>
          <cell r="G2935" t="str">
            <v>TERMINAL</v>
          </cell>
          <cell r="H2935" t="str">
            <v>TER0755</v>
          </cell>
        </row>
        <row r="2936">
          <cell r="F2936" t="str">
            <v>ST741476-3T</v>
          </cell>
          <cell r="G2936" t="str">
            <v>TERMINAL</v>
          </cell>
          <cell r="H2936" t="str">
            <v>TER0754</v>
          </cell>
        </row>
        <row r="2937">
          <cell r="F2937" t="str">
            <v>ST710197-3</v>
          </cell>
          <cell r="G2937" t="str">
            <v>TERMINAL</v>
          </cell>
          <cell r="H2937" t="str">
            <v>TER0753</v>
          </cell>
        </row>
        <row r="2938">
          <cell r="F2938" t="str">
            <v>175020-1</v>
          </cell>
          <cell r="G2938" t="str">
            <v>TERMINAL</v>
          </cell>
          <cell r="H2938" t="str">
            <v>TER0752</v>
          </cell>
        </row>
        <row r="2939">
          <cell r="F2939" t="str">
            <v>ST730267-3T</v>
          </cell>
          <cell r="G2939" t="str">
            <v>TERMINAL</v>
          </cell>
          <cell r="H2939" t="str">
            <v>TER0751</v>
          </cell>
        </row>
        <row r="2940">
          <cell r="F2940" t="str">
            <v>ST730675-3</v>
          </cell>
          <cell r="G2940" t="str">
            <v>TERMINAL</v>
          </cell>
          <cell r="H2940" t="str">
            <v>TER0750</v>
          </cell>
        </row>
        <row r="2941">
          <cell r="F2941">
            <v>33219170</v>
          </cell>
          <cell r="G2941" t="str">
            <v>TERMINAL</v>
          </cell>
          <cell r="H2941" t="str">
            <v>TER0749</v>
          </cell>
        </row>
        <row r="2942">
          <cell r="F2942" t="str">
            <v>ST731394-3T</v>
          </cell>
          <cell r="G2942" t="str">
            <v>TERMINAL</v>
          </cell>
          <cell r="H2942" t="str">
            <v>TER0748</v>
          </cell>
        </row>
        <row r="2943">
          <cell r="F2943" t="str">
            <v>5.5-5</v>
          </cell>
          <cell r="G2943" t="str">
            <v>TERMINAL</v>
          </cell>
          <cell r="H2943" t="str">
            <v>TER0747</v>
          </cell>
        </row>
        <row r="2944">
          <cell r="F2944" t="str">
            <v>ST731172-3</v>
          </cell>
          <cell r="G2944" t="str">
            <v>TERMINAL</v>
          </cell>
          <cell r="H2944" t="str">
            <v>TER0746</v>
          </cell>
        </row>
        <row r="2945">
          <cell r="F2945" t="str">
            <v>AT130213-02</v>
          </cell>
          <cell r="G2945" t="str">
            <v>TERMINAL</v>
          </cell>
          <cell r="H2945" t="str">
            <v>TER0745</v>
          </cell>
        </row>
        <row r="2946">
          <cell r="F2946" t="str">
            <v>AT130213-01</v>
          </cell>
          <cell r="G2946" t="str">
            <v>TERMINAL</v>
          </cell>
          <cell r="H2946" t="str">
            <v>TER0744</v>
          </cell>
        </row>
        <row r="2947">
          <cell r="F2947">
            <v>32140680913</v>
          </cell>
          <cell r="G2947" t="str">
            <v>TERMINAL</v>
          </cell>
          <cell r="H2947" t="str">
            <v>TER0743</v>
          </cell>
        </row>
        <row r="2948">
          <cell r="F2948">
            <v>32125680913</v>
          </cell>
          <cell r="G2948" t="str">
            <v>TERMINAL</v>
          </cell>
          <cell r="H2948" t="str">
            <v>TER0742</v>
          </cell>
        </row>
        <row r="2949">
          <cell r="F2949" t="str">
            <v>928820-1</v>
          </cell>
          <cell r="G2949" t="str">
            <v>TERMINAL</v>
          </cell>
          <cell r="H2949" t="str">
            <v>TER0741</v>
          </cell>
        </row>
        <row r="2950">
          <cell r="F2950" t="str">
            <v>L14-5(JST)</v>
          </cell>
          <cell r="G2950" t="str">
            <v>TERMINAL</v>
          </cell>
          <cell r="H2950" t="str">
            <v>TER0740</v>
          </cell>
        </row>
        <row r="2951">
          <cell r="F2951" t="str">
            <v>ST731261-3</v>
          </cell>
          <cell r="G2951" t="str">
            <v>TERMINAL</v>
          </cell>
          <cell r="H2951" t="str">
            <v>TER0736</v>
          </cell>
        </row>
        <row r="2952">
          <cell r="F2952" t="str">
            <v>ST730948-3T</v>
          </cell>
          <cell r="G2952" t="str">
            <v>TERMINAL</v>
          </cell>
          <cell r="H2952" t="str">
            <v>TER0735</v>
          </cell>
        </row>
        <row r="2953">
          <cell r="F2953" t="str">
            <v>MT091-63080</v>
          </cell>
          <cell r="G2953" t="str">
            <v>TERMINAL</v>
          </cell>
          <cell r="H2953" t="str">
            <v>TER0730</v>
          </cell>
        </row>
        <row r="2954">
          <cell r="F2954" t="str">
            <v>SVF-61T-P2.0</v>
          </cell>
          <cell r="G2954" t="str">
            <v>TERMINAL</v>
          </cell>
          <cell r="H2954" t="str">
            <v>TER0726</v>
          </cell>
        </row>
        <row r="2955">
          <cell r="F2955" t="str">
            <v>SVM-61T-P2.0</v>
          </cell>
          <cell r="G2955" t="str">
            <v>TERMINAL</v>
          </cell>
          <cell r="H2955" t="str">
            <v>TER0725</v>
          </cell>
        </row>
        <row r="2956">
          <cell r="F2956" t="str">
            <v>ST710246-2</v>
          </cell>
          <cell r="G2956" t="str">
            <v>TERMINAL</v>
          </cell>
          <cell r="H2956" t="str">
            <v>TER0724</v>
          </cell>
        </row>
        <row r="2957">
          <cell r="F2957" t="str">
            <v>70058-0022</v>
          </cell>
          <cell r="G2957" t="str">
            <v>TERMINAL</v>
          </cell>
          <cell r="H2957" t="str">
            <v>TER0723</v>
          </cell>
        </row>
        <row r="2958">
          <cell r="F2958" t="str">
            <v>505431-1000</v>
          </cell>
          <cell r="G2958" t="str">
            <v>TERMINAL</v>
          </cell>
          <cell r="H2958" t="str">
            <v>TER0722</v>
          </cell>
        </row>
        <row r="2959">
          <cell r="F2959" t="str">
            <v>YPT-B</v>
          </cell>
          <cell r="G2959" t="str">
            <v>TERMINAL</v>
          </cell>
          <cell r="H2959" t="str">
            <v>TER0721</v>
          </cell>
        </row>
        <row r="2960">
          <cell r="F2960" t="str">
            <v>SZND-002T-P0.5</v>
          </cell>
          <cell r="G2960" t="str">
            <v>TERMINAL</v>
          </cell>
          <cell r="H2960" t="str">
            <v>TER0720</v>
          </cell>
        </row>
        <row r="2961">
          <cell r="F2961" t="str">
            <v>ST731299-3</v>
          </cell>
          <cell r="G2961" t="str">
            <v>TERMINAL</v>
          </cell>
          <cell r="H2961" t="str">
            <v>TER0719</v>
          </cell>
        </row>
        <row r="2962">
          <cell r="F2962" t="str">
            <v>YTH500-10</v>
          </cell>
          <cell r="G2962" t="str">
            <v>TERMINAL</v>
          </cell>
          <cell r="H2962" t="str">
            <v>TER0718</v>
          </cell>
        </row>
        <row r="2963">
          <cell r="F2963" t="str">
            <v>YRT250-B(M)E</v>
          </cell>
          <cell r="G2963" t="str">
            <v>TERMINAL</v>
          </cell>
          <cell r="H2963" t="str">
            <v>TER0717</v>
          </cell>
        </row>
        <row r="2964">
          <cell r="F2964" t="str">
            <v>ST731509-3T</v>
          </cell>
          <cell r="G2964" t="str">
            <v>TERMINAL</v>
          </cell>
          <cell r="H2964" t="str">
            <v>TER0716</v>
          </cell>
        </row>
        <row r="2965">
          <cell r="F2965" t="str">
            <v>20003TS</v>
          </cell>
          <cell r="G2965" t="str">
            <v>TERMINAL</v>
          </cell>
          <cell r="H2965" t="str">
            <v>TER0715</v>
          </cell>
        </row>
        <row r="2966">
          <cell r="F2966" t="str">
            <v>ST741457-3S</v>
          </cell>
          <cell r="G2966" t="str">
            <v>TERMINAL</v>
          </cell>
          <cell r="H2966" t="str">
            <v>TER0713</v>
          </cell>
        </row>
        <row r="2967">
          <cell r="F2967" t="str">
            <v>ST741457-3T</v>
          </cell>
          <cell r="G2967" t="str">
            <v>TERMINAL</v>
          </cell>
          <cell r="H2967" t="str">
            <v>TER0712</v>
          </cell>
        </row>
        <row r="2968">
          <cell r="F2968" t="str">
            <v>YBST200(UP)</v>
          </cell>
          <cell r="G2968" t="str">
            <v>TERMINAL</v>
          </cell>
          <cell r="H2968" t="str">
            <v>TER0711</v>
          </cell>
        </row>
        <row r="2969">
          <cell r="F2969" t="str">
            <v>TN021-00210</v>
          </cell>
          <cell r="G2969" t="str">
            <v>TERMINAL</v>
          </cell>
          <cell r="H2969" t="str">
            <v>TER0707</v>
          </cell>
        </row>
        <row r="2970">
          <cell r="F2970" t="str">
            <v>YRE-C002-3</v>
          </cell>
          <cell r="G2970" t="str">
            <v>TERMINAL</v>
          </cell>
          <cell r="H2970" t="str">
            <v>TER0706</v>
          </cell>
        </row>
        <row r="2971">
          <cell r="F2971" t="str">
            <v>PPI0000028</v>
          </cell>
          <cell r="G2971" t="str">
            <v>TERMINAL</v>
          </cell>
          <cell r="H2971" t="str">
            <v>TER0705</v>
          </cell>
        </row>
        <row r="2972">
          <cell r="F2972" t="str">
            <v>1500-0106</v>
          </cell>
          <cell r="G2972" t="str">
            <v>TERMINAL</v>
          </cell>
          <cell r="H2972" t="str">
            <v>TER0704</v>
          </cell>
        </row>
        <row r="2973">
          <cell r="F2973" t="str">
            <v>5-965982-1</v>
          </cell>
          <cell r="G2973" t="str">
            <v>TERMINAL</v>
          </cell>
          <cell r="H2973" t="str">
            <v>TER0703</v>
          </cell>
        </row>
        <row r="2974">
          <cell r="F2974">
            <v>33219166</v>
          </cell>
          <cell r="G2974" t="str">
            <v>TERMINAL</v>
          </cell>
          <cell r="H2974" t="str">
            <v>TER0702</v>
          </cell>
        </row>
        <row r="2975">
          <cell r="F2975" t="str">
            <v>ST731509-3S</v>
          </cell>
          <cell r="G2975" t="str">
            <v>TERMINAL</v>
          </cell>
          <cell r="H2975" t="str">
            <v>TER0701</v>
          </cell>
        </row>
        <row r="2976">
          <cell r="F2976" t="str">
            <v>ST760322-2</v>
          </cell>
          <cell r="G2976" t="str">
            <v>TERMINAL</v>
          </cell>
          <cell r="H2976" t="str">
            <v>TER0700</v>
          </cell>
        </row>
        <row r="2977">
          <cell r="F2977" t="str">
            <v>746730-2MAC</v>
          </cell>
          <cell r="G2977" t="str">
            <v>TERMINAL</v>
          </cell>
          <cell r="H2977" t="str">
            <v>TER0699</v>
          </cell>
        </row>
        <row r="2978">
          <cell r="F2978" t="str">
            <v>746530-2MAC</v>
          </cell>
          <cell r="G2978" t="str">
            <v>TERMINAL</v>
          </cell>
          <cell r="H2978" t="str">
            <v>TER0698</v>
          </cell>
        </row>
        <row r="2979">
          <cell r="F2979" t="str">
            <v>ST730649-3S</v>
          </cell>
          <cell r="G2979" t="str">
            <v>TERMINAL</v>
          </cell>
          <cell r="H2979" t="str">
            <v>TER0696</v>
          </cell>
        </row>
        <row r="2980">
          <cell r="F2980" t="str">
            <v>ST731504-3S</v>
          </cell>
          <cell r="G2980" t="str">
            <v>TERMINAL</v>
          </cell>
          <cell r="H2980" t="str">
            <v>TER0694</v>
          </cell>
        </row>
        <row r="2981">
          <cell r="F2981" t="str">
            <v>ST731506-3M</v>
          </cell>
          <cell r="G2981" t="str">
            <v>TERMINAL</v>
          </cell>
          <cell r="H2981" t="str">
            <v>TER0693</v>
          </cell>
        </row>
        <row r="2982">
          <cell r="F2982" t="str">
            <v>ST731454-3SS</v>
          </cell>
          <cell r="G2982" t="str">
            <v>TERMINAL</v>
          </cell>
          <cell r="H2982" t="str">
            <v>TER0692</v>
          </cell>
        </row>
        <row r="2983">
          <cell r="F2983" t="str">
            <v>ST731235-3S</v>
          </cell>
          <cell r="G2983" t="str">
            <v>TERMINAL</v>
          </cell>
          <cell r="H2983" t="str">
            <v>TER0691</v>
          </cell>
        </row>
        <row r="2984">
          <cell r="F2984" t="str">
            <v>ST741435-3M</v>
          </cell>
          <cell r="G2984" t="str">
            <v>TERMINAL</v>
          </cell>
          <cell r="H2984" t="str">
            <v>TER0690</v>
          </cell>
        </row>
        <row r="2985">
          <cell r="F2985" t="str">
            <v>ST741435-3S</v>
          </cell>
          <cell r="G2985" t="str">
            <v>TERMINAL</v>
          </cell>
          <cell r="H2985" t="str">
            <v>TER0689</v>
          </cell>
        </row>
        <row r="2986">
          <cell r="F2986" t="str">
            <v>SIN-91T-4.7S</v>
          </cell>
          <cell r="G2986" t="str">
            <v>TERMINAL</v>
          </cell>
          <cell r="H2986" t="str">
            <v>TER0688</v>
          </cell>
        </row>
        <row r="2987">
          <cell r="F2987" t="str">
            <v>ST741400-3M</v>
          </cell>
          <cell r="G2987" t="str">
            <v>TERMINAL</v>
          </cell>
          <cell r="H2987" t="str">
            <v>TER0687</v>
          </cell>
        </row>
        <row r="2988">
          <cell r="F2988" t="str">
            <v>ST780295-3</v>
          </cell>
          <cell r="G2988" t="str">
            <v>TERMINAL</v>
          </cell>
          <cell r="H2988" t="str">
            <v>TER0686</v>
          </cell>
        </row>
        <row r="2989">
          <cell r="F2989" t="str">
            <v>63610-2</v>
          </cell>
          <cell r="G2989" t="str">
            <v>TERMINAL</v>
          </cell>
          <cell r="H2989" t="str">
            <v>TER0684</v>
          </cell>
        </row>
        <row r="2990">
          <cell r="F2990" t="str">
            <v>ST730710-3</v>
          </cell>
          <cell r="G2990" t="str">
            <v>TERMINAL</v>
          </cell>
          <cell r="H2990" t="str">
            <v>TER0683</v>
          </cell>
        </row>
        <row r="2991">
          <cell r="F2991" t="str">
            <v>YT396P(S)</v>
          </cell>
          <cell r="G2991" t="str">
            <v>TERMINAL</v>
          </cell>
          <cell r="H2991" t="str">
            <v>TER0682</v>
          </cell>
        </row>
        <row r="2992">
          <cell r="F2992" t="str">
            <v>YST200-H3</v>
          </cell>
          <cell r="G2992" t="str">
            <v>TERMINAL</v>
          </cell>
          <cell r="H2992" t="str">
            <v>TER0681</v>
          </cell>
        </row>
        <row r="2993">
          <cell r="F2993" t="str">
            <v>WB20L-66209</v>
          </cell>
          <cell r="G2993" t="str">
            <v>TERMINAL</v>
          </cell>
          <cell r="H2993" t="str">
            <v>TER0680</v>
          </cell>
        </row>
        <row r="2994">
          <cell r="F2994" t="str">
            <v>ST731017-6</v>
          </cell>
          <cell r="G2994" t="str">
            <v>TERMINAL</v>
          </cell>
          <cell r="H2994" t="str">
            <v>TER0679</v>
          </cell>
        </row>
        <row r="2995">
          <cell r="F2995" t="str">
            <v>WB20L-61209</v>
          </cell>
          <cell r="G2995" t="str">
            <v>TERMINAL</v>
          </cell>
          <cell r="H2995" t="str">
            <v>TER0678</v>
          </cell>
        </row>
        <row r="2996">
          <cell r="F2996" t="str">
            <v>3900-0077</v>
          </cell>
          <cell r="G2996" t="str">
            <v>TERMINAL</v>
          </cell>
          <cell r="H2996" t="str">
            <v>TER0663</v>
          </cell>
        </row>
        <row r="2997">
          <cell r="F2997" t="str">
            <v>50351-8000</v>
          </cell>
          <cell r="G2997" t="str">
            <v>TERMINAL</v>
          </cell>
          <cell r="H2997" t="str">
            <v>TER0662</v>
          </cell>
        </row>
        <row r="2998">
          <cell r="F2998" t="str">
            <v>HIF3-2226SCFA</v>
          </cell>
          <cell r="G2998" t="str">
            <v>TERMINAL</v>
          </cell>
          <cell r="H2998" t="str">
            <v>TER0660</v>
          </cell>
        </row>
        <row r="2999">
          <cell r="F2999" t="str">
            <v>ST741266-3</v>
          </cell>
          <cell r="G2999" t="str">
            <v>TERMINAL</v>
          </cell>
          <cell r="H2999" t="str">
            <v>TER0659</v>
          </cell>
        </row>
        <row r="3000">
          <cell r="F3000" t="str">
            <v>ST760320-2SS</v>
          </cell>
          <cell r="G3000" t="str">
            <v>TERMINAL</v>
          </cell>
          <cell r="H3000" t="str">
            <v>TER0656</v>
          </cell>
        </row>
        <row r="3001">
          <cell r="F3001" t="str">
            <v>14-6(W)</v>
          </cell>
          <cell r="G3001" t="str">
            <v>TERMINAL</v>
          </cell>
          <cell r="H3001" t="str">
            <v>TER0655</v>
          </cell>
        </row>
        <row r="3002">
          <cell r="F3002" t="str">
            <v>L14-6</v>
          </cell>
          <cell r="G3002" t="str">
            <v>TERMINAL</v>
          </cell>
          <cell r="H3002" t="str">
            <v>TER0654</v>
          </cell>
        </row>
        <row r="3003">
          <cell r="F3003" t="str">
            <v>19002-0021</v>
          </cell>
          <cell r="G3003" t="str">
            <v>TERMINAL</v>
          </cell>
          <cell r="H3003" t="str">
            <v>TER0653</v>
          </cell>
        </row>
        <row r="3004">
          <cell r="F3004" t="str">
            <v>63477-2</v>
          </cell>
          <cell r="G3004" t="str">
            <v>TERMINAL</v>
          </cell>
          <cell r="H3004" t="str">
            <v>TER0651</v>
          </cell>
        </row>
        <row r="3005">
          <cell r="F3005" t="str">
            <v>170140-2</v>
          </cell>
          <cell r="G3005" t="str">
            <v>TERMINAL</v>
          </cell>
          <cell r="H3005" t="str">
            <v>TER0650</v>
          </cell>
        </row>
        <row r="3006">
          <cell r="F3006" t="str">
            <v>WB39M-277A</v>
          </cell>
          <cell r="G3006" t="str">
            <v>TERMINAL</v>
          </cell>
          <cell r="H3006" t="str">
            <v>TER0646</v>
          </cell>
        </row>
        <row r="3007">
          <cell r="F3007" t="str">
            <v>WB39M-276A</v>
          </cell>
          <cell r="G3007" t="str">
            <v>TERMINAL</v>
          </cell>
          <cell r="H3007" t="str">
            <v>TER0645</v>
          </cell>
        </row>
        <row r="3008">
          <cell r="F3008" t="str">
            <v>1123721-1</v>
          </cell>
          <cell r="G3008" t="str">
            <v>TERMINAL</v>
          </cell>
          <cell r="H3008" t="str">
            <v>TER0644</v>
          </cell>
        </row>
        <row r="3009">
          <cell r="F3009" t="str">
            <v>42068-1</v>
          </cell>
          <cell r="G3009" t="str">
            <v>TERMINAL</v>
          </cell>
          <cell r="H3009" t="str">
            <v>TER0643</v>
          </cell>
        </row>
        <row r="3010">
          <cell r="F3010" t="str">
            <v>SC41243-035A</v>
          </cell>
          <cell r="G3010" t="str">
            <v>TERMINAL</v>
          </cell>
          <cell r="H3010" t="str">
            <v>TER0642</v>
          </cell>
        </row>
        <row r="3011">
          <cell r="F3011" t="str">
            <v>2232905-1</v>
          </cell>
          <cell r="G3011" t="str">
            <v>TERMINAL</v>
          </cell>
          <cell r="H3011" t="str">
            <v>TER0635</v>
          </cell>
        </row>
        <row r="3012">
          <cell r="F3012" t="str">
            <v>JOF 464</v>
          </cell>
          <cell r="G3012" t="str">
            <v>TERMINAL</v>
          </cell>
          <cell r="H3012" t="str">
            <v>TER0633</v>
          </cell>
        </row>
        <row r="3013">
          <cell r="F3013" t="str">
            <v>ST731386-3</v>
          </cell>
          <cell r="G3013" t="str">
            <v>TERMINAL</v>
          </cell>
          <cell r="H3013" t="str">
            <v>TER0632</v>
          </cell>
        </row>
        <row r="3014">
          <cell r="F3014" t="str">
            <v>35021-1301</v>
          </cell>
          <cell r="G3014" t="str">
            <v>TERMINAL</v>
          </cell>
          <cell r="H3014" t="str">
            <v>TER0631</v>
          </cell>
        </row>
        <row r="3015">
          <cell r="F3015" t="str">
            <v>43375-2001</v>
          </cell>
          <cell r="G3015" t="str">
            <v>TERMINAL</v>
          </cell>
          <cell r="H3015" t="str">
            <v>TER0630</v>
          </cell>
        </row>
        <row r="3016">
          <cell r="F3016" t="str">
            <v>41802(2232111-3)</v>
          </cell>
          <cell r="G3016" t="str">
            <v>TERMINAL</v>
          </cell>
          <cell r="H3016" t="str">
            <v>TER0628</v>
          </cell>
        </row>
        <row r="3017">
          <cell r="F3017" t="str">
            <v>170183-2</v>
          </cell>
          <cell r="G3017" t="str">
            <v>TERMINAL</v>
          </cell>
          <cell r="H3017" t="str">
            <v>TER0627</v>
          </cell>
        </row>
        <row r="3018">
          <cell r="F3018" t="str">
            <v>2238007-1</v>
          </cell>
          <cell r="G3018" t="str">
            <v>TERMINAL</v>
          </cell>
          <cell r="H3018" t="str">
            <v>TER0626</v>
          </cell>
        </row>
        <row r="3019">
          <cell r="F3019" t="str">
            <v>1565079-1</v>
          </cell>
          <cell r="G3019" t="str">
            <v>TERMINAL</v>
          </cell>
          <cell r="H3019" t="str">
            <v>TER0625</v>
          </cell>
        </row>
        <row r="3020">
          <cell r="F3020">
            <v>5025790000</v>
          </cell>
          <cell r="G3020" t="str">
            <v>TERMINAL</v>
          </cell>
          <cell r="H3020" t="str">
            <v>TER0624</v>
          </cell>
        </row>
        <row r="3021">
          <cell r="F3021" t="str">
            <v>DJ61-02489A</v>
          </cell>
          <cell r="G3021" t="str">
            <v>ASSY HOLDER TERMINAL</v>
          </cell>
          <cell r="H3021" t="str">
            <v>TER0623</v>
          </cell>
        </row>
        <row r="3022">
          <cell r="F3022" t="str">
            <v>ST740253-3</v>
          </cell>
          <cell r="G3022" t="str">
            <v>TERMINAL</v>
          </cell>
          <cell r="H3022" t="str">
            <v>TER0622</v>
          </cell>
        </row>
        <row r="3023">
          <cell r="F3023" t="str">
            <v>35750-0910</v>
          </cell>
          <cell r="G3023" t="str">
            <v>TERMINAL</v>
          </cell>
          <cell r="H3023" t="str">
            <v>TER0621</v>
          </cell>
        </row>
        <row r="3024">
          <cell r="F3024" t="str">
            <v>CEO25008</v>
          </cell>
          <cell r="G3024" t="str">
            <v>TERMINAL</v>
          </cell>
          <cell r="H3024" t="str">
            <v>TER0620</v>
          </cell>
        </row>
        <row r="3025">
          <cell r="F3025" t="str">
            <v>DJ71-00010A</v>
          </cell>
          <cell r="G3025" t="str">
            <v>TERMINAL</v>
          </cell>
          <cell r="H3025" t="str">
            <v>TER0619</v>
          </cell>
        </row>
        <row r="3026">
          <cell r="F3026" t="str">
            <v>DJ37-00014A</v>
          </cell>
          <cell r="G3026" t="str">
            <v>TERMINAL</v>
          </cell>
          <cell r="H3026" t="str">
            <v>TER0618</v>
          </cell>
        </row>
        <row r="3027">
          <cell r="F3027" t="str">
            <v>10035TS-B1</v>
          </cell>
          <cell r="G3027" t="str">
            <v>TERMINAL</v>
          </cell>
          <cell r="H3027" t="str">
            <v>TER0617</v>
          </cell>
        </row>
        <row r="3028">
          <cell r="F3028" t="str">
            <v>ST730494-3</v>
          </cell>
          <cell r="G3028" t="str">
            <v>TERMINAL</v>
          </cell>
          <cell r="H3028" t="str">
            <v>TER0616</v>
          </cell>
        </row>
        <row r="3029">
          <cell r="F3029" t="str">
            <v>917765-1</v>
          </cell>
          <cell r="G3029" t="str">
            <v>TERMINAL</v>
          </cell>
          <cell r="H3029" t="str">
            <v>TER0615</v>
          </cell>
        </row>
        <row r="3030">
          <cell r="F3030" t="str">
            <v>ST731385-3</v>
          </cell>
          <cell r="G3030" t="str">
            <v>TERMINAL</v>
          </cell>
          <cell r="H3030" t="str">
            <v>TER0614</v>
          </cell>
        </row>
        <row r="3031">
          <cell r="F3031" t="str">
            <v>ST741351-3</v>
          </cell>
          <cell r="G3031" t="str">
            <v>TERMINAL</v>
          </cell>
          <cell r="H3031" t="str">
            <v>TER0613</v>
          </cell>
        </row>
        <row r="3032">
          <cell r="F3032" t="str">
            <v>ST741350-3</v>
          </cell>
          <cell r="G3032" t="str">
            <v>TERMINAL</v>
          </cell>
          <cell r="H3032" t="str">
            <v>TER0612</v>
          </cell>
        </row>
        <row r="3033">
          <cell r="F3033" t="str">
            <v>173722-1</v>
          </cell>
          <cell r="G3033" t="str">
            <v>TERMINAL</v>
          </cell>
          <cell r="H3033" t="str">
            <v>TER0611</v>
          </cell>
        </row>
        <row r="3034">
          <cell r="F3034" t="str">
            <v>ST780858-3</v>
          </cell>
          <cell r="G3034" t="str">
            <v>TERMINAL</v>
          </cell>
          <cell r="H3034" t="str">
            <v>TER0610</v>
          </cell>
        </row>
        <row r="3035">
          <cell r="F3035" t="str">
            <v>JOR 6-5</v>
          </cell>
          <cell r="G3035" t="str">
            <v>TERMINAL</v>
          </cell>
          <cell r="H3035" t="str">
            <v>TER0608</v>
          </cell>
        </row>
        <row r="3036">
          <cell r="F3036" t="str">
            <v>JOR 10-6</v>
          </cell>
          <cell r="G3036" t="str">
            <v>TERMINAL</v>
          </cell>
          <cell r="H3036" t="str">
            <v>TER0607</v>
          </cell>
        </row>
        <row r="3037">
          <cell r="F3037" t="str">
            <v>ST710011-2</v>
          </cell>
          <cell r="G3037" t="str">
            <v>TERMINAL</v>
          </cell>
          <cell r="H3037" t="str">
            <v>TER0602</v>
          </cell>
        </row>
        <row r="3038">
          <cell r="F3038" t="str">
            <v>JOR 6-6</v>
          </cell>
          <cell r="G3038" t="str">
            <v>TERMINAL</v>
          </cell>
          <cell r="H3038" t="str">
            <v>TER0598</v>
          </cell>
        </row>
        <row r="3039">
          <cell r="F3039" t="str">
            <v>SC42205-005A</v>
          </cell>
          <cell r="G3039" t="str">
            <v>TERMINAL</v>
          </cell>
          <cell r="H3039" t="str">
            <v>TER0596</v>
          </cell>
        </row>
        <row r="3040">
          <cell r="F3040" t="str">
            <v>175024-1</v>
          </cell>
          <cell r="G3040" t="str">
            <v>TERMINAL</v>
          </cell>
          <cell r="H3040" t="str">
            <v>TER0593</v>
          </cell>
        </row>
        <row r="3041">
          <cell r="F3041" t="str">
            <v>ST730837-3</v>
          </cell>
          <cell r="G3041" t="str">
            <v>TERMINAL</v>
          </cell>
          <cell r="H3041" t="str">
            <v>TER0592</v>
          </cell>
        </row>
        <row r="3042">
          <cell r="F3042" t="str">
            <v>ST730825-3</v>
          </cell>
          <cell r="G3042" t="str">
            <v>TERMINAL</v>
          </cell>
          <cell r="H3042" t="str">
            <v>TER0591</v>
          </cell>
        </row>
        <row r="3043">
          <cell r="F3043" t="str">
            <v>ST731394-3S</v>
          </cell>
          <cell r="G3043" t="str">
            <v>TERMINAL</v>
          </cell>
          <cell r="H3043" t="str">
            <v>TER0590</v>
          </cell>
        </row>
        <row r="3044">
          <cell r="F3044" t="str">
            <v>SFO-61T-250A</v>
          </cell>
          <cell r="G3044" t="str">
            <v>TERMINAL</v>
          </cell>
          <cell r="H3044" t="str">
            <v>TER0589</v>
          </cell>
        </row>
        <row r="3045">
          <cell r="F3045" t="str">
            <v>STO-01T-110N</v>
          </cell>
          <cell r="G3045" t="str">
            <v>TERMINAL</v>
          </cell>
          <cell r="H3045" t="str">
            <v>TER0588</v>
          </cell>
        </row>
        <row r="3046">
          <cell r="F3046" t="str">
            <v>ST780387-3</v>
          </cell>
          <cell r="G3046" t="str">
            <v>TERMINAL</v>
          </cell>
          <cell r="H3046" t="str">
            <v>TER0586</v>
          </cell>
        </row>
        <row r="3047">
          <cell r="F3047" t="str">
            <v>ST731394-3M</v>
          </cell>
          <cell r="G3047" t="str">
            <v>TERMINAL</v>
          </cell>
          <cell r="H3047" t="str">
            <v>TER0584</v>
          </cell>
        </row>
        <row r="3048">
          <cell r="F3048" t="str">
            <v>ST730459-3</v>
          </cell>
          <cell r="G3048" t="str">
            <v>TERMINAL</v>
          </cell>
          <cell r="H3048" t="str">
            <v>TER0582</v>
          </cell>
        </row>
        <row r="3049">
          <cell r="F3049" t="str">
            <v>ST730435-2</v>
          </cell>
          <cell r="G3049" t="str">
            <v>TERMINAL</v>
          </cell>
          <cell r="H3049" t="str">
            <v>TER0580</v>
          </cell>
        </row>
        <row r="3050">
          <cell r="F3050" t="str">
            <v>ST730147-2</v>
          </cell>
          <cell r="G3050" t="str">
            <v>TERMINAL</v>
          </cell>
          <cell r="H3050" t="str">
            <v>TER0579</v>
          </cell>
        </row>
        <row r="3051">
          <cell r="F3051" t="str">
            <v>ST741173-3</v>
          </cell>
          <cell r="G3051" t="str">
            <v>TERMINAL</v>
          </cell>
          <cell r="H3051" t="str">
            <v>TER0578</v>
          </cell>
        </row>
        <row r="3052">
          <cell r="F3052" t="str">
            <v>ST740682-3</v>
          </cell>
          <cell r="G3052" t="str">
            <v>TERMINAL</v>
          </cell>
          <cell r="H3052" t="str">
            <v>TER0577</v>
          </cell>
        </row>
        <row r="3053">
          <cell r="F3053" t="str">
            <v>ST710286-1</v>
          </cell>
          <cell r="G3053" t="str">
            <v>TERMINAL</v>
          </cell>
          <cell r="H3053" t="str">
            <v>TER0576</v>
          </cell>
        </row>
        <row r="3054">
          <cell r="F3054" t="str">
            <v>PS-187-4B</v>
          </cell>
          <cell r="G3054" t="str">
            <v>TERMINAL</v>
          </cell>
          <cell r="H3054" t="str">
            <v>TER0574</v>
          </cell>
        </row>
        <row r="3055">
          <cell r="F3055" t="str">
            <v>ST730828-3</v>
          </cell>
          <cell r="G3055" t="str">
            <v>TERMINAL</v>
          </cell>
          <cell r="H3055" t="str">
            <v>TER0573</v>
          </cell>
        </row>
        <row r="3056">
          <cell r="F3056" t="str">
            <v>ST731262-3</v>
          </cell>
          <cell r="G3056" t="str">
            <v>TERMINAL</v>
          </cell>
          <cell r="H3056" t="str">
            <v>TER0572</v>
          </cell>
        </row>
        <row r="3057">
          <cell r="F3057" t="str">
            <v>ST781321-1</v>
          </cell>
          <cell r="G3057" t="str">
            <v>TERMINAL</v>
          </cell>
          <cell r="H3057" t="str">
            <v>TER0570</v>
          </cell>
        </row>
        <row r="3058">
          <cell r="F3058" t="str">
            <v>ST730681-3</v>
          </cell>
          <cell r="G3058" t="str">
            <v>TERMINAL</v>
          </cell>
          <cell r="H3058" t="str">
            <v>TER0569</v>
          </cell>
        </row>
        <row r="3059">
          <cell r="F3059">
            <v>1044848200</v>
          </cell>
          <cell r="G3059" t="str">
            <v>TERMINAL</v>
          </cell>
          <cell r="H3059" t="str">
            <v>TER0568</v>
          </cell>
        </row>
        <row r="3060">
          <cell r="F3060" t="str">
            <v>ST710158-3</v>
          </cell>
          <cell r="G3060" t="str">
            <v>TERMINAL</v>
          </cell>
          <cell r="H3060" t="str">
            <v>TER0567</v>
          </cell>
        </row>
        <row r="3061">
          <cell r="F3061" t="str">
            <v>ST710010-3</v>
          </cell>
          <cell r="G3061" t="str">
            <v>TERMINAL</v>
          </cell>
          <cell r="H3061" t="str">
            <v>TER0562</v>
          </cell>
        </row>
        <row r="3062">
          <cell r="F3062" t="str">
            <v>ST710348-2</v>
          </cell>
          <cell r="G3062" t="str">
            <v>TERMINAL</v>
          </cell>
          <cell r="H3062" t="str">
            <v>TER0561</v>
          </cell>
        </row>
        <row r="3063">
          <cell r="F3063" t="str">
            <v>ST730840-3</v>
          </cell>
          <cell r="G3063" t="str">
            <v>TERMINAL</v>
          </cell>
          <cell r="H3063" t="str">
            <v>TER0560</v>
          </cell>
        </row>
        <row r="3064">
          <cell r="F3064" t="str">
            <v>ST710286-3</v>
          </cell>
          <cell r="G3064" t="str">
            <v>TERMINAL</v>
          </cell>
          <cell r="H3064" t="str">
            <v>TER0559</v>
          </cell>
        </row>
        <row r="3065">
          <cell r="F3065" t="str">
            <v>ST710087-3</v>
          </cell>
          <cell r="G3065" t="str">
            <v>TERMINAL</v>
          </cell>
          <cell r="H3065" t="str">
            <v>TER0558</v>
          </cell>
        </row>
        <row r="3066">
          <cell r="F3066" t="str">
            <v>ST730680-3</v>
          </cell>
          <cell r="G3066" t="str">
            <v>TERMINAL</v>
          </cell>
          <cell r="H3066" t="str">
            <v>TER0557</v>
          </cell>
        </row>
        <row r="3067">
          <cell r="F3067" t="str">
            <v>ST740050-3</v>
          </cell>
          <cell r="G3067" t="str">
            <v>TERMINAL</v>
          </cell>
          <cell r="H3067" t="str">
            <v>TER0556</v>
          </cell>
        </row>
        <row r="3068">
          <cell r="F3068" t="str">
            <v>ST730696-3</v>
          </cell>
          <cell r="G3068" t="str">
            <v>TERMINAL</v>
          </cell>
          <cell r="H3068" t="str">
            <v>TER0555</v>
          </cell>
        </row>
        <row r="3069">
          <cell r="F3069" t="str">
            <v>ST731016-3</v>
          </cell>
          <cell r="G3069" t="str">
            <v>TERMINAL</v>
          </cell>
          <cell r="H3069" t="str">
            <v>TER0554</v>
          </cell>
        </row>
        <row r="3070">
          <cell r="F3070" t="str">
            <v>YT396B</v>
          </cell>
          <cell r="G3070" t="str">
            <v>TERMINAL</v>
          </cell>
          <cell r="H3070" t="str">
            <v>TER0552</v>
          </cell>
        </row>
        <row r="3071">
          <cell r="F3071" t="str">
            <v>ST731018-3</v>
          </cell>
          <cell r="G3071" t="str">
            <v>TERMINAL</v>
          </cell>
          <cell r="H3071" t="str">
            <v>TER0551</v>
          </cell>
        </row>
        <row r="3072">
          <cell r="F3072" t="str">
            <v>YMT025R</v>
          </cell>
          <cell r="G3072" t="str">
            <v>TERMINAL</v>
          </cell>
          <cell r="H3072" t="str">
            <v>TER0549</v>
          </cell>
        </row>
        <row r="3073">
          <cell r="F3073" t="str">
            <v>SYM-001T-P0.6</v>
          </cell>
          <cell r="G3073" t="str">
            <v>TERMINAL</v>
          </cell>
          <cell r="H3073" t="str">
            <v>TER0548</v>
          </cell>
        </row>
        <row r="3074">
          <cell r="F3074" t="str">
            <v>794220-1</v>
          </cell>
          <cell r="G3074" t="str">
            <v>TERMINAL</v>
          </cell>
          <cell r="H3074" t="str">
            <v>TER0547</v>
          </cell>
        </row>
        <row r="3075">
          <cell r="F3075" t="str">
            <v>YT396P</v>
          </cell>
          <cell r="G3075" t="str">
            <v>TERMINAL</v>
          </cell>
          <cell r="H3075" t="str">
            <v>TER0546</v>
          </cell>
        </row>
        <row r="3076">
          <cell r="F3076" t="str">
            <v>ST761319-3</v>
          </cell>
          <cell r="G3076" t="str">
            <v>TERMINAL</v>
          </cell>
          <cell r="H3076" t="str">
            <v>TER0545</v>
          </cell>
        </row>
        <row r="3077">
          <cell r="F3077" t="str">
            <v>43030-0001</v>
          </cell>
          <cell r="G3077" t="str">
            <v>TERMINAL</v>
          </cell>
          <cell r="H3077" t="str">
            <v>TER0537</v>
          </cell>
        </row>
        <row r="3078">
          <cell r="F3078" t="str">
            <v>ST731083-3</v>
          </cell>
          <cell r="G3078" t="str">
            <v>TERMINAL</v>
          </cell>
          <cell r="H3078" t="str">
            <v>TER0536</v>
          </cell>
        </row>
        <row r="3079">
          <cell r="F3079" t="str">
            <v>WW45A-56109</v>
          </cell>
          <cell r="G3079" t="str">
            <v>TERMINAL</v>
          </cell>
          <cell r="H3079" t="str">
            <v>TER0535</v>
          </cell>
        </row>
        <row r="3080">
          <cell r="F3080" t="str">
            <v>WW45A-51109</v>
          </cell>
          <cell r="G3080" t="str">
            <v>TERMINAL</v>
          </cell>
          <cell r="H3080" t="str">
            <v>TER0534</v>
          </cell>
        </row>
        <row r="3081">
          <cell r="F3081" t="str">
            <v>WW45A-66209</v>
          </cell>
          <cell r="G3081" t="str">
            <v>TERMINAL</v>
          </cell>
          <cell r="H3081" t="str">
            <v>TER0533</v>
          </cell>
        </row>
        <row r="3082">
          <cell r="F3082" t="str">
            <v>WW45A-61209</v>
          </cell>
          <cell r="G3082" t="str">
            <v>TERMINAL</v>
          </cell>
          <cell r="H3082" t="str">
            <v>TER0532</v>
          </cell>
        </row>
        <row r="3083">
          <cell r="F3083" t="str">
            <v>SC41202-005A</v>
          </cell>
          <cell r="G3083" t="str">
            <v>TERMINAL</v>
          </cell>
          <cell r="H3083" t="str">
            <v>TER0531</v>
          </cell>
        </row>
        <row r="3084">
          <cell r="F3084" t="str">
            <v>SXH-001T-P0.6</v>
          </cell>
          <cell r="G3084" t="str">
            <v>TERMINAL</v>
          </cell>
          <cell r="H3084" t="str">
            <v>TER0530</v>
          </cell>
        </row>
        <row r="3085">
          <cell r="F3085" t="str">
            <v>SVH-21T-P1.1</v>
          </cell>
          <cell r="G3085" t="str">
            <v>TERMINAL</v>
          </cell>
          <cell r="H3085" t="str">
            <v>TER0529</v>
          </cell>
        </row>
        <row r="3086">
          <cell r="F3086" t="str">
            <v>YLT500V(M)</v>
          </cell>
          <cell r="G3086" t="str">
            <v>TERMINAL</v>
          </cell>
          <cell r="H3086" t="str">
            <v>TER0528</v>
          </cell>
        </row>
        <row r="3087">
          <cell r="F3087" t="str">
            <v>65002TS</v>
          </cell>
          <cell r="G3087" t="str">
            <v>TERMINAL</v>
          </cell>
          <cell r="H3087" t="str">
            <v>TER0526</v>
          </cell>
        </row>
        <row r="3088">
          <cell r="F3088" t="str">
            <v>ST710095-1</v>
          </cell>
          <cell r="G3088" t="str">
            <v>TERMINAL</v>
          </cell>
          <cell r="H3088" t="str">
            <v>TER0524</v>
          </cell>
        </row>
        <row r="3089">
          <cell r="F3089" t="str">
            <v>172775-1</v>
          </cell>
          <cell r="G3089" t="str">
            <v>TERMINAL</v>
          </cell>
          <cell r="H3089" t="str">
            <v>TER0523</v>
          </cell>
        </row>
        <row r="3090">
          <cell r="F3090" t="str">
            <v>85035-1</v>
          </cell>
          <cell r="G3090" t="str">
            <v>TERMINAL</v>
          </cell>
          <cell r="H3090" t="str">
            <v>TER0522</v>
          </cell>
        </row>
        <row r="3091">
          <cell r="F3091" t="str">
            <v>171631-1</v>
          </cell>
          <cell r="G3091" t="str">
            <v>TERMINAL</v>
          </cell>
          <cell r="H3091" t="str">
            <v>TER0521</v>
          </cell>
        </row>
        <row r="3092">
          <cell r="F3092" t="str">
            <v>SPS-91T-250S</v>
          </cell>
          <cell r="G3092" t="str">
            <v>TERMINAL</v>
          </cell>
          <cell r="H3092" t="str">
            <v>TER0520</v>
          </cell>
        </row>
        <row r="3093">
          <cell r="F3093" t="str">
            <v>ST740399-2</v>
          </cell>
          <cell r="G3093" t="str">
            <v>TERMINAL</v>
          </cell>
          <cell r="H3093" t="str">
            <v>TER0519</v>
          </cell>
        </row>
        <row r="3094">
          <cell r="F3094" t="str">
            <v>SSF-01T-P1.4AB</v>
          </cell>
          <cell r="G3094" t="str">
            <v>TERMINAL</v>
          </cell>
          <cell r="H3094" t="str">
            <v>TER0518</v>
          </cell>
        </row>
        <row r="3095">
          <cell r="F3095" t="str">
            <v>ST740483-3</v>
          </cell>
          <cell r="G3095" t="str">
            <v>TERMINAL</v>
          </cell>
          <cell r="H3095" t="str">
            <v>TER0517</v>
          </cell>
        </row>
        <row r="3096">
          <cell r="F3096" t="str">
            <v>ST731329-3</v>
          </cell>
          <cell r="G3096" t="str">
            <v>TERMINAL</v>
          </cell>
          <cell r="H3096" t="str">
            <v>TER0516</v>
          </cell>
        </row>
        <row r="3097">
          <cell r="F3097" t="str">
            <v>ST731307-3</v>
          </cell>
          <cell r="G3097" t="str">
            <v>TERMINAL</v>
          </cell>
          <cell r="H3097" t="str">
            <v>TER0515</v>
          </cell>
        </row>
        <row r="3098">
          <cell r="F3098" t="str">
            <v>YDT200</v>
          </cell>
          <cell r="G3098" t="str">
            <v>TERMINAL</v>
          </cell>
          <cell r="H3098" t="str">
            <v>TER0514</v>
          </cell>
        </row>
        <row r="3099">
          <cell r="F3099" t="str">
            <v>YT250</v>
          </cell>
          <cell r="G3099" t="str">
            <v>TERMINAL</v>
          </cell>
          <cell r="H3099" t="str">
            <v>TER0513</v>
          </cell>
        </row>
        <row r="3100">
          <cell r="F3100" t="str">
            <v>90017TS</v>
          </cell>
          <cell r="G3100" t="str">
            <v>TERMINAL</v>
          </cell>
          <cell r="H3100" t="str">
            <v>TER0512</v>
          </cell>
        </row>
        <row r="3101">
          <cell r="F3101" t="str">
            <v>175022-1</v>
          </cell>
          <cell r="G3101" t="str">
            <v>TERMINAL</v>
          </cell>
          <cell r="H3101" t="str">
            <v>TER0511</v>
          </cell>
        </row>
        <row r="3102">
          <cell r="F3102" t="str">
            <v>ST740482-3</v>
          </cell>
          <cell r="G3102" t="str">
            <v>TERMINAL</v>
          </cell>
          <cell r="H3102" t="str">
            <v>TER0510</v>
          </cell>
        </row>
        <row r="3103">
          <cell r="F3103" t="str">
            <v>ST731393-3M</v>
          </cell>
          <cell r="G3103" t="str">
            <v>TERMINAL</v>
          </cell>
          <cell r="H3103" t="str">
            <v>TER0509</v>
          </cell>
        </row>
        <row r="3104">
          <cell r="F3104" t="str">
            <v>ST710151-2</v>
          </cell>
          <cell r="G3104" t="str">
            <v>TERMINAL</v>
          </cell>
          <cell r="H3104" t="str">
            <v>TER0508</v>
          </cell>
        </row>
        <row r="3105">
          <cell r="F3105" t="str">
            <v>171661-1</v>
          </cell>
          <cell r="G3105" t="str">
            <v>TERMINAL</v>
          </cell>
          <cell r="H3105" t="str">
            <v>TER0507</v>
          </cell>
        </row>
        <row r="3106">
          <cell r="F3106" t="str">
            <v>ST741176-3</v>
          </cell>
          <cell r="G3106" t="str">
            <v>TERMINAL</v>
          </cell>
          <cell r="H3106" t="str">
            <v>TER0506</v>
          </cell>
        </row>
        <row r="3107">
          <cell r="F3107" t="str">
            <v>ST731246-3</v>
          </cell>
          <cell r="G3107" t="str">
            <v>TERMINAL</v>
          </cell>
          <cell r="H3107" t="str">
            <v>TER0505</v>
          </cell>
        </row>
        <row r="3108">
          <cell r="F3108" t="str">
            <v>ST740314-3</v>
          </cell>
          <cell r="G3108" t="str">
            <v>TERMINAL</v>
          </cell>
          <cell r="H3108" t="str">
            <v>TER0504</v>
          </cell>
        </row>
        <row r="3109">
          <cell r="F3109" t="str">
            <v>ST760145-2</v>
          </cell>
          <cell r="G3109" t="str">
            <v>TERMINAL</v>
          </cell>
          <cell r="H3109" t="str">
            <v>TER0503</v>
          </cell>
        </row>
        <row r="3110">
          <cell r="F3110" t="str">
            <v>ST730205-3</v>
          </cell>
          <cell r="G3110" t="str">
            <v>TERMINAL</v>
          </cell>
          <cell r="H3110" t="str">
            <v>TER0501</v>
          </cell>
        </row>
        <row r="3111">
          <cell r="F3111" t="str">
            <v>ST741174-3</v>
          </cell>
          <cell r="G3111" t="str">
            <v>TERMINAL</v>
          </cell>
          <cell r="H3111" t="str">
            <v>TER0500</v>
          </cell>
        </row>
        <row r="3112">
          <cell r="F3112" t="str">
            <v>ST741175-3</v>
          </cell>
          <cell r="G3112" t="str">
            <v>TERMINAL</v>
          </cell>
          <cell r="H3112" t="str">
            <v>TER0499</v>
          </cell>
        </row>
        <row r="3113">
          <cell r="F3113" t="str">
            <v>CTD1140-L</v>
          </cell>
          <cell r="G3113" t="str">
            <v>TERMINAL</v>
          </cell>
          <cell r="H3113" t="str">
            <v>TER0498</v>
          </cell>
        </row>
        <row r="3114">
          <cell r="F3114" t="str">
            <v>ST710158-2</v>
          </cell>
          <cell r="G3114" t="str">
            <v>TERMINAL</v>
          </cell>
          <cell r="H3114" t="str">
            <v>TER0497</v>
          </cell>
        </row>
        <row r="3115">
          <cell r="F3115" t="str">
            <v>YLT500</v>
          </cell>
          <cell r="G3115" t="str">
            <v>TERMINAL</v>
          </cell>
          <cell r="H3115" t="str">
            <v>TER0496</v>
          </cell>
        </row>
        <row r="3116">
          <cell r="F3116" t="str">
            <v>12507TS-G1</v>
          </cell>
          <cell r="G3116" t="str">
            <v>TERMINAL</v>
          </cell>
          <cell r="H3116" t="str">
            <v>TER0495</v>
          </cell>
        </row>
        <row r="3117">
          <cell r="F3117" t="str">
            <v>ST741248-3</v>
          </cell>
          <cell r="G3117" t="str">
            <v>TERMINAL</v>
          </cell>
          <cell r="H3117" t="str">
            <v>TER0494</v>
          </cell>
        </row>
        <row r="3118">
          <cell r="F3118" t="str">
            <v>SSHL-002T-P0.2</v>
          </cell>
          <cell r="G3118" t="str">
            <v>TERMINAL</v>
          </cell>
          <cell r="H3118" t="str">
            <v>TER0493</v>
          </cell>
        </row>
        <row r="3119">
          <cell r="F3119" t="str">
            <v>SC55103-005A</v>
          </cell>
          <cell r="G3119" t="str">
            <v>TERMINAL</v>
          </cell>
          <cell r="H3119" t="str">
            <v>TER0492</v>
          </cell>
        </row>
        <row r="3120">
          <cell r="F3120" t="str">
            <v>L5.5-5</v>
          </cell>
          <cell r="G3120" t="str">
            <v>TERMINAL</v>
          </cell>
          <cell r="H3120" t="str">
            <v>TER0490</v>
          </cell>
        </row>
        <row r="3121">
          <cell r="F3121" t="str">
            <v>8-5(JST)</v>
          </cell>
          <cell r="G3121" t="str">
            <v>TERMINAL</v>
          </cell>
          <cell r="H3121" t="str">
            <v>TER0488</v>
          </cell>
        </row>
        <row r="3122">
          <cell r="F3122" t="str">
            <v>SJ5M-91GF-M6.5</v>
          </cell>
          <cell r="G3122" t="str">
            <v>TERMINAL</v>
          </cell>
          <cell r="H3122" t="str">
            <v>TER0487</v>
          </cell>
        </row>
        <row r="3123">
          <cell r="F3123" t="str">
            <v>L8-5(JST)</v>
          </cell>
          <cell r="G3123" t="str">
            <v>TERMINAL</v>
          </cell>
          <cell r="H3123" t="str">
            <v>TER0486</v>
          </cell>
        </row>
        <row r="3124">
          <cell r="F3124" t="str">
            <v>8-6(JST)</v>
          </cell>
          <cell r="G3124" t="str">
            <v>TERMINAL</v>
          </cell>
          <cell r="H3124" t="str">
            <v>TER0485</v>
          </cell>
        </row>
        <row r="3125">
          <cell r="F3125" t="str">
            <v>SJ5F-91GF-M6.5</v>
          </cell>
          <cell r="G3125" t="str">
            <v>TERMINAL</v>
          </cell>
          <cell r="H3125" t="str">
            <v>TER0484</v>
          </cell>
        </row>
        <row r="3126">
          <cell r="F3126" t="str">
            <v>HLWT1005</v>
          </cell>
          <cell r="G3126" t="str">
            <v>TERMINAL</v>
          </cell>
          <cell r="H3126" t="str">
            <v>TER0483</v>
          </cell>
        </row>
        <row r="3127">
          <cell r="F3127" t="str">
            <v>ST730711-3</v>
          </cell>
          <cell r="G3127" t="str">
            <v>TERMINAL</v>
          </cell>
          <cell r="H3127" t="str">
            <v>TER0482</v>
          </cell>
        </row>
        <row r="3128">
          <cell r="F3128" t="str">
            <v>ST740832-3</v>
          </cell>
          <cell r="G3128" t="str">
            <v>TERMINAL</v>
          </cell>
          <cell r="H3128" t="str">
            <v>TER0481</v>
          </cell>
        </row>
        <row r="3129">
          <cell r="F3129" t="str">
            <v>ST740829-3</v>
          </cell>
          <cell r="G3129" t="str">
            <v>TERMINAL</v>
          </cell>
          <cell r="H3129" t="str">
            <v>TER0480</v>
          </cell>
        </row>
        <row r="3130">
          <cell r="F3130" t="str">
            <v>ST740830-1</v>
          </cell>
          <cell r="G3130" t="str">
            <v>TERMINAL</v>
          </cell>
          <cell r="H3130" t="str">
            <v>TER0478</v>
          </cell>
        </row>
        <row r="3131">
          <cell r="F3131" t="str">
            <v>35476-0110</v>
          </cell>
          <cell r="G3131" t="str">
            <v>TERMINAL</v>
          </cell>
          <cell r="H3131" t="str">
            <v>TER0476</v>
          </cell>
        </row>
        <row r="3132">
          <cell r="F3132" t="str">
            <v>35475-0310</v>
          </cell>
          <cell r="G3132" t="str">
            <v>TERMINAL</v>
          </cell>
          <cell r="H3132" t="str">
            <v>TER0475</v>
          </cell>
        </row>
        <row r="3133">
          <cell r="F3133" t="str">
            <v>ST710813-3</v>
          </cell>
          <cell r="G3133" t="str">
            <v>TERMINAL</v>
          </cell>
          <cell r="H3133" t="str">
            <v>TER0474</v>
          </cell>
        </row>
        <row r="3134">
          <cell r="F3134" t="str">
            <v>ST740617-3</v>
          </cell>
          <cell r="G3134" t="str">
            <v>TERMINAL</v>
          </cell>
          <cell r="H3134" t="str">
            <v>TER0473</v>
          </cell>
        </row>
        <row r="3135">
          <cell r="F3135" t="str">
            <v>50217-9001</v>
          </cell>
          <cell r="G3135" t="str">
            <v>TERMINAL</v>
          </cell>
          <cell r="H3135" t="str">
            <v>TER0471</v>
          </cell>
        </row>
        <row r="3136">
          <cell r="F3136" t="str">
            <v>57915-8001</v>
          </cell>
          <cell r="G3136" t="str">
            <v>TERMINAL</v>
          </cell>
          <cell r="H3136" t="str">
            <v>TER0468</v>
          </cell>
        </row>
        <row r="3137">
          <cell r="F3137" t="str">
            <v>ST750036-1</v>
          </cell>
          <cell r="G3137" t="str">
            <v>TERMINAL</v>
          </cell>
          <cell r="H3137" t="str">
            <v>TER0467</v>
          </cell>
        </row>
        <row r="3138">
          <cell r="F3138" t="str">
            <v>ST760320-1</v>
          </cell>
          <cell r="G3138" t="str">
            <v>TERMINAL</v>
          </cell>
          <cell r="H3138" t="str">
            <v>TER0466</v>
          </cell>
        </row>
        <row r="3139">
          <cell r="F3139" t="str">
            <v>ST730018-1</v>
          </cell>
          <cell r="G3139" t="str">
            <v>TERMINAL</v>
          </cell>
          <cell r="H3139" t="str">
            <v>TER0465</v>
          </cell>
        </row>
        <row r="3140">
          <cell r="F3140" t="str">
            <v>ST740819-3</v>
          </cell>
          <cell r="G3140" t="str">
            <v>TERMINAL</v>
          </cell>
          <cell r="H3140" t="str">
            <v>TER0464</v>
          </cell>
        </row>
        <row r="3141">
          <cell r="F3141" t="str">
            <v>ST740692-3</v>
          </cell>
          <cell r="G3141" t="str">
            <v>TERMINAL</v>
          </cell>
          <cell r="H3141" t="str">
            <v>TER0463</v>
          </cell>
        </row>
        <row r="3142">
          <cell r="F3142" t="str">
            <v>ST730190-3</v>
          </cell>
          <cell r="G3142" t="str">
            <v>TERMINAL</v>
          </cell>
          <cell r="H3142" t="str">
            <v>TER0461</v>
          </cell>
        </row>
        <row r="3143">
          <cell r="F3143" t="str">
            <v>ST730136-3</v>
          </cell>
          <cell r="G3143" t="str">
            <v>TERMINAL</v>
          </cell>
          <cell r="H3143" t="str">
            <v>TER0460</v>
          </cell>
        </row>
        <row r="3144">
          <cell r="F3144" t="str">
            <v>DBT0608-CS</v>
          </cell>
          <cell r="G3144" t="str">
            <v>TERMINAL</v>
          </cell>
          <cell r="H3144" t="str">
            <v>TER0459</v>
          </cell>
        </row>
        <row r="3145">
          <cell r="F3145" t="str">
            <v>SPS-21T-250S</v>
          </cell>
          <cell r="G3145" t="str">
            <v>TERMINAL</v>
          </cell>
          <cell r="H3145" t="str">
            <v>TER0457</v>
          </cell>
        </row>
        <row r="3146">
          <cell r="F3146" t="str">
            <v>WB25B-61210</v>
          </cell>
          <cell r="G3146" t="str">
            <v>TERMINAL</v>
          </cell>
          <cell r="H3146" t="str">
            <v>TER0456</v>
          </cell>
        </row>
        <row r="3147">
          <cell r="F3147" t="str">
            <v>SPS-61T-250S</v>
          </cell>
          <cell r="G3147" t="str">
            <v>TERMINAL</v>
          </cell>
          <cell r="H3147" t="str">
            <v>TER0453</v>
          </cell>
        </row>
        <row r="3148">
          <cell r="F3148" t="str">
            <v>SMT-250</v>
          </cell>
          <cell r="G3148" t="str">
            <v>TERMINAL</v>
          </cell>
          <cell r="H3148" t="str">
            <v>TER0451</v>
          </cell>
        </row>
        <row r="3149">
          <cell r="F3149">
            <v>5558</v>
          </cell>
          <cell r="G3149" t="str">
            <v>TERMINAL</v>
          </cell>
          <cell r="H3149" t="str">
            <v>TER0450</v>
          </cell>
        </row>
        <row r="3150">
          <cell r="F3150" t="str">
            <v>5556XL</v>
          </cell>
          <cell r="G3150" t="str">
            <v>TERMINAL</v>
          </cell>
          <cell r="H3150" t="str">
            <v>TER0449</v>
          </cell>
        </row>
        <row r="3151">
          <cell r="F3151" t="str">
            <v>ST730057-2</v>
          </cell>
          <cell r="G3151" t="str">
            <v>TERMINAL</v>
          </cell>
          <cell r="H3151" t="str">
            <v>TER0448</v>
          </cell>
        </row>
        <row r="3152">
          <cell r="F3152" t="str">
            <v>ST740637-3</v>
          </cell>
          <cell r="G3152" t="str">
            <v>TERMINAL</v>
          </cell>
          <cell r="H3152" t="str">
            <v>TER0447</v>
          </cell>
        </row>
        <row r="3153">
          <cell r="F3153" t="str">
            <v>ST740635-3</v>
          </cell>
          <cell r="G3153" t="str">
            <v>TERMINAL</v>
          </cell>
          <cell r="H3153" t="str">
            <v>TER0446</v>
          </cell>
        </row>
        <row r="3154">
          <cell r="F3154" t="str">
            <v>ST730679-3</v>
          </cell>
          <cell r="G3154" t="str">
            <v>TERMINAL</v>
          </cell>
          <cell r="H3154" t="str">
            <v>TER0445</v>
          </cell>
        </row>
        <row r="3155">
          <cell r="F3155" t="str">
            <v>ST730638-3</v>
          </cell>
          <cell r="G3155" t="str">
            <v>TERMINAL</v>
          </cell>
          <cell r="H3155" t="str">
            <v>TER0444</v>
          </cell>
        </row>
        <row r="3156">
          <cell r="F3156" t="str">
            <v>ST730621-3</v>
          </cell>
          <cell r="G3156" t="str">
            <v>TERMINAL</v>
          </cell>
          <cell r="H3156" t="str">
            <v>TER0443</v>
          </cell>
        </row>
        <row r="3157">
          <cell r="F3157" t="str">
            <v>ST730269-3</v>
          </cell>
          <cell r="G3157" t="str">
            <v>TERMINAL</v>
          </cell>
          <cell r="H3157" t="str">
            <v>TER0442</v>
          </cell>
        </row>
        <row r="3158">
          <cell r="F3158" t="str">
            <v>ST720157-2</v>
          </cell>
          <cell r="G3158" t="str">
            <v>TERMINAL</v>
          </cell>
          <cell r="H3158" t="str">
            <v>TER0441</v>
          </cell>
        </row>
        <row r="3159">
          <cell r="F3159" t="str">
            <v>ST711146-2</v>
          </cell>
          <cell r="G3159" t="str">
            <v>TERMINAL</v>
          </cell>
          <cell r="H3159" t="str">
            <v>TER0440</v>
          </cell>
        </row>
        <row r="3160">
          <cell r="F3160" t="str">
            <v>ST711139-2</v>
          </cell>
          <cell r="G3160" t="str">
            <v>TERMINAL</v>
          </cell>
          <cell r="H3160" t="str">
            <v>TER0439</v>
          </cell>
        </row>
        <row r="3161">
          <cell r="F3161" t="str">
            <v>ST710438-3</v>
          </cell>
          <cell r="G3161" t="str">
            <v>TERMINAL</v>
          </cell>
          <cell r="H3161" t="str">
            <v>TER0438</v>
          </cell>
        </row>
        <row r="3162">
          <cell r="F3162" t="str">
            <v>ST710095-2</v>
          </cell>
          <cell r="G3162" t="str">
            <v>TERMINAL</v>
          </cell>
          <cell r="H3162" t="str">
            <v>TER0437</v>
          </cell>
        </row>
        <row r="3163">
          <cell r="F3163" t="str">
            <v>HLT1005</v>
          </cell>
          <cell r="G3163" t="str">
            <v>TERMINAL</v>
          </cell>
          <cell r="H3163" t="str">
            <v>TER0436</v>
          </cell>
        </row>
        <row r="3164">
          <cell r="F3164" t="str">
            <v>GP-140098</v>
          </cell>
          <cell r="G3164" t="str">
            <v>TERMINAL</v>
          </cell>
          <cell r="H3164" t="str">
            <v>TER0435</v>
          </cell>
        </row>
        <row r="3165">
          <cell r="F3165" t="str">
            <v>GP-140096</v>
          </cell>
          <cell r="G3165" t="str">
            <v>TERMINAL</v>
          </cell>
          <cell r="H3165" t="str">
            <v>TER0434</v>
          </cell>
        </row>
        <row r="3166">
          <cell r="F3166" t="str">
            <v>GP-140080</v>
          </cell>
          <cell r="G3166" t="str">
            <v>TERMINAL</v>
          </cell>
          <cell r="H3166" t="str">
            <v>TER0433</v>
          </cell>
        </row>
        <row r="3167">
          <cell r="F3167" t="str">
            <v>DR3.5-5-2</v>
          </cell>
          <cell r="G3167" t="str">
            <v>TERMINAL</v>
          </cell>
          <cell r="H3167" t="str">
            <v>TER0432</v>
          </cell>
        </row>
        <row r="3168">
          <cell r="F3168" t="str">
            <v>179973-1</v>
          </cell>
          <cell r="G3168" t="str">
            <v>TERMINAL</v>
          </cell>
          <cell r="H3168" t="str">
            <v>TER0430</v>
          </cell>
        </row>
        <row r="3169">
          <cell r="F3169" t="str">
            <v>SIN-81T-3.6S</v>
          </cell>
          <cell r="G3169" t="str">
            <v>TERMINAL</v>
          </cell>
          <cell r="H3169" t="str">
            <v>TER0429</v>
          </cell>
        </row>
        <row r="3170">
          <cell r="F3170" t="str">
            <v>SIN-61T-2.6S</v>
          </cell>
          <cell r="G3170" t="str">
            <v>TERMINAL</v>
          </cell>
          <cell r="H3170" t="str">
            <v>TER0428</v>
          </cell>
        </row>
        <row r="3171">
          <cell r="F3171" t="str">
            <v>SIN-41T-2.4S</v>
          </cell>
          <cell r="G3171" t="str">
            <v>TERMINAL</v>
          </cell>
          <cell r="H3171" t="str">
            <v>TER0427</v>
          </cell>
        </row>
        <row r="3172">
          <cell r="F3172" t="str">
            <v>BLDC TERMINAL(GEUMSAN)</v>
          </cell>
          <cell r="G3172" t="str">
            <v>TERMINAL</v>
          </cell>
          <cell r="H3172" t="str">
            <v>TER0426</v>
          </cell>
        </row>
        <row r="3173">
          <cell r="F3173" t="str">
            <v>ST731342-3</v>
          </cell>
          <cell r="G3173" t="str">
            <v>TERMINAL</v>
          </cell>
          <cell r="H3173" t="str">
            <v>TER0425</v>
          </cell>
        </row>
        <row r="3174">
          <cell r="F3174">
            <v>1044848300</v>
          </cell>
          <cell r="G3174" t="str">
            <v>TERMINAL</v>
          </cell>
          <cell r="H3174" t="str">
            <v>TER0423</v>
          </cell>
        </row>
        <row r="3175">
          <cell r="F3175" t="str">
            <v>YDT200-C</v>
          </cell>
          <cell r="G3175" t="str">
            <v>TERMINAL</v>
          </cell>
          <cell r="H3175" t="str">
            <v>TER0421</v>
          </cell>
        </row>
        <row r="3176">
          <cell r="F3176" t="str">
            <v>ST730436-2</v>
          </cell>
          <cell r="G3176" t="str">
            <v>TERMINAL</v>
          </cell>
          <cell r="H3176" t="str">
            <v>TER0420</v>
          </cell>
        </row>
        <row r="3177">
          <cell r="F3177" t="str">
            <v>ST780487-3</v>
          </cell>
          <cell r="G3177" t="str">
            <v>TERMINAL</v>
          </cell>
          <cell r="H3177" t="str">
            <v>TER0419</v>
          </cell>
        </row>
        <row r="3178">
          <cell r="F3178" t="str">
            <v>YRT187-05(M)E</v>
          </cell>
          <cell r="G3178" t="str">
            <v>TERMINAL</v>
          </cell>
          <cell r="H3178" t="str">
            <v>TER0418</v>
          </cell>
        </row>
        <row r="3179">
          <cell r="F3179" t="str">
            <v>ST730851-2</v>
          </cell>
          <cell r="G3179" t="str">
            <v>TERMINAL</v>
          </cell>
          <cell r="H3179" t="str">
            <v>TER0417</v>
          </cell>
        </row>
        <row r="3180">
          <cell r="F3180" t="str">
            <v>ST730451-2</v>
          </cell>
          <cell r="G3180" t="str">
            <v>TERMINAL</v>
          </cell>
          <cell r="H3180" t="str">
            <v>TER0416</v>
          </cell>
        </row>
        <row r="3181">
          <cell r="F3181" t="str">
            <v>YT396C-RT(S)</v>
          </cell>
          <cell r="G3181" t="str">
            <v>TERMINAL</v>
          </cell>
          <cell r="H3181" t="str">
            <v>TER0414</v>
          </cell>
        </row>
        <row r="3182">
          <cell r="F3182" t="str">
            <v>YT396C-RT</v>
          </cell>
          <cell r="G3182" t="str">
            <v>TERMINAL</v>
          </cell>
          <cell r="H3182" t="str">
            <v>TER0413</v>
          </cell>
        </row>
        <row r="3183">
          <cell r="F3183" t="str">
            <v>AMP 927833-2</v>
          </cell>
          <cell r="G3183" t="str">
            <v>TERMINAL</v>
          </cell>
          <cell r="H3183" t="str">
            <v>TER0412</v>
          </cell>
        </row>
        <row r="3184">
          <cell r="F3184" t="str">
            <v>SMT603B-L</v>
          </cell>
          <cell r="G3184" t="str">
            <v>TERMINAL</v>
          </cell>
          <cell r="H3184" t="str">
            <v>TER0411</v>
          </cell>
        </row>
        <row r="3185">
          <cell r="F3185" t="str">
            <v>SPND-001T-C0.5</v>
          </cell>
          <cell r="G3185" t="str">
            <v>TERMINAL</v>
          </cell>
          <cell r="H3185" t="str">
            <v>TER0408</v>
          </cell>
        </row>
        <row r="3186">
          <cell r="F3186" t="str">
            <v>SZH-002T-P0.5</v>
          </cell>
          <cell r="G3186" t="str">
            <v>TERMINAL</v>
          </cell>
          <cell r="H3186" t="str">
            <v>TER0407</v>
          </cell>
        </row>
        <row r="3187">
          <cell r="F3187" t="str">
            <v>ST730641-3</v>
          </cell>
          <cell r="G3187" t="str">
            <v>TERMINAL</v>
          </cell>
          <cell r="H3187" t="str">
            <v>TER0406</v>
          </cell>
        </row>
        <row r="3188">
          <cell r="F3188" t="str">
            <v>ST710289-2</v>
          </cell>
          <cell r="G3188" t="str">
            <v>TERMINAL</v>
          </cell>
          <cell r="H3188" t="str">
            <v>TER0405</v>
          </cell>
        </row>
        <row r="3189">
          <cell r="F3189">
            <v>1044848000</v>
          </cell>
          <cell r="G3189" t="str">
            <v>TERMINAL</v>
          </cell>
          <cell r="H3189" t="str">
            <v>TER0403</v>
          </cell>
        </row>
        <row r="3190">
          <cell r="F3190" t="str">
            <v>61795-1</v>
          </cell>
          <cell r="G3190" t="str">
            <v>TERMINAL</v>
          </cell>
          <cell r="H3190" t="str">
            <v>TER0402</v>
          </cell>
        </row>
        <row r="3191">
          <cell r="F3191" t="str">
            <v>AT080023</v>
          </cell>
          <cell r="G3191" t="str">
            <v>TERMINAL</v>
          </cell>
          <cell r="H3191" t="str">
            <v>TER0401</v>
          </cell>
        </row>
        <row r="3192">
          <cell r="F3192" t="str">
            <v>HT2010001</v>
          </cell>
          <cell r="G3192" t="str">
            <v>TERMINAL</v>
          </cell>
          <cell r="H3192" t="str">
            <v>TER0400</v>
          </cell>
        </row>
        <row r="3193">
          <cell r="F3193" t="str">
            <v>ST761305-3</v>
          </cell>
          <cell r="G3193" t="str">
            <v>TERMINAL</v>
          </cell>
          <cell r="H3193" t="str">
            <v>TER0399</v>
          </cell>
        </row>
        <row r="3194">
          <cell r="F3194" t="str">
            <v>ST731324-3</v>
          </cell>
          <cell r="G3194" t="str">
            <v>TERMINAL</v>
          </cell>
          <cell r="H3194" t="str">
            <v>TER0398</v>
          </cell>
        </row>
        <row r="3195">
          <cell r="F3195" t="str">
            <v>DEP1-01026</v>
          </cell>
          <cell r="G3195" t="str">
            <v>TERMINAL</v>
          </cell>
          <cell r="H3195" t="str">
            <v>TER0397</v>
          </cell>
        </row>
        <row r="3196">
          <cell r="F3196" t="str">
            <v>350687-1</v>
          </cell>
          <cell r="G3196" t="str">
            <v>TERMINAL</v>
          </cell>
          <cell r="H3196" t="str">
            <v>TER0395</v>
          </cell>
        </row>
        <row r="3197">
          <cell r="F3197" t="str">
            <v>350629-1</v>
          </cell>
          <cell r="G3197" t="str">
            <v>TERMINAL</v>
          </cell>
          <cell r="H3197" t="str">
            <v>TER0394</v>
          </cell>
        </row>
        <row r="3198">
          <cell r="F3198" t="str">
            <v>ST741080-3</v>
          </cell>
          <cell r="G3198" t="str">
            <v>TERMINAL</v>
          </cell>
          <cell r="H3198" t="str">
            <v>TER0392</v>
          </cell>
        </row>
        <row r="3199">
          <cell r="F3199" t="str">
            <v>ST761320-3</v>
          </cell>
          <cell r="G3199" t="str">
            <v>TERMINAL</v>
          </cell>
          <cell r="H3199" t="str">
            <v>TER0390</v>
          </cell>
        </row>
        <row r="3200">
          <cell r="F3200" t="str">
            <v>40-06-2013</v>
          </cell>
          <cell r="G3200" t="str">
            <v>TERMINAL</v>
          </cell>
          <cell r="H3200" t="str">
            <v>TER0389</v>
          </cell>
        </row>
        <row r="3201">
          <cell r="F3201" t="str">
            <v>780400-3</v>
          </cell>
          <cell r="G3201" t="str">
            <v>TERMINAL</v>
          </cell>
          <cell r="H3201" t="str">
            <v>TER0388</v>
          </cell>
        </row>
        <row r="3202">
          <cell r="F3202" t="str">
            <v>C5201S-EH,T0.3</v>
          </cell>
          <cell r="G3202" t="str">
            <v>TERMINAL</v>
          </cell>
          <cell r="H3202" t="str">
            <v>TER0387</v>
          </cell>
        </row>
        <row r="3203">
          <cell r="F3203" t="str">
            <v>730678-3</v>
          </cell>
          <cell r="G3203" t="str">
            <v>TERMINAL</v>
          </cell>
          <cell r="H3203" t="str">
            <v>TER0386</v>
          </cell>
        </row>
        <row r="3204">
          <cell r="F3204" t="str">
            <v>35418-9002</v>
          </cell>
          <cell r="G3204" t="str">
            <v>TERMINAL</v>
          </cell>
          <cell r="H3204" t="str">
            <v>TER0384</v>
          </cell>
        </row>
        <row r="3205">
          <cell r="F3205" t="str">
            <v>YST025L3</v>
          </cell>
          <cell r="G3205" t="str">
            <v>TERMINAL</v>
          </cell>
          <cell r="H3205" t="str">
            <v>TER0383</v>
          </cell>
        </row>
        <row r="3206">
          <cell r="F3206" t="str">
            <v>PIN PLUG</v>
          </cell>
          <cell r="G3206" t="str">
            <v>TERMINAL</v>
          </cell>
          <cell r="H3206" t="str">
            <v>TER0382</v>
          </cell>
        </row>
        <row r="3207">
          <cell r="F3207" t="str">
            <v>15001TS</v>
          </cell>
          <cell r="G3207" t="str">
            <v>TERMINAL</v>
          </cell>
          <cell r="H3207" t="str">
            <v>TER0380</v>
          </cell>
        </row>
        <row r="3208">
          <cell r="F3208" t="str">
            <v>SHF-001T-0.8BS</v>
          </cell>
          <cell r="G3208" t="str">
            <v>TERMINAL</v>
          </cell>
          <cell r="H3208" t="str">
            <v>TER0378</v>
          </cell>
        </row>
        <row r="3209">
          <cell r="F3209" t="str">
            <v>SSF-21T-P1.4AB(W)</v>
          </cell>
          <cell r="G3209" t="str">
            <v>TERMINAL</v>
          </cell>
          <cell r="H3209" t="str">
            <v>TER0377</v>
          </cell>
        </row>
        <row r="3210">
          <cell r="F3210" t="str">
            <v>ST730267-3</v>
          </cell>
          <cell r="G3210" t="str">
            <v>TERMINAL</v>
          </cell>
          <cell r="H3210" t="str">
            <v>TER0376</v>
          </cell>
        </row>
        <row r="3211">
          <cell r="F3211" t="str">
            <v>ST730206-3</v>
          </cell>
          <cell r="G3211" t="str">
            <v>TERMINAL</v>
          </cell>
          <cell r="H3211" t="str">
            <v>TER0375</v>
          </cell>
        </row>
        <row r="3212">
          <cell r="F3212" t="str">
            <v>ST731293-3</v>
          </cell>
          <cell r="G3212" t="str">
            <v>TERMINAL</v>
          </cell>
          <cell r="H3212" t="str">
            <v>TER0374</v>
          </cell>
        </row>
        <row r="3213">
          <cell r="F3213" t="str">
            <v>ST731217-3</v>
          </cell>
          <cell r="G3213" t="str">
            <v>TERMINAL</v>
          </cell>
          <cell r="H3213" t="str">
            <v>TER0373</v>
          </cell>
        </row>
        <row r="3214">
          <cell r="F3214" t="str">
            <v>YNST</v>
          </cell>
          <cell r="G3214" t="str">
            <v>TERMINAL</v>
          </cell>
          <cell r="H3214" t="str">
            <v>TER0370</v>
          </cell>
        </row>
        <row r="3215">
          <cell r="F3215" t="str">
            <v>ST741085-3</v>
          </cell>
          <cell r="G3215" t="str">
            <v>TERMINAL</v>
          </cell>
          <cell r="H3215" t="str">
            <v>TER0369</v>
          </cell>
        </row>
        <row r="3216">
          <cell r="F3216" t="str">
            <v>ST740836-3</v>
          </cell>
          <cell r="G3216" t="str">
            <v>TERMINAL</v>
          </cell>
          <cell r="H3216" t="str">
            <v>TER0367</v>
          </cell>
        </row>
        <row r="3217">
          <cell r="F3217" t="str">
            <v>YST200-C</v>
          </cell>
          <cell r="G3217" t="str">
            <v>TERMINAL</v>
          </cell>
          <cell r="H3217" t="str">
            <v>TER0365</v>
          </cell>
        </row>
        <row r="3218">
          <cell r="F3218" t="str">
            <v>YT396B-RT(S)</v>
          </cell>
          <cell r="G3218" t="str">
            <v>TERMINAL</v>
          </cell>
          <cell r="H3218" t="str">
            <v>TER0364</v>
          </cell>
        </row>
        <row r="3219">
          <cell r="F3219" t="str">
            <v>DEP1-00266</v>
          </cell>
          <cell r="G3219" t="str">
            <v>TERMINAL</v>
          </cell>
          <cell r="H3219" t="str">
            <v>TER0363</v>
          </cell>
        </row>
        <row r="3220">
          <cell r="F3220" t="str">
            <v>DEP1-00256</v>
          </cell>
          <cell r="G3220" t="str">
            <v>TERMINAL</v>
          </cell>
          <cell r="H3220" t="str">
            <v>TER0362</v>
          </cell>
        </row>
        <row r="3221">
          <cell r="F3221" t="str">
            <v>DEP1-00246</v>
          </cell>
          <cell r="G3221" t="str">
            <v>TERMINAL</v>
          </cell>
          <cell r="H3221" t="str">
            <v>TER0361</v>
          </cell>
        </row>
        <row r="3222">
          <cell r="F3222" t="str">
            <v>DEP1-00236</v>
          </cell>
          <cell r="G3222" t="str">
            <v>TERMINAL</v>
          </cell>
          <cell r="H3222" t="str">
            <v>TER0360</v>
          </cell>
        </row>
        <row r="3223">
          <cell r="F3223" t="str">
            <v>DEP2-00223</v>
          </cell>
          <cell r="G3223" t="str">
            <v>TERMINAL</v>
          </cell>
          <cell r="H3223" t="str">
            <v>TER0359</v>
          </cell>
        </row>
        <row r="3224">
          <cell r="F3224" t="str">
            <v>DEP2-00213</v>
          </cell>
          <cell r="G3224" t="str">
            <v>TERMINAL</v>
          </cell>
          <cell r="H3224" t="str">
            <v>TER0358</v>
          </cell>
        </row>
        <row r="3225">
          <cell r="F3225" t="str">
            <v>DEP2-00203</v>
          </cell>
          <cell r="G3225" t="str">
            <v>TERMINAL</v>
          </cell>
          <cell r="H3225" t="str">
            <v>TER0357</v>
          </cell>
        </row>
        <row r="3226">
          <cell r="F3226" t="str">
            <v>DEP2-00193</v>
          </cell>
          <cell r="G3226" t="str">
            <v>TERMINAL</v>
          </cell>
          <cell r="H3226" t="str">
            <v>TER0356</v>
          </cell>
        </row>
        <row r="3227">
          <cell r="F3227" t="str">
            <v>DEP1-00186</v>
          </cell>
          <cell r="G3227" t="str">
            <v>TERMINAL</v>
          </cell>
          <cell r="H3227" t="str">
            <v>TER0355</v>
          </cell>
        </row>
        <row r="3228">
          <cell r="F3228" t="str">
            <v>DEP1-00176</v>
          </cell>
          <cell r="G3228" t="str">
            <v>TERMINAL</v>
          </cell>
          <cell r="H3228" t="str">
            <v>TER0354</v>
          </cell>
        </row>
        <row r="3229">
          <cell r="F3229" t="str">
            <v>DEP1-00166</v>
          </cell>
          <cell r="G3229" t="str">
            <v>TERMINAL</v>
          </cell>
          <cell r="H3229" t="str">
            <v>TER0353</v>
          </cell>
        </row>
        <row r="3230">
          <cell r="F3230" t="str">
            <v>DEP1-00156</v>
          </cell>
          <cell r="G3230" t="str">
            <v>TERMINAL</v>
          </cell>
          <cell r="H3230" t="str">
            <v>TER0352</v>
          </cell>
        </row>
        <row r="3231">
          <cell r="F3231" t="str">
            <v>DEP2-00143</v>
          </cell>
          <cell r="G3231" t="str">
            <v>TERMINAL</v>
          </cell>
          <cell r="H3231" t="str">
            <v>TER0351</v>
          </cell>
        </row>
        <row r="3232">
          <cell r="F3232" t="str">
            <v>DEP2-00133</v>
          </cell>
          <cell r="G3232" t="str">
            <v>TERMINAL</v>
          </cell>
          <cell r="H3232" t="str">
            <v>TER0350</v>
          </cell>
        </row>
        <row r="3233">
          <cell r="F3233" t="str">
            <v>DEP2-00123</v>
          </cell>
          <cell r="G3233" t="str">
            <v>TERMINAL</v>
          </cell>
          <cell r="H3233" t="str">
            <v>TER0349</v>
          </cell>
        </row>
        <row r="3234">
          <cell r="F3234" t="str">
            <v>DEP2-00113</v>
          </cell>
          <cell r="G3234" t="str">
            <v>TERMINAL</v>
          </cell>
          <cell r="H3234" t="str">
            <v>TER0348</v>
          </cell>
        </row>
        <row r="3235">
          <cell r="F3235" t="str">
            <v>ST741296-3</v>
          </cell>
          <cell r="G3235" t="str">
            <v>TERMINAL</v>
          </cell>
          <cell r="H3235" t="str">
            <v>TER0344</v>
          </cell>
        </row>
        <row r="3236">
          <cell r="F3236" t="str">
            <v>ST741298-3</v>
          </cell>
          <cell r="G3236" t="str">
            <v>TERMINAL</v>
          </cell>
          <cell r="H3236" t="str">
            <v>TER0343</v>
          </cell>
        </row>
        <row r="3237">
          <cell r="F3237" t="str">
            <v>ST741295-3</v>
          </cell>
          <cell r="G3237" t="str">
            <v>TERMINAL</v>
          </cell>
          <cell r="H3237" t="str">
            <v>TER0342</v>
          </cell>
        </row>
        <row r="3238">
          <cell r="F3238" t="str">
            <v>ST741297-3</v>
          </cell>
          <cell r="G3238" t="str">
            <v>TERMINAL</v>
          </cell>
          <cell r="H3238" t="str">
            <v>TER0341</v>
          </cell>
        </row>
        <row r="3239">
          <cell r="F3239" t="str">
            <v>ST741086-3</v>
          </cell>
          <cell r="G3239" t="str">
            <v>TERMINAL</v>
          </cell>
          <cell r="H3239" t="str">
            <v>TER0340</v>
          </cell>
        </row>
        <row r="3240">
          <cell r="F3240" t="str">
            <v>LCT-03B</v>
          </cell>
          <cell r="G3240" t="str">
            <v>TERMINAL</v>
          </cell>
          <cell r="H3240" t="str">
            <v>TER0339</v>
          </cell>
        </row>
        <row r="3241">
          <cell r="F3241" t="str">
            <v>ST731228-3</v>
          </cell>
          <cell r="G3241" t="str">
            <v>TERMINAL</v>
          </cell>
          <cell r="H3241" t="str">
            <v>TER0338</v>
          </cell>
        </row>
        <row r="3242">
          <cell r="F3242" t="str">
            <v>KFT-41T-6</v>
          </cell>
          <cell r="G3242" t="str">
            <v>TERMINAL</v>
          </cell>
          <cell r="H3242" t="str">
            <v>TER0336</v>
          </cell>
        </row>
        <row r="3243">
          <cell r="F3243" t="str">
            <v>ST731177-3</v>
          </cell>
          <cell r="G3243" t="str">
            <v>TERMINAL</v>
          </cell>
          <cell r="H3243" t="str">
            <v>TER0335</v>
          </cell>
        </row>
        <row r="3244">
          <cell r="F3244" t="str">
            <v>170324-1</v>
          </cell>
          <cell r="G3244" t="str">
            <v>TERMINAL</v>
          </cell>
          <cell r="H3244" t="str">
            <v>TER0334</v>
          </cell>
        </row>
        <row r="3245">
          <cell r="F3245" t="str">
            <v>YDT236(M)SB</v>
          </cell>
          <cell r="G3245" t="str">
            <v>TERMINAL</v>
          </cell>
          <cell r="H3245" t="str">
            <v>TER0333</v>
          </cell>
        </row>
        <row r="3246">
          <cell r="F3246" t="str">
            <v>ST731235-2</v>
          </cell>
          <cell r="G3246" t="str">
            <v>TERMINAL</v>
          </cell>
          <cell r="H3246" t="str">
            <v>TER0332</v>
          </cell>
        </row>
        <row r="3247">
          <cell r="F3247" t="str">
            <v>YST200-CRT</v>
          </cell>
          <cell r="G3247" t="str">
            <v>TERMINAL</v>
          </cell>
          <cell r="H3247" t="str">
            <v>TER0331</v>
          </cell>
        </row>
        <row r="3248">
          <cell r="F3248" t="str">
            <v>ST741084-3</v>
          </cell>
          <cell r="G3248" t="str">
            <v>TERMINAL</v>
          </cell>
          <cell r="H3248" t="str">
            <v>TER0329</v>
          </cell>
        </row>
        <row r="3249">
          <cell r="F3249" t="str">
            <v>ST760149-1</v>
          </cell>
          <cell r="G3249" t="str">
            <v>TERMINAL</v>
          </cell>
          <cell r="H3249" t="str">
            <v>TER0328</v>
          </cell>
        </row>
        <row r="3250">
          <cell r="F3250" t="str">
            <v>ST740255-3</v>
          </cell>
          <cell r="G3250" t="str">
            <v>TERMINAL</v>
          </cell>
          <cell r="H3250" t="str">
            <v>TER0326</v>
          </cell>
        </row>
        <row r="3251">
          <cell r="F3251" t="str">
            <v>DEP1-00105</v>
          </cell>
          <cell r="G3251" t="str">
            <v>TERMINAL</v>
          </cell>
          <cell r="H3251" t="str">
            <v>TER0324</v>
          </cell>
        </row>
        <row r="3252">
          <cell r="F3252" t="str">
            <v>ST731081-3</v>
          </cell>
          <cell r="G3252" t="str">
            <v>TERMINAL</v>
          </cell>
          <cell r="H3252" t="str">
            <v>TER0323</v>
          </cell>
        </row>
        <row r="3253">
          <cell r="F3253" t="str">
            <v>ST740367-3</v>
          </cell>
          <cell r="G3253" t="str">
            <v>TERMINAL</v>
          </cell>
          <cell r="H3253" t="str">
            <v>TER0322</v>
          </cell>
        </row>
        <row r="3254">
          <cell r="F3254" t="str">
            <v>740829-3</v>
          </cell>
          <cell r="G3254" t="str">
            <v>TERMINAL</v>
          </cell>
          <cell r="H3254" t="str">
            <v>TER0321</v>
          </cell>
        </row>
        <row r="3255">
          <cell r="F3255" t="str">
            <v>SMT420-B</v>
          </cell>
          <cell r="G3255" t="str">
            <v>TERMINAL</v>
          </cell>
          <cell r="H3255" t="str">
            <v>TER0320</v>
          </cell>
        </row>
        <row r="3256">
          <cell r="F3256" t="str">
            <v>SMT420</v>
          </cell>
          <cell r="G3256" t="str">
            <v>TERMINAL</v>
          </cell>
          <cell r="H3256" t="str">
            <v>TER0319</v>
          </cell>
        </row>
        <row r="3257">
          <cell r="F3257" t="str">
            <v>177916-1</v>
          </cell>
          <cell r="G3257" t="str">
            <v>TERMINAL</v>
          </cell>
          <cell r="H3257" t="str">
            <v>TER0318</v>
          </cell>
        </row>
        <row r="3258">
          <cell r="F3258" t="str">
            <v>ST740816-3</v>
          </cell>
          <cell r="G3258" t="str">
            <v>TERMINAL</v>
          </cell>
          <cell r="H3258" t="str">
            <v>TER0317</v>
          </cell>
        </row>
        <row r="3259">
          <cell r="F3259" t="str">
            <v>ST740833-3</v>
          </cell>
          <cell r="G3259" t="str">
            <v>TERMINAL</v>
          </cell>
          <cell r="H3259" t="str">
            <v>TER0316</v>
          </cell>
        </row>
        <row r="3260">
          <cell r="F3260" t="str">
            <v>ST740812-3</v>
          </cell>
          <cell r="G3260" t="str">
            <v>TERMINAL</v>
          </cell>
          <cell r="H3260" t="str">
            <v>TER0315</v>
          </cell>
        </row>
        <row r="3261">
          <cell r="F3261" t="str">
            <v>12505TS-1</v>
          </cell>
          <cell r="G3261" t="str">
            <v>TERMINAL</v>
          </cell>
          <cell r="H3261" t="str">
            <v>TER0312</v>
          </cell>
        </row>
        <row r="3262">
          <cell r="F3262" t="str">
            <v>SSF-01T-P1.4</v>
          </cell>
          <cell r="G3262" t="str">
            <v>TERMINAL</v>
          </cell>
          <cell r="H3262" t="str">
            <v>TER0311</v>
          </cell>
        </row>
        <row r="3263">
          <cell r="F3263" t="str">
            <v>JOINT S</v>
          </cell>
          <cell r="G3263" t="str">
            <v>TERMINAL</v>
          </cell>
          <cell r="H3263" t="str">
            <v>TER0310</v>
          </cell>
        </row>
        <row r="3264">
          <cell r="F3264" t="str">
            <v>ST731082-3</v>
          </cell>
          <cell r="G3264" t="str">
            <v>TERMINAL</v>
          </cell>
          <cell r="H3264" t="str">
            <v>TER0308</v>
          </cell>
        </row>
        <row r="3265">
          <cell r="F3265" t="str">
            <v>ST730135-3</v>
          </cell>
          <cell r="G3265" t="str">
            <v>TERMINAL</v>
          </cell>
          <cell r="H3265" t="str">
            <v>TER0307</v>
          </cell>
        </row>
        <row r="3266">
          <cell r="F3266" t="str">
            <v>YBST200</v>
          </cell>
          <cell r="G3266" t="str">
            <v>TERMINAL</v>
          </cell>
          <cell r="H3266" t="str">
            <v>TER0306</v>
          </cell>
        </row>
        <row r="3267">
          <cell r="F3267" t="str">
            <v>ST731131-3</v>
          </cell>
          <cell r="G3267" t="str">
            <v>TERMINAL</v>
          </cell>
          <cell r="H3267" t="str">
            <v>TER0303</v>
          </cell>
        </row>
        <row r="3268">
          <cell r="F3268" t="str">
            <v>ST730191-2</v>
          </cell>
          <cell r="G3268" t="str">
            <v>TERMINAL</v>
          </cell>
          <cell r="H3268" t="str">
            <v>TER0302</v>
          </cell>
        </row>
        <row r="3269">
          <cell r="F3269" t="str">
            <v>ST731079-3</v>
          </cell>
          <cell r="G3269" t="str">
            <v>TERMINAL</v>
          </cell>
          <cell r="H3269" t="str">
            <v>TER0299</v>
          </cell>
        </row>
        <row r="3270">
          <cell r="F3270" t="str">
            <v>ST760320-2</v>
          </cell>
          <cell r="G3270" t="str">
            <v>TERMINAL</v>
          </cell>
          <cell r="H3270" t="str">
            <v>TER0298</v>
          </cell>
        </row>
        <row r="3271">
          <cell r="F3271" t="str">
            <v>ST730629-3</v>
          </cell>
          <cell r="G3271" t="str">
            <v>TERMINAL</v>
          </cell>
          <cell r="H3271" t="str">
            <v>TER0297</v>
          </cell>
        </row>
        <row r="3272">
          <cell r="F3272" t="str">
            <v>ST730526-3</v>
          </cell>
          <cell r="G3272" t="str">
            <v>TERMINAL</v>
          </cell>
          <cell r="H3272" t="str">
            <v>TER0296</v>
          </cell>
        </row>
        <row r="3273">
          <cell r="F3273" t="str">
            <v>1565080-1</v>
          </cell>
          <cell r="G3273" t="str">
            <v>TERMINAL</v>
          </cell>
          <cell r="H3273" t="str">
            <v>TER0295</v>
          </cell>
        </row>
        <row r="3274">
          <cell r="F3274" t="str">
            <v>ST730291-3</v>
          </cell>
          <cell r="G3274" t="str">
            <v>TERMINAL</v>
          </cell>
          <cell r="H3274" t="str">
            <v>TER0290</v>
          </cell>
        </row>
        <row r="3275">
          <cell r="F3275" t="str">
            <v>YBAT200</v>
          </cell>
          <cell r="G3275" t="str">
            <v>TERMINAL</v>
          </cell>
          <cell r="H3275" t="str">
            <v>TER0289</v>
          </cell>
        </row>
        <row r="3276">
          <cell r="F3276" t="str">
            <v>SXAM-001T-P0.6</v>
          </cell>
          <cell r="G3276" t="str">
            <v>TERMINAL</v>
          </cell>
          <cell r="H3276" t="str">
            <v>TER0288</v>
          </cell>
        </row>
        <row r="3277">
          <cell r="F3277" t="str">
            <v>YT396B-RT</v>
          </cell>
          <cell r="G3277" t="str">
            <v>TERMINAL</v>
          </cell>
          <cell r="H3277" t="str">
            <v>TER0286</v>
          </cell>
        </row>
        <row r="3278">
          <cell r="F3278" t="str">
            <v>173645-1</v>
          </cell>
          <cell r="G3278" t="str">
            <v>TERMINAL</v>
          </cell>
          <cell r="H3278" t="str">
            <v>TER0284</v>
          </cell>
        </row>
        <row r="3279">
          <cell r="F3279" t="str">
            <v>173633-1</v>
          </cell>
          <cell r="G3279" t="str">
            <v>TERMINAL</v>
          </cell>
          <cell r="H3279" t="str">
            <v>TER0283</v>
          </cell>
        </row>
        <row r="3280">
          <cell r="F3280" t="str">
            <v>770901-1</v>
          </cell>
          <cell r="G3280" t="str">
            <v>TERMINAL</v>
          </cell>
          <cell r="H3280" t="str">
            <v>TER0282</v>
          </cell>
        </row>
        <row r="3281">
          <cell r="F3281" t="str">
            <v>YRT187-05MED</v>
          </cell>
          <cell r="G3281" t="str">
            <v>TERMINAL</v>
          </cell>
          <cell r="H3281" t="str">
            <v>TER0281</v>
          </cell>
        </row>
        <row r="3282">
          <cell r="F3282" t="str">
            <v>ST740693-3</v>
          </cell>
          <cell r="G3282" t="str">
            <v>TERMINAL</v>
          </cell>
          <cell r="H3282" t="str">
            <v>TER0278</v>
          </cell>
        </row>
        <row r="3283">
          <cell r="F3283" t="str">
            <v>ST731032-3</v>
          </cell>
          <cell r="G3283" t="str">
            <v>TERMINAL</v>
          </cell>
          <cell r="H3283" t="str">
            <v>TER0277</v>
          </cell>
        </row>
        <row r="3284">
          <cell r="F3284" t="str">
            <v>ST731031-3</v>
          </cell>
          <cell r="G3284" t="str">
            <v>TERMINAL</v>
          </cell>
          <cell r="H3284" t="str">
            <v>TER0276</v>
          </cell>
        </row>
        <row r="3285">
          <cell r="F3285" t="str">
            <v>ST740871-3</v>
          </cell>
          <cell r="G3285" t="str">
            <v>TERMINAL</v>
          </cell>
          <cell r="H3285" t="str">
            <v>TER0275</v>
          </cell>
        </row>
        <row r="3286">
          <cell r="F3286" t="str">
            <v>ST731019-3</v>
          </cell>
          <cell r="G3286" t="str">
            <v>TERMINAL</v>
          </cell>
          <cell r="H3286" t="str">
            <v>TER0273</v>
          </cell>
        </row>
        <row r="3287">
          <cell r="F3287" t="str">
            <v>AMP177917-1</v>
          </cell>
          <cell r="G3287" t="str">
            <v>TERMINAL</v>
          </cell>
          <cell r="H3287" t="str">
            <v>TER0272</v>
          </cell>
        </row>
        <row r="3288">
          <cell r="F3288" t="str">
            <v>GME-T107-M04</v>
          </cell>
          <cell r="G3288" t="str">
            <v>TERMINAL</v>
          </cell>
          <cell r="H3288" t="str">
            <v>TER0269</v>
          </cell>
        </row>
        <row r="3289">
          <cell r="F3289" t="str">
            <v>770904-1(SOCKET 22-18)</v>
          </cell>
          <cell r="G3289" t="str">
            <v>TERMINAL</v>
          </cell>
          <cell r="H3289" t="str">
            <v>TER0266</v>
          </cell>
        </row>
        <row r="3290">
          <cell r="F3290" t="str">
            <v>770903-1</v>
          </cell>
          <cell r="G3290" t="str">
            <v>TERMINAL</v>
          </cell>
          <cell r="H3290" t="str">
            <v>TER0265</v>
          </cell>
        </row>
        <row r="3291">
          <cell r="F3291" t="str">
            <v>SSM-21T-P1.4</v>
          </cell>
          <cell r="G3291" t="str">
            <v>TERMINAL</v>
          </cell>
          <cell r="H3291" t="str">
            <v>TER0264</v>
          </cell>
        </row>
        <row r="3292">
          <cell r="F3292" t="str">
            <v>0039000454(5558T2-A)</v>
          </cell>
          <cell r="G3292" t="str">
            <v>TERMINAL</v>
          </cell>
          <cell r="H3292" t="str">
            <v>TER0263</v>
          </cell>
        </row>
        <row r="3293">
          <cell r="F3293" t="str">
            <v>35748-0410</v>
          </cell>
          <cell r="G3293" t="str">
            <v>TERMINAL</v>
          </cell>
          <cell r="H3293" t="str">
            <v>TER0262</v>
          </cell>
        </row>
        <row r="3294">
          <cell r="F3294" t="str">
            <v>35747-0410</v>
          </cell>
          <cell r="G3294" t="str">
            <v>TERMINAL</v>
          </cell>
          <cell r="H3294" t="str">
            <v>TER0261</v>
          </cell>
        </row>
        <row r="3295">
          <cell r="F3295" t="str">
            <v>35746-0410</v>
          </cell>
          <cell r="G3295" t="str">
            <v>TERMINAL</v>
          </cell>
          <cell r="H3295" t="str">
            <v>TER0260</v>
          </cell>
        </row>
        <row r="3296">
          <cell r="F3296" t="str">
            <v>35745-0410</v>
          </cell>
          <cell r="G3296" t="str">
            <v>TERMINAL</v>
          </cell>
          <cell r="H3296" t="str">
            <v>TER0259</v>
          </cell>
        </row>
        <row r="3297">
          <cell r="F3297" t="str">
            <v>ST730567-3</v>
          </cell>
          <cell r="G3297" t="str">
            <v>TERMINAL</v>
          </cell>
          <cell r="H3297" t="str">
            <v>TER0258</v>
          </cell>
        </row>
        <row r="3298">
          <cell r="F3298" t="str">
            <v>(39000453)5556T2-A</v>
          </cell>
          <cell r="G3298" t="str">
            <v>TERMINAL</v>
          </cell>
          <cell r="H3298" t="str">
            <v>TER0257</v>
          </cell>
        </row>
        <row r="3299">
          <cell r="F3299" t="str">
            <v>SPA-001T-P0.5</v>
          </cell>
          <cell r="G3299" t="str">
            <v>TERMINAL</v>
          </cell>
          <cell r="H3299" t="str">
            <v>TER0256</v>
          </cell>
        </row>
        <row r="3300">
          <cell r="F3300" t="str">
            <v>SPAL-001T-P0.5A</v>
          </cell>
          <cell r="G3300" t="str">
            <v>TERMINAL</v>
          </cell>
          <cell r="H3300" t="str">
            <v>TER0255</v>
          </cell>
        </row>
        <row r="3301">
          <cell r="F3301" t="str">
            <v>SXM-001T-P0.6</v>
          </cell>
          <cell r="G3301" t="str">
            <v>TERMINAL</v>
          </cell>
          <cell r="H3301" t="str">
            <v>TER0254</v>
          </cell>
        </row>
        <row r="3302">
          <cell r="F3302" t="str">
            <v>SXA-001T-P0.6</v>
          </cell>
          <cell r="G3302" t="str">
            <v>TERMINAL</v>
          </cell>
          <cell r="H3302" t="str">
            <v>TER0253</v>
          </cell>
        </row>
        <row r="3303">
          <cell r="F3303" t="str">
            <v>YT396(JL)</v>
          </cell>
          <cell r="G3303" t="str">
            <v>TERMINAL</v>
          </cell>
          <cell r="H3303" t="str">
            <v>TER0252</v>
          </cell>
        </row>
        <row r="3304">
          <cell r="F3304" t="str">
            <v>170328-1</v>
          </cell>
          <cell r="G3304" t="str">
            <v>TERMINAL</v>
          </cell>
          <cell r="H3304" t="str">
            <v>TER0251</v>
          </cell>
        </row>
        <row r="3305">
          <cell r="F3305" t="str">
            <v>ST710197-2</v>
          </cell>
          <cell r="G3305" t="str">
            <v>TERMINAL</v>
          </cell>
          <cell r="H3305" t="str">
            <v>TER0250</v>
          </cell>
        </row>
        <row r="3306">
          <cell r="F3306" t="str">
            <v>ST710944-3</v>
          </cell>
          <cell r="G3306" t="str">
            <v>TERMINAL</v>
          </cell>
          <cell r="H3306" t="str">
            <v>TER0249</v>
          </cell>
        </row>
        <row r="3307">
          <cell r="F3307" t="str">
            <v>5241T</v>
          </cell>
          <cell r="G3307" t="str">
            <v>TERMINAL</v>
          </cell>
          <cell r="H3307" t="str">
            <v>TER0245</v>
          </cell>
        </row>
        <row r="3308">
          <cell r="F3308" t="str">
            <v>ST710155-3</v>
          </cell>
          <cell r="G3308" t="str">
            <v>TERMINAL</v>
          </cell>
          <cell r="H3308" t="str">
            <v>TER0244</v>
          </cell>
        </row>
        <row r="3309">
          <cell r="F3309" t="str">
            <v>ST730099-1</v>
          </cell>
          <cell r="G3309" t="str">
            <v>TERMINAL</v>
          </cell>
          <cell r="H3309" t="str">
            <v>TER0243</v>
          </cell>
        </row>
        <row r="3310">
          <cell r="F3310" t="str">
            <v>SPH-002T-P0.5S</v>
          </cell>
          <cell r="G3310" t="str">
            <v>TERMINAL</v>
          </cell>
          <cell r="H3310" t="str">
            <v>TER0238</v>
          </cell>
        </row>
        <row r="3311">
          <cell r="F3311" t="str">
            <v>ST740254-3</v>
          </cell>
          <cell r="G3311" t="str">
            <v>TERMINAL</v>
          </cell>
          <cell r="H3311" t="str">
            <v>TER0237</v>
          </cell>
        </row>
        <row r="3312">
          <cell r="F3312" t="str">
            <v>ST710236-3</v>
          </cell>
          <cell r="G3312" t="str">
            <v>TERMINAL</v>
          </cell>
          <cell r="H3312" t="str">
            <v>TER0236</v>
          </cell>
        </row>
        <row r="3313">
          <cell r="F3313" t="str">
            <v>SYM-41T-P0.5A</v>
          </cell>
          <cell r="G3313" t="str">
            <v>TERMINAL</v>
          </cell>
          <cell r="H3313" t="str">
            <v>TER0232</v>
          </cell>
        </row>
        <row r="3314">
          <cell r="F3314" t="str">
            <v>SYM-01T-P0.5A</v>
          </cell>
          <cell r="G3314" t="str">
            <v>TERMINAL</v>
          </cell>
          <cell r="H3314" t="str">
            <v>TER0231</v>
          </cell>
        </row>
        <row r="3315">
          <cell r="F3315" t="str">
            <v>SYF-41T-P0.5A</v>
          </cell>
          <cell r="G3315" t="str">
            <v>TERMINAL</v>
          </cell>
          <cell r="H3315" t="str">
            <v>TER0230</v>
          </cell>
        </row>
        <row r="3316">
          <cell r="F3316" t="str">
            <v>ST730268-3</v>
          </cell>
          <cell r="G3316" t="str">
            <v>TERMINAL</v>
          </cell>
          <cell r="H3316" t="str">
            <v>TER0229</v>
          </cell>
        </row>
        <row r="3317">
          <cell r="F3317" t="str">
            <v>SYF-01T-P0.5A</v>
          </cell>
          <cell r="G3317" t="str">
            <v>TERMINAL</v>
          </cell>
          <cell r="H3317" t="str">
            <v>TER0228</v>
          </cell>
        </row>
        <row r="3318">
          <cell r="F3318" t="str">
            <v>ST710226-2</v>
          </cell>
          <cell r="G3318" t="str">
            <v>TERMINAL</v>
          </cell>
          <cell r="H3318" t="str">
            <v>TER0225</v>
          </cell>
        </row>
        <row r="3319">
          <cell r="F3319" t="str">
            <v>ST730948-3</v>
          </cell>
          <cell r="G3319" t="str">
            <v>TERMINAL</v>
          </cell>
          <cell r="H3319" t="str">
            <v>TER0217</v>
          </cell>
        </row>
        <row r="3320">
          <cell r="F3320" t="str">
            <v>ST730697-3</v>
          </cell>
          <cell r="G3320" t="str">
            <v>TERMINAL</v>
          </cell>
          <cell r="H3320" t="str">
            <v>TER0216</v>
          </cell>
        </row>
        <row r="3321">
          <cell r="F3321" t="str">
            <v>ST730619-3</v>
          </cell>
          <cell r="G3321" t="str">
            <v>TERMINAL</v>
          </cell>
          <cell r="H3321" t="str">
            <v>TER0215</v>
          </cell>
        </row>
        <row r="3322">
          <cell r="F3322" t="str">
            <v>ST730574-3</v>
          </cell>
          <cell r="G3322" t="str">
            <v>TERMINAL</v>
          </cell>
          <cell r="H3322" t="str">
            <v>TER0214</v>
          </cell>
        </row>
        <row r="3323">
          <cell r="F3323" t="str">
            <v>ST730695-3</v>
          </cell>
          <cell r="G3323" t="str">
            <v>TERMINAL</v>
          </cell>
          <cell r="H3323" t="str">
            <v>TER0213</v>
          </cell>
        </row>
        <row r="3324">
          <cell r="F3324" t="str">
            <v>ST730222-3</v>
          </cell>
          <cell r="G3324" t="str">
            <v>TERMINAL</v>
          </cell>
          <cell r="H3324" t="str">
            <v>TER0211</v>
          </cell>
        </row>
        <row r="3325">
          <cell r="F3325" t="str">
            <v>YST025</v>
          </cell>
          <cell r="G3325" t="str">
            <v>TERMINAL</v>
          </cell>
          <cell r="H3325" t="str">
            <v>TER0209</v>
          </cell>
        </row>
        <row r="3326">
          <cell r="F3326" t="str">
            <v>ST730620-3</v>
          </cell>
          <cell r="G3326" t="str">
            <v>TERMINAL</v>
          </cell>
          <cell r="H3326" t="str">
            <v>TER0207</v>
          </cell>
        </row>
        <row r="3327">
          <cell r="F3327" t="str">
            <v>ST730869-3</v>
          </cell>
          <cell r="G3327" t="str">
            <v>TERMINAL</v>
          </cell>
          <cell r="H3327" t="str">
            <v>TER0204</v>
          </cell>
        </row>
        <row r="3328">
          <cell r="F3328" t="str">
            <v>ST730598-3</v>
          </cell>
          <cell r="G3328" t="str">
            <v>TERMINAL</v>
          </cell>
          <cell r="H3328" t="str">
            <v>TER0201</v>
          </cell>
        </row>
        <row r="3329">
          <cell r="F3329" t="str">
            <v>ST730993-3</v>
          </cell>
          <cell r="G3329" t="str">
            <v>TERMINAL</v>
          </cell>
          <cell r="H3329" t="str">
            <v>TER0199</v>
          </cell>
        </row>
        <row r="3330">
          <cell r="F3330" t="str">
            <v>35068-9702</v>
          </cell>
          <cell r="G3330" t="str">
            <v>TERMINAL</v>
          </cell>
          <cell r="H3330" t="str">
            <v>TER0195</v>
          </cell>
        </row>
        <row r="3331">
          <cell r="F3331" t="str">
            <v>ST740634-3</v>
          </cell>
          <cell r="G3331" t="str">
            <v>TERMINAL</v>
          </cell>
          <cell r="H3331" t="str">
            <v>TER0194</v>
          </cell>
        </row>
        <row r="3332">
          <cell r="F3332" t="str">
            <v>CT1140</v>
          </cell>
          <cell r="G3332" t="str">
            <v>TERMINAL</v>
          </cell>
          <cell r="H3332" t="str">
            <v>TER0193</v>
          </cell>
        </row>
        <row r="3333">
          <cell r="F3333" t="str">
            <v>170213-2</v>
          </cell>
          <cell r="G3333" t="str">
            <v>TERMINAL</v>
          </cell>
          <cell r="H3333" t="str">
            <v>TER0191</v>
          </cell>
        </row>
        <row r="3334">
          <cell r="F3334" t="str">
            <v>ST760149-2</v>
          </cell>
          <cell r="G3334" t="str">
            <v>TERMINAL</v>
          </cell>
          <cell r="H3334" t="str">
            <v>TER0190</v>
          </cell>
        </row>
        <row r="3335">
          <cell r="F3335" t="str">
            <v>ST730649-3</v>
          </cell>
          <cell r="G3335" t="str">
            <v>TERMINAL</v>
          </cell>
          <cell r="H3335" t="str">
            <v>TER0185</v>
          </cell>
        </row>
        <row r="3336">
          <cell r="F3336" t="str">
            <v>170329-1</v>
          </cell>
          <cell r="G3336" t="str">
            <v>TERMINAL</v>
          </cell>
          <cell r="H3336" t="str">
            <v>TER0184</v>
          </cell>
        </row>
        <row r="3337">
          <cell r="F3337" t="str">
            <v>917684-1</v>
          </cell>
          <cell r="G3337" t="str">
            <v>TERMINAL</v>
          </cell>
          <cell r="H3337" t="str">
            <v>TER0183</v>
          </cell>
        </row>
        <row r="3338">
          <cell r="F3338" t="str">
            <v>1743729-1</v>
          </cell>
          <cell r="G3338" t="str">
            <v>TERMINAL</v>
          </cell>
          <cell r="H3338" t="str">
            <v>TER0182</v>
          </cell>
        </row>
        <row r="3339">
          <cell r="F3339" t="str">
            <v>1612335-1</v>
          </cell>
          <cell r="G3339" t="str">
            <v>TERMINAL</v>
          </cell>
          <cell r="H3339" t="str">
            <v>TER0181</v>
          </cell>
        </row>
        <row r="3340">
          <cell r="F3340" t="str">
            <v>1743728-1</v>
          </cell>
          <cell r="G3340" t="str">
            <v>TERMINAL</v>
          </cell>
          <cell r="H3340" t="str">
            <v>TER0180</v>
          </cell>
        </row>
        <row r="3341">
          <cell r="F3341" t="str">
            <v>936604-1</v>
          </cell>
          <cell r="G3341" t="str">
            <v>TERMINAL</v>
          </cell>
          <cell r="H3341" t="str">
            <v>TER0179</v>
          </cell>
        </row>
        <row r="3342">
          <cell r="F3342" t="str">
            <v>177914-1</v>
          </cell>
          <cell r="G3342" t="str">
            <v>TERMINAL</v>
          </cell>
          <cell r="H3342" t="str">
            <v>TER0178</v>
          </cell>
        </row>
        <row r="3343">
          <cell r="F3343" t="str">
            <v>63677-1</v>
          </cell>
          <cell r="G3343" t="str">
            <v>TERMINAL</v>
          </cell>
          <cell r="H3343" t="str">
            <v>TER0177</v>
          </cell>
        </row>
        <row r="3344">
          <cell r="F3344" t="str">
            <v>521843-1</v>
          </cell>
          <cell r="G3344" t="str">
            <v>TERMINAL</v>
          </cell>
          <cell r="H3344" t="str">
            <v>TER0176</v>
          </cell>
        </row>
        <row r="3345">
          <cell r="F3345">
            <v>41728</v>
          </cell>
          <cell r="G3345" t="str">
            <v>TERMINAL</v>
          </cell>
          <cell r="H3345" t="str">
            <v>TER0175</v>
          </cell>
        </row>
        <row r="3346">
          <cell r="F3346" t="str">
            <v>1217039-1</v>
          </cell>
          <cell r="G3346" t="str">
            <v>TERMINAL</v>
          </cell>
          <cell r="H3346" t="str">
            <v>TER0174</v>
          </cell>
        </row>
        <row r="3347">
          <cell r="F3347" t="str">
            <v>1-176497-9</v>
          </cell>
          <cell r="G3347" t="str">
            <v>TERMINAL</v>
          </cell>
          <cell r="H3347" t="str">
            <v>TER0173</v>
          </cell>
        </row>
        <row r="3348">
          <cell r="F3348" t="str">
            <v>SSM-01T-P1.4</v>
          </cell>
          <cell r="G3348" t="str">
            <v>TERMINAL</v>
          </cell>
          <cell r="H3348" t="str">
            <v>TER0168</v>
          </cell>
        </row>
        <row r="3349">
          <cell r="F3349" t="str">
            <v>ST710237-2</v>
          </cell>
          <cell r="G3349" t="str">
            <v>TERMINAL</v>
          </cell>
          <cell r="H3349" t="str">
            <v>TER0166</v>
          </cell>
        </row>
        <row r="3350">
          <cell r="F3350" t="str">
            <v>AT330514-04</v>
          </cell>
          <cell r="G3350" t="str">
            <v>TERMINAL</v>
          </cell>
          <cell r="H3350" t="str">
            <v>TER0165</v>
          </cell>
        </row>
        <row r="3351">
          <cell r="F3351" t="str">
            <v>SSF-21T-P1.4</v>
          </cell>
          <cell r="G3351" t="str">
            <v>TERMINAL</v>
          </cell>
          <cell r="H3351" t="str">
            <v>TER0164</v>
          </cell>
        </row>
        <row r="3352">
          <cell r="F3352" t="str">
            <v>ST730128-3</v>
          </cell>
          <cell r="G3352" t="str">
            <v>TERMINAL</v>
          </cell>
          <cell r="H3352" t="str">
            <v>TER0163</v>
          </cell>
        </row>
        <row r="3353">
          <cell r="F3353" t="str">
            <v>2-520128-2</v>
          </cell>
          <cell r="G3353" t="str">
            <v>TERMINAL</v>
          </cell>
          <cell r="H3353" t="str">
            <v>TER0162</v>
          </cell>
        </row>
        <row r="3354">
          <cell r="F3354" t="str">
            <v>ST730872-3</v>
          </cell>
          <cell r="G3354" t="str">
            <v>TERMINAL</v>
          </cell>
          <cell r="H3354" t="str">
            <v>TER0160</v>
          </cell>
        </row>
        <row r="3355">
          <cell r="F3355" t="str">
            <v>YDT236(E)NI</v>
          </cell>
          <cell r="G3355" t="str">
            <v>TERMINAL</v>
          </cell>
          <cell r="H3355" t="str">
            <v>TER0159</v>
          </cell>
        </row>
        <row r="3356">
          <cell r="F3356" t="str">
            <v>YTT500</v>
          </cell>
          <cell r="G3356" t="str">
            <v>TERMINAL</v>
          </cell>
          <cell r="H3356" t="str">
            <v>TER0158</v>
          </cell>
        </row>
        <row r="3357">
          <cell r="F3357" t="str">
            <v>ST710389-3</v>
          </cell>
          <cell r="G3357" t="str">
            <v>TERMINAL</v>
          </cell>
          <cell r="H3357" t="str">
            <v>TER0154</v>
          </cell>
        </row>
        <row r="3358">
          <cell r="F3358" t="str">
            <v>ST730012-3</v>
          </cell>
          <cell r="G3358" t="str">
            <v>TERMINAL</v>
          </cell>
          <cell r="H3358" t="str">
            <v>TER0152</v>
          </cell>
        </row>
        <row r="3359">
          <cell r="F3359" t="str">
            <v>179975-1</v>
          </cell>
          <cell r="G3359" t="str">
            <v>TERMINAL</v>
          </cell>
          <cell r="H3359" t="str">
            <v>TER0150</v>
          </cell>
        </row>
        <row r="3360">
          <cell r="F3360" t="str">
            <v>179974-1</v>
          </cell>
          <cell r="G3360" t="str">
            <v>TERMINAL</v>
          </cell>
          <cell r="H3360" t="str">
            <v>TER0149</v>
          </cell>
        </row>
        <row r="3361">
          <cell r="F3361" t="str">
            <v>175057-1(2232343-1)</v>
          </cell>
          <cell r="G3361" t="str">
            <v>TERMINAL</v>
          </cell>
          <cell r="H3361" t="str">
            <v>TER0148</v>
          </cell>
        </row>
        <row r="3362">
          <cell r="F3362" t="str">
            <v>ST710095</v>
          </cell>
          <cell r="G3362" t="str">
            <v>TERMINAL</v>
          </cell>
          <cell r="H3362" t="str">
            <v>TER0147</v>
          </cell>
        </row>
        <row r="3363">
          <cell r="F3363" t="str">
            <v>936663-1</v>
          </cell>
          <cell r="G3363" t="str">
            <v>TERMINAL</v>
          </cell>
          <cell r="H3363" t="str">
            <v>TER0146</v>
          </cell>
        </row>
        <row r="3364">
          <cell r="F3364" t="str">
            <v>ST710095-3</v>
          </cell>
          <cell r="G3364" t="str">
            <v>TERMINAL</v>
          </cell>
          <cell r="H3364" t="str">
            <v>TER0145</v>
          </cell>
        </row>
        <row r="3365">
          <cell r="F3365" t="str">
            <v>350536-1</v>
          </cell>
          <cell r="G3365" t="str">
            <v>TERMINAL</v>
          </cell>
          <cell r="H3365" t="str">
            <v>TER0143</v>
          </cell>
        </row>
        <row r="3366">
          <cell r="F3366" t="str">
            <v>AMP1743058-1</v>
          </cell>
          <cell r="G3366" t="str">
            <v>TERMINAL</v>
          </cell>
          <cell r="H3366" t="str">
            <v>TER0142</v>
          </cell>
        </row>
        <row r="3367">
          <cell r="F3367" t="str">
            <v>AMP175179-1</v>
          </cell>
          <cell r="G3367" t="str">
            <v>TERMINAL</v>
          </cell>
          <cell r="H3367" t="str">
            <v>TER0141</v>
          </cell>
        </row>
        <row r="3368">
          <cell r="F3368" t="str">
            <v>40-06-2003(42172A)</v>
          </cell>
          <cell r="G3368" t="str">
            <v>TERMINAL</v>
          </cell>
          <cell r="H3368" t="str">
            <v>TER0140</v>
          </cell>
        </row>
        <row r="3369">
          <cell r="F3369" t="str">
            <v>177915-1</v>
          </cell>
          <cell r="G3369" t="str">
            <v>TERMINAL</v>
          </cell>
          <cell r="H3369" t="str">
            <v>TER0139</v>
          </cell>
        </row>
        <row r="3370">
          <cell r="F3370" t="str">
            <v>281622-2</v>
          </cell>
          <cell r="G3370" t="str">
            <v>TERMINAL</v>
          </cell>
          <cell r="H3370" t="str">
            <v>TER0137</v>
          </cell>
        </row>
        <row r="3371">
          <cell r="F3371" t="str">
            <v>5-170063-2</v>
          </cell>
          <cell r="G3371" t="str">
            <v>TERMINAL</v>
          </cell>
          <cell r="H3371" t="str">
            <v>TER0136</v>
          </cell>
        </row>
        <row r="3372">
          <cell r="F3372" t="str">
            <v>ST710239-2</v>
          </cell>
          <cell r="G3372" t="str">
            <v>TERMINAL</v>
          </cell>
          <cell r="H3372" t="str">
            <v>TER0135</v>
          </cell>
        </row>
        <row r="3373">
          <cell r="F3373" t="str">
            <v>YST-025L</v>
          </cell>
          <cell r="G3373" t="str">
            <v>TERMINAL</v>
          </cell>
          <cell r="H3373" t="str">
            <v>TER0132</v>
          </cell>
        </row>
        <row r="3374">
          <cell r="F3374" t="str">
            <v>YT396(J)</v>
          </cell>
          <cell r="G3374" t="str">
            <v>TERMINAL</v>
          </cell>
          <cell r="H3374" t="str">
            <v>TER0131</v>
          </cell>
        </row>
        <row r="3375">
          <cell r="F3375" t="str">
            <v>YST200</v>
          </cell>
          <cell r="G3375" t="str">
            <v>TERMINAL</v>
          </cell>
          <cell r="H3375" t="str">
            <v>TER0130</v>
          </cell>
        </row>
        <row r="3376">
          <cell r="F3376" t="str">
            <v>YST-025J</v>
          </cell>
          <cell r="G3376" t="str">
            <v>TERMINAL</v>
          </cell>
          <cell r="H3376" t="str">
            <v>TER0129</v>
          </cell>
        </row>
        <row r="3377">
          <cell r="F3377" t="str">
            <v>25045TS</v>
          </cell>
          <cell r="G3377" t="str">
            <v>TERMINAL</v>
          </cell>
          <cell r="H3377" t="str">
            <v>TER0128</v>
          </cell>
        </row>
        <row r="3378">
          <cell r="F3378" t="str">
            <v>YBNT250</v>
          </cell>
          <cell r="G3378" t="str">
            <v>TERMINAL</v>
          </cell>
          <cell r="H3378" t="str">
            <v>TER0127</v>
          </cell>
        </row>
        <row r="3379">
          <cell r="F3379" t="str">
            <v>ST780242-2</v>
          </cell>
          <cell r="G3379" t="str">
            <v>TERMINAL</v>
          </cell>
          <cell r="H3379" t="str">
            <v>TER0126</v>
          </cell>
        </row>
        <row r="3380">
          <cell r="F3380" t="str">
            <v>ST750294-3</v>
          </cell>
          <cell r="G3380" t="str">
            <v>TERMINAL</v>
          </cell>
          <cell r="H3380" t="str">
            <v>TER0125</v>
          </cell>
        </row>
        <row r="3381">
          <cell r="F3381" t="str">
            <v>ST750293-3</v>
          </cell>
          <cell r="G3381" t="str">
            <v>TERMINAL</v>
          </cell>
          <cell r="H3381" t="str">
            <v>TER0124</v>
          </cell>
        </row>
        <row r="3382">
          <cell r="F3382" t="str">
            <v>ST740834-3</v>
          </cell>
          <cell r="G3382" t="str">
            <v>TERMINAL</v>
          </cell>
          <cell r="H3382" t="str">
            <v>TER0123</v>
          </cell>
        </row>
        <row r="3383">
          <cell r="F3383" t="str">
            <v>ST740830-3</v>
          </cell>
          <cell r="G3383" t="str">
            <v>TERMINAL</v>
          </cell>
          <cell r="H3383" t="str">
            <v>TER0122</v>
          </cell>
        </row>
        <row r="3384">
          <cell r="F3384" t="str">
            <v>ST740817-3</v>
          </cell>
          <cell r="G3384" t="str">
            <v>TERMINAL</v>
          </cell>
          <cell r="H3384" t="str">
            <v>TER0121</v>
          </cell>
        </row>
        <row r="3385">
          <cell r="F3385" t="str">
            <v>ST740815-3</v>
          </cell>
          <cell r="G3385" t="str">
            <v>TERMINAL</v>
          </cell>
          <cell r="H3385" t="str">
            <v>TER0120</v>
          </cell>
        </row>
        <row r="3386">
          <cell r="F3386" t="str">
            <v>ST740813-3</v>
          </cell>
          <cell r="G3386" t="str">
            <v>TERMINAL</v>
          </cell>
          <cell r="H3386" t="str">
            <v>TER0119</v>
          </cell>
        </row>
        <row r="3387">
          <cell r="F3387" t="str">
            <v>ST740690-3</v>
          </cell>
          <cell r="G3387" t="str">
            <v>TERMINAL</v>
          </cell>
          <cell r="H3387" t="str">
            <v>TER0118</v>
          </cell>
        </row>
        <row r="3388">
          <cell r="F3388" t="str">
            <v>ST740466-3</v>
          </cell>
          <cell r="G3388" t="str">
            <v>TERMINAL</v>
          </cell>
          <cell r="H3388" t="str">
            <v>TER0116</v>
          </cell>
        </row>
        <row r="3389">
          <cell r="F3389" t="str">
            <v>ST740465-3</v>
          </cell>
          <cell r="G3389" t="str">
            <v>TERMINAL</v>
          </cell>
          <cell r="H3389" t="str">
            <v>TER0114</v>
          </cell>
        </row>
        <row r="3390">
          <cell r="F3390" t="str">
            <v>ST740464-3</v>
          </cell>
          <cell r="G3390" t="str">
            <v>TERMINAL</v>
          </cell>
          <cell r="H3390" t="str">
            <v>TER0113</v>
          </cell>
        </row>
        <row r="3391">
          <cell r="F3391" t="str">
            <v>ST740463-3</v>
          </cell>
          <cell r="G3391" t="str">
            <v>TERMINAL</v>
          </cell>
          <cell r="H3391" t="str">
            <v>TER0112</v>
          </cell>
        </row>
        <row r="3392">
          <cell r="F3392" t="str">
            <v>ST740334-3</v>
          </cell>
          <cell r="G3392" t="str">
            <v>TERMINAL</v>
          </cell>
          <cell r="H3392" t="str">
            <v>TER0111</v>
          </cell>
        </row>
        <row r="3393">
          <cell r="F3393" t="str">
            <v>ST730838-3</v>
          </cell>
          <cell r="G3393" t="str">
            <v>TERMINAL</v>
          </cell>
          <cell r="H3393" t="str">
            <v>TER0110</v>
          </cell>
        </row>
        <row r="3394">
          <cell r="F3394" t="str">
            <v>ST730826-3</v>
          </cell>
          <cell r="G3394" t="str">
            <v>TERMINAL</v>
          </cell>
          <cell r="H3394" t="str">
            <v>TER0108</v>
          </cell>
        </row>
        <row r="3395">
          <cell r="F3395" t="str">
            <v>35748-0210</v>
          </cell>
          <cell r="G3395" t="str">
            <v>TERMINAL</v>
          </cell>
          <cell r="H3395" t="str">
            <v>TER0107</v>
          </cell>
        </row>
        <row r="3396">
          <cell r="F3396" t="str">
            <v>ST730694-3</v>
          </cell>
          <cell r="G3396" t="str">
            <v>TERMINAL</v>
          </cell>
          <cell r="H3396" t="str">
            <v>TER0106</v>
          </cell>
        </row>
        <row r="3397">
          <cell r="F3397" t="str">
            <v>ST730572-3</v>
          </cell>
          <cell r="G3397" t="str">
            <v>TERMINAL</v>
          </cell>
          <cell r="H3397" t="str">
            <v>TER0105</v>
          </cell>
        </row>
        <row r="3398">
          <cell r="F3398" t="str">
            <v>ST730571-3</v>
          </cell>
          <cell r="G3398" t="str">
            <v>TERMINAL</v>
          </cell>
          <cell r="H3398" t="str">
            <v>TER0104</v>
          </cell>
        </row>
        <row r="3399">
          <cell r="F3399" t="str">
            <v>ST730570-3</v>
          </cell>
          <cell r="G3399" t="str">
            <v>TERMINAL</v>
          </cell>
          <cell r="H3399" t="str">
            <v>TER0103</v>
          </cell>
        </row>
        <row r="3400">
          <cell r="F3400" t="str">
            <v>ST730569-3</v>
          </cell>
          <cell r="G3400" t="str">
            <v>TERMINAL</v>
          </cell>
          <cell r="H3400" t="str">
            <v>TER0102</v>
          </cell>
        </row>
        <row r="3401">
          <cell r="F3401" t="str">
            <v>ST730568-3</v>
          </cell>
          <cell r="G3401" t="str">
            <v>TERMINAL</v>
          </cell>
          <cell r="H3401" t="str">
            <v>TER0101</v>
          </cell>
        </row>
        <row r="3402">
          <cell r="F3402" t="str">
            <v>ST730462-3</v>
          </cell>
          <cell r="G3402" t="str">
            <v>TERMINAL</v>
          </cell>
          <cell r="H3402" t="str">
            <v>TER0100</v>
          </cell>
        </row>
        <row r="3403">
          <cell r="F3403" t="str">
            <v>ST730461-3</v>
          </cell>
          <cell r="G3403" t="str">
            <v>TERMINAL</v>
          </cell>
          <cell r="H3403" t="str">
            <v>TER0099</v>
          </cell>
        </row>
        <row r="3404">
          <cell r="F3404" t="str">
            <v>ST730460-3</v>
          </cell>
          <cell r="G3404" t="str">
            <v>TERMINAL</v>
          </cell>
          <cell r="H3404" t="str">
            <v>TER0098</v>
          </cell>
        </row>
        <row r="3405">
          <cell r="F3405" t="str">
            <v>ST730335-3</v>
          </cell>
          <cell r="G3405" t="str">
            <v>TERMINAL</v>
          </cell>
          <cell r="H3405" t="str">
            <v>TER0095</v>
          </cell>
        </row>
        <row r="3406">
          <cell r="F3406" t="str">
            <v>ST730292-3</v>
          </cell>
          <cell r="G3406" t="str">
            <v>TERMINAL</v>
          </cell>
          <cell r="H3406" t="str">
            <v>TER0093</v>
          </cell>
        </row>
        <row r="3407">
          <cell r="F3407" t="str">
            <v>ST730245-5</v>
          </cell>
          <cell r="G3407" t="str">
            <v>TERMINAL</v>
          </cell>
          <cell r="H3407" t="str">
            <v>TER0092</v>
          </cell>
        </row>
        <row r="3408">
          <cell r="F3408" t="str">
            <v>ST730245-2</v>
          </cell>
          <cell r="G3408" t="str">
            <v>TERMINAL</v>
          </cell>
          <cell r="H3408" t="str">
            <v>TER0091</v>
          </cell>
        </row>
        <row r="3409">
          <cell r="F3409" t="str">
            <v>ST730220-5</v>
          </cell>
          <cell r="G3409" t="str">
            <v>TERMINAL</v>
          </cell>
          <cell r="H3409" t="str">
            <v>TER0090</v>
          </cell>
        </row>
        <row r="3410">
          <cell r="F3410" t="str">
            <v>ST730220-2</v>
          </cell>
          <cell r="G3410" t="str">
            <v>TERMINAL</v>
          </cell>
          <cell r="H3410" t="str">
            <v>TER0089</v>
          </cell>
        </row>
        <row r="3411">
          <cell r="F3411" t="str">
            <v>ST730190-2</v>
          </cell>
          <cell r="G3411" t="str">
            <v>TERMINAL</v>
          </cell>
          <cell r="H3411" t="str">
            <v>TER0088</v>
          </cell>
        </row>
        <row r="3412">
          <cell r="F3412" t="str">
            <v>ST730173-2</v>
          </cell>
          <cell r="G3412" t="str">
            <v>TERMINAL</v>
          </cell>
          <cell r="H3412" t="str">
            <v>TER0087</v>
          </cell>
        </row>
        <row r="3413">
          <cell r="F3413" t="str">
            <v>ST730136-2</v>
          </cell>
          <cell r="G3413" t="str">
            <v>TERMINAL</v>
          </cell>
          <cell r="H3413" t="str">
            <v>TER0086</v>
          </cell>
        </row>
        <row r="3414">
          <cell r="F3414" t="str">
            <v>ST730135-2</v>
          </cell>
          <cell r="G3414" t="str">
            <v>TERMINAL</v>
          </cell>
          <cell r="H3414" t="str">
            <v>TER0085</v>
          </cell>
        </row>
        <row r="3415">
          <cell r="F3415" t="str">
            <v>ST730099-3</v>
          </cell>
          <cell r="G3415" t="str">
            <v>TERMINAL</v>
          </cell>
          <cell r="H3415" t="str">
            <v>TER0084</v>
          </cell>
        </row>
        <row r="3416">
          <cell r="F3416" t="str">
            <v>ST730052-3</v>
          </cell>
          <cell r="G3416" t="str">
            <v>TERMINAL</v>
          </cell>
          <cell r="H3416" t="str">
            <v>TER0083</v>
          </cell>
        </row>
        <row r="3417">
          <cell r="F3417" t="str">
            <v>ST710489-3</v>
          </cell>
          <cell r="G3417" t="str">
            <v>TERMINAL</v>
          </cell>
          <cell r="H3417" t="str">
            <v>TER0081</v>
          </cell>
        </row>
        <row r="3418">
          <cell r="F3418" t="str">
            <v>SMT025</v>
          </cell>
          <cell r="G3418" t="str">
            <v>TERMINAL</v>
          </cell>
          <cell r="H3418" t="str">
            <v>TER0077</v>
          </cell>
        </row>
        <row r="3419">
          <cell r="F3419" t="str">
            <v>CLIP TERMINAL(C5210 1/2H)</v>
          </cell>
          <cell r="G3419" t="str">
            <v>TERMINAL</v>
          </cell>
          <cell r="H3419" t="str">
            <v>TER0075</v>
          </cell>
        </row>
        <row r="3420">
          <cell r="F3420" t="str">
            <v>AMP175019-1 (2232342-1)</v>
          </cell>
          <cell r="G3420" t="str">
            <v>TERMINAL</v>
          </cell>
          <cell r="H3420" t="str">
            <v>TER0074</v>
          </cell>
        </row>
        <row r="3421">
          <cell r="F3421" t="str">
            <v>170326-1</v>
          </cell>
          <cell r="G3421" t="str">
            <v>TERMINAL</v>
          </cell>
          <cell r="H3421" t="str">
            <v>TER0072</v>
          </cell>
        </row>
        <row r="3422">
          <cell r="F3422" t="str">
            <v>AMP170037-2</v>
          </cell>
          <cell r="G3422" t="str">
            <v>TERMINAL</v>
          </cell>
          <cell r="H3422" t="str">
            <v>TER0071</v>
          </cell>
        </row>
        <row r="3423">
          <cell r="F3423" t="str">
            <v>AMP63397-1</v>
          </cell>
          <cell r="G3423" t="str">
            <v>TERMINAL</v>
          </cell>
          <cell r="H3423" t="str">
            <v>TER0070</v>
          </cell>
        </row>
        <row r="3424">
          <cell r="F3424" t="str">
            <v>39000040(5558T)</v>
          </cell>
          <cell r="G3424" t="str">
            <v>TERMINAL</v>
          </cell>
          <cell r="H3424" t="str">
            <v>TER0068</v>
          </cell>
        </row>
        <row r="3425">
          <cell r="F3425" t="str">
            <v>39000038(5556T)</v>
          </cell>
          <cell r="G3425" t="str">
            <v>TERMINAL</v>
          </cell>
          <cell r="H3425" t="str">
            <v>TER0067</v>
          </cell>
        </row>
        <row r="3426">
          <cell r="F3426" t="str">
            <v>5263 PBT9</v>
          </cell>
          <cell r="G3426" t="str">
            <v>TERMINAL</v>
          </cell>
          <cell r="H3426" t="str">
            <v>TER0066</v>
          </cell>
        </row>
        <row r="3427">
          <cell r="F3427" t="str">
            <v>5103 PBT9</v>
          </cell>
          <cell r="G3427" t="str">
            <v>TERMINAL</v>
          </cell>
          <cell r="H3427" t="str">
            <v>TER0065</v>
          </cell>
        </row>
        <row r="3428">
          <cell r="F3428" t="str">
            <v>42547-2</v>
          </cell>
          <cell r="G3428" t="str">
            <v>TERMINAL</v>
          </cell>
          <cell r="H3428" t="str">
            <v>TER0064</v>
          </cell>
        </row>
        <row r="3429">
          <cell r="F3429" t="str">
            <v>50217-8000</v>
          </cell>
          <cell r="G3429" t="str">
            <v>TERMINAL</v>
          </cell>
          <cell r="H3429" t="str">
            <v>TER0063</v>
          </cell>
        </row>
        <row r="3430">
          <cell r="F3430" t="str">
            <v>50058-8000</v>
          </cell>
          <cell r="G3430" t="str">
            <v>TERMINAL</v>
          </cell>
          <cell r="H3430" t="str">
            <v>TER0062</v>
          </cell>
        </row>
        <row r="3431">
          <cell r="F3431" t="str">
            <v>50011-8000</v>
          </cell>
          <cell r="G3431" t="str">
            <v>TERMINAL</v>
          </cell>
          <cell r="H3431" t="str">
            <v>TER0061</v>
          </cell>
        </row>
        <row r="3432">
          <cell r="F3432" t="str">
            <v>35760-2710</v>
          </cell>
          <cell r="G3432" t="str">
            <v>TERMINAL</v>
          </cell>
          <cell r="H3432" t="str">
            <v>TER0060</v>
          </cell>
        </row>
        <row r="3433">
          <cell r="F3433" t="str">
            <v>35748-0310</v>
          </cell>
          <cell r="G3433" t="str">
            <v>TERMINAL</v>
          </cell>
          <cell r="H3433" t="str">
            <v>TER0059</v>
          </cell>
        </row>
        <row r="3434">
          <cell r="F3434" t="str">
            <v>35748-0110</v>
          </cell>
          <cell r="G3434" t="str">
            <v>TERMINAL</v>
          </cell>
          <cell r="H3434" t="str">
            <v>TER0058</v>
          </cell>
        </row>
        <row r="3435">
          <cell r="F3435" t="str">
            <v>35747-0310</v>
          </cell>
          <cell r="G3435" t="str">
            <v>TERMINAL</v>
          </cell>
          <cell r="H3435" t="str">
            <v>TER0057</v>
          </cell>
        </row>
        <row r="3436">
          <cell r="F3436" t="str">
            <v>35747-0210</v>
          </cell>
          <cell r="G3436" t="str">
            <v>TERMINAL</v>
          </cell>
          <cell r="H3436" t="str">
            <v>TER0056</v>
          </cell>
        </row>
        <row r="3437">
          <cell r="F3437" t="str">
            <v>35747-0110</v>
          </cell>
          <cell r="G3437" t="str">
            <v>TERMINAL</v>
          </cell>
          <cell r="H3437" t="str">
            <v>TER0055</v>
          </cell>
        </row>
        <row r="3438">
          <cell r="F3438" t="str">
            <v>35746-0310</v>
          </cell>
          <cell r="G3438" t="str">
            <v>TERMINAL</v>
          </cell>
          <cell r="H3438" t="str">
            <v>TER0054</v>
          </cell>
        </row>
        <row r="3439">
          <cell r="F3439" t="str">
            <v>35746-0210</v>
          </cell>
          <cell r="G3439" t="str">
            <v>TERMINAL</v>
          </cell>
          <cell r="H3439" t="str">
            <v>TER0053</v>
          </cell>
        </row>
        <row r="3440">
          <cell r="F3440" t="str">
            <v>35746-0110</v>
          </cell>
          <cell r="G3440" t="str">
            <v>TERMINAL</v>
          </cell>
          <cell r="H3440" t="str">
            <v>TER0052</v>
          </cell>
        </row>
        <row r="3441">
          <cell r="F3441" t="str">
            <v>35745-0310</v>
          </cell>
          <cell r="G3441" t="str">
            <v>TERMINAL</v>
          </cell>
          <cell r="H3441" t="str">
            <v>TER0051</v>
          </cell>
        </row>
        <row r="3442">
          <cell r="F3442" t="str">
            <v>35745-0210</v>
          </cell>
          <cell r="G3442" t="str">
            <v>TERMINAL</v>
          </cell>
          <cell r="H3442" t="str">
            <v>TER0050</v>
          </cell>
        </row>
        <row r="3443">
          <cell r="F3443" t="str">
            <v>35745-0110</v>
          </cell>
          <cell r="G3443" t="str">
            <v>TERMINAL</v>
          </cell>
          <cell r="H3443" t="str">
            <v>TER0049</v>
          </cell>
        </row>
        <row r="3444">
          <cell r="F3444" t="str">
            <v>35725-4710</v>
          </cell>
          <cell r="G3444" t="str">
            <v>TERMINAL</v>
          </cell>
          <cell r="H3444" t="str">
            <v>TER0045</v>
          </cell>
        </row>
        <row r="3445">
          <cell r="F3445" t="str">
            <v>35725-4510</v>
          </cell>
          <cell r="G3445" t="str">
            <v>TERMINAL</v>
          </cell>
          <cell r="H3445" t="str">
            <v>TER0043</v>
          </cell>
        </row>
        <row r="3446">
          <cell r="F3446" t="str">
            <v>35725-4210</v>
          </cell>
          <cell r="G3446" t="str">
            <v>TERMINAL</v>
          </cell>
          <cell r="H3446" t="str">
            <v>TER0042</v>
          </cell>
        </row>
        <row r="3447">
          <cell r="F3447" t="str">
            <v>35725-4110</v>
          </cell>
          <cell r="G3447" t="str">
            <v>TERMINAL</v>
          </cell>
          <cell r="H3447" t="str">
            <v>TER0041</v>
          </cell>
        </row>
        <row r="3448">
          <cell r="F3448" t="str">
            <v>35725-2610</v>
          </cell>
          <cell r="G3448" t="str">
            <v>TERMINAL</v>
          </cell>
          <cell r="H3448" t="str">
            <v>TER0040</v>
          </cell>
        </row>
        <row r="3449">
          <cell r="F3449" t="str">
            <v>35718-1210</v>
          </cell>
          <cell r="G3449" t="str">
            <v>TERMINAL</v>
          </cell>
          <cell r="H3449" t="str">
            <v>TER0037</v>
          </cell>
        </row>
        <row r="3450">
          <cell r="F3450" t="str">
            <v>35711-0610</v>
          </cell>
          <cell r="G3450" t="str">
            <v>TERMINAL</v>
          </cell>
          <cell r="H3450" t="str">
            <v>TER0031</v>
          </cell>
        </row>
        <row r="3451">
          <cell r="F3451" t="str">
            <v>35068-9902</v>
          </cell>
          <cell r="G3451" t="str">
            <v>TERMINAL</v>
          </cell>
          <cell r="H3451" t="str">
            <v>TER0030</v>
          </cell>
        </row>
        <row r="3452">
          <cell r="F3452" t="str">
            <v>35068-9822</v>
          </cell>
          <cell r="G3452" t="str">
            <v>TERMINAL</v>
          </cell>
          <cell r="H3452" t="str">
            <v>TER0029</v>
          </cell>
        </row>
        <row r="3453">
          <cell r="F3453" t="str">
            <v>35068-9802</v>
          </cell>
          <cell r="G3453" t="str">
            <v>TERMINAL</v>
          </cell>
          <cell r="H3453" t="str">
            <v>TER0028</v>
          </cell>
        </row>
        <row r="3454">
          <cell r="F3454" t="str">
            <v>35068-9722</v>
          </cell>
          <cell r="G3454" t="str">
            <v>TERMINAL</v>
          </cell>
          <cell r="H3454" t="str">
            <v>TER0027</v>
          </cell>
        </row>
        <row r="3455">
          <cell r="F3455" t="str">
            <v>35053-9002</v>
          </cell>
          <cell r="G3455" t="str">
            <v>TERMINAL</v>
          </cell>
          <cell r="H3455" t="str">
            <v>TER0026</v>
          </cell>
        </row>
        <row r="3456">
          <cell r="F3456" t="str">
            <v>25045TP</v>
          </cell>
          <cell r="G3456" t="str">
            <v>TERMINAL</v>
          </cell>
          <cell r="H3456" t="str">
            <v>TER0024</v>
          </cell>
        </row>
        <row r="3457">
          <cell r="F3457" t="str">
            <v>ST740691-3</v>
          </cell>
          <cell r="G3457" t="str">
            <v>TERMINAL</v>
          </cell>
          <cell r="H3457" t="str">
            <v>TER0021</v>
          </cell>
        </row>
        <row r="3458">
          <cell r="F3458" t="str">
            <v>170325-1</v>
          </cell>
          <cell r="G3458" t="str">
            <v>TERMINAL</v>
          </cell>
          <cell r="H3458" t="str">
            <v>TER0019</v>
          </cell>
        </row>
        <row r="3459">
          <cell r="F3459" t="str">
            <v>ST710384-2</v>
          </cell>
          <cell r="G3459" t="str">
            <v>TERMINAL</v>
          </cell>
          <cell r="H3459" t="str">
            <v>TER0011</v>
          </cell>
        </row>
        <row r="3460">
          <cell r="F3460" t="str">
            <v>SEH-001T-P0.6</v>
          </cell>
          <cell r="G3460" t="str">
            <v>TERMINAL</v>
          </cell>
          <cell r="H3460" t="str">
            <v>TER0008</v>
          </cell>
        </row>
        <row r="3461">
          <cell r="F3461" t="str">
            <v>ST760146-2</v>
          </cell>
          <cell r="G3461" t="str">
            <v>TERMINAL</v>
          </cell>
          <cell r="H3461" t="str">
            <v>TER0004</v>
          </cell>
        </row>
        <row r="3462">
          <cell r="F3462" t="str">
            <v>ST760146-1</v>
          </cell>
          <cell r="G3462" t="str">
            <v>TERMINAL</v>
          </cell>
          <cell r="H3462" t="str">
            <v>TER0003</v>
          </cell>
        </row>
        <row r="3463">
          <cell r="F3463" t="str">
            <v>ST760145-1</v>
          </cell>
          <cell r="G3463" t="str">
            <v>TERMINAL</v>
          </cell>
          <cell r="H3463" t="str">
            <v>TER0001</v>
          </cell>
        </row>
        <row r="3464">
          <cell r="F3464" t="str">
            <v>3339-0241</v>
          </cell>
          <cell r="G3464" t="str">
            <v>TERMINAL</v>
          </cell>
          <cell r="H3464" t="str">
            <v>TDP6763H16AG</v>
          </cell>
        </row>
        <row r="3465">
          <cell r="F3465">
            <v>33400492</v>
          </cell>
          <cell r="G3465" t="str">
            <v>TERMINAL</v>
          </cell>
          <cell r="H3465" t="str">
            <v>TDP6763002SN</v>
          </cell>
        </row>
        <row r="3466">
          <cell r="F3466" t="str">
            <v>1362-7267</v>
          </cell>
          <cell r="G3466" t="str">
            <v>TERMINAL</v>
          </cell>
          <cell r="H3466" t="str">
            <v>TDP45AP286SN</v>
          </cell>
        </row>
        <row r="3467">
          <cell r="F3467" t="str">
            <v>1543-2210</v>
          </cell>
          <cell r="G3467" t="str">
            <v>TERMINAL</v>
          </cell>
          <cell r="H3467" t="str">
            <v>TDP23W1506SN</v>
          </cell>
        </row>
        <row r="3468">
          <cell r="F3468" t="str">
            <v>3507-2391</v>
          </cell>
          <cell r="G3468" t="str">
            <v>TERMINAL</v>
          </cell>
          <cell r="H3468" t="str">
            <v>TDP12OC126SN</v>
          </cell>
        </row>
        <row r="3469">
          <cell r="F3469" t="str">
            <v>F931400</v>
          </cell>
          <cell r="G3469" t="str">
            <v>TERMINAL</v>
          </cell>
          <cell r="H3469" t="str">
            <v>TDP1212006AG</v>
          </cell>
        </row>
        <row r="3470">
          <cell r="F3470" t="str">
            <v>1543-2208</v>
          </cell>
          <cell r="G3470" t="str">
            <v>TERMINAL</v>
          </cell>
          <cell r="H3470" t="str">
            <v>TDP11W1506SN</v>
          </cell>
        </row>
        <row r="3471">
          <cell r="F3471" t="str">
            <v>F427200</v>
          </cell>
          <cell r="G3471" t="str">
            <v>TERMINAL</v>
          </cell>
          <cell r="H3471" t="str">
            <v>TDP11DCKW6AU</v>
          </cell>
        </row>
        <row r="3472">
          <cell r="F3472">
            <v>54002214</v>
          </cell>
          <cell r="G3472" t="str">
            <v>TERMINAL</v>
          </cell>
          <cell r="H3472" t="str">
            <v>TDP1115006SN</v>
          </cell>
        </row>
        <row r="3473">
          <cell r="F3473" t="str">
            <v>CBR694-022</v>
          </cell>
          <cell r="G3473" t="str">
            <v>RING TERMINAL</v>
          </cell>
          <cell r="H3473" t="str">
            <v>TCHBC1Y020SN</v>
          </cell>
        </row>
        <row r="3474">
          <cell r="F3474" t="str">
            <v>CBR693-022</v>
          </cell>
          <cell r="G3474" t="str">
            <v>RING TERMINAL</v>
          </cell>
          <cell r="H3474" t="str">
            <v>TCHBC1Y010SN</v>
          </cell>
        </row>
        <row r="3475">
          <cell r="F3475" t="str">
            <v>91988-L1020-1</v>
          </cell>
          <cell r="G3475" t="str">
            <v>BATT TERMINAL</v>
          </cell>
          <cell r="H3475" t="str">
            <v>TCHBBL1020SN</v>
          </cell>
        </row>
        <row r="3476">
          <cell r="F3476" t="str">
            <v>1-928-498-058</v>
          </cell>
          <cell r="G3476" t="str">
            <v>TERMINAL</v>
          </cell>
          <cell r="H3476" t="str">
            <v>TBS23BDK08AG</v>
          </cell>
        </row>
        <row r="3477">
          <cell r="F3477" t="str">
            <v>1355717-1</v>
          </cell>
          <cell r="G3477" t="str">
            <v>TERMINAL</v>
          </cell>
          <cell r="H3477" t="str">
            <v>TAPMMABG12SN</v>
          </cell>
        </row>
        <row r="3478">
          <cell r="F3478" t="str">
            <v>2366531-1</v>
          </cell>
          <cell r="G3478" t="str">
            <v>TERMINAL</v>
          </cell>
          <cell r="H3478" t="str">
            <v>TAPMM025K2SN</v>
          </cell>
        </row>
        <row r="3479">
          <cell r="F3479" t="str">
            <v>2188446-1</v>
          </cell>
          <cell r="G3479" t="str">
            <v>TERMINAL</v>
          </cell>
          <cell r="H3479" t="str">
            <v>TAPMM02552SN</v>
          </cell>
        </row>
        <row r="3480">
          <cell r="F3480" t="str">
            <v>2005098-1</v>
          </cell>
          <cell r="G3480" t="str">
            <v>TERMINAL</v>
          </cell>
          <cell r="H3480" t="str">
            <v>TAPMM02541SN</v>
          </cell>
        </row>
        <row r="3481">
          <cell r="F3481" t="str">
            <v>2005097-1</v>
          </cell>
          <cell r="G3481" t="str">
            <v>TERMINAL</v>
          </cell>
          <cell r="H3481" t="str">
            <v>TAPMM02532SN</v>
          </cell>
        </row>
        <row r="3482">
          <cell r="F3482" t="str">
            <v>2350583-1</v>
          </cell>
          <cell r="G3482" t="str">
            <v>TERMINAL</v>
          </cell>
          <cell r="H3482" t="str">
            <v>TAPMM020K1SN</v>
          </cell>
        </row>
        <row r="3483">
          <cell r="F3483" t="str">
            <v>1241418-4</v>
          </cell>
          <cell r="G3483" t="str">
            <v>TERMINAL</v>
          </cell>
          <cell r="H3483" t="str">
            <v>TAP78MC636SN</v>
          </cell>
        </row>
        <row r="3484">
          <cell r="F3484" t="str">
            <v>1241408-1</v>
          </cell>
          <cell r="G3484" t="str">
            <v>TERMINAL</v>
          </cell>
          <cell r="H3484" t="str">
            <v>TAP77MC632SN</v>
          </cell>
        </row>
        <row r="3485">
          <cell r="F3485" t="str">
            <v>170456-2</v>
          </cell>
          <cell r="G3485" t="str">
            <v>TERMINAL</v>
          </cell>
          <cell r="H3485" t="str">
            <v>TAP67PLM22SN</v>
          </cell>
        </row>
        <row r="3486">
          <cell r="F3486" t="str">
            <v>2317606-1</v>
          </cell>
          <cell r="G3486" t="str">
            <v>TERMINAL</v>
          </cell>
          <cell r="H3486" t="str">
            <v>TAP67110K2SN</v>
          </cell>
        </row>
        <row r="3487">
          <cell r="F3487" t="str">
            <v>2317601-1</v>
          </cell>
          <cell r="G3487" t="str">
            <v>TERMINAL</v>
          </cell>
          <cell r="H3487" t="str">
            <v>TAP67110K1SN</v>
          </cell>
        </row>
        <row r="3488">
          <cell r="F3488" t="str">
            <v>964308-1</v>
          </cell>
          <cell r="G3488" t="str">
            <v>TERMINAL</v>
          </cell>
          <cell r="H3488" t="str">
            <v>TAP66SPT21SN</v>
          </cell>
        </row>
        <row r="3489">
          <cell r="F3489" t="str">
            <v>1743465-1</v>
          </cell>
          <cell r="G3489" t="str">
            <v>TERMINAL</v>
          </cell>
          <cell r="H3489" t="str">
            <v>TAP66MCPE2SN</v>
          </cell>
        </row>
        <row r="3490">
          <cell r="F3490" t="str">
            <v>1241416-1</v>
          </cell>
          <cell r="G3490" t="str">
            <v>TERMINAL</v>
          </cell>
          <cell r="H3490" t="str">
            <v>TAP66MC636SN</v>
          </cell>
        </row>
        <row r="3491">
          <cell r="F3491" t="str">
            <v>1241406-1</v>
          </cell>
          <cell r="G3491" t="str">
            <v>TERMINAL</v>
          </cell>
          <cell r="H3491" t="str">
            <v>TAP66MC632SN</v>
          </cell>
        </row>
        <row r="3492">
          <cell r="F3492" t="str">
            <v>928966-2</v>
          </cell>
          <cell r="G3492" t="str">
            <v>TERMINAL</v>
          </cell>
          <cell r="H3492" t="str">
            <v>TAP66ABS22SN</v>
          </cell>
        </row>
        <row r="3493">
          <cell r="F3493" t="str">
            <v>1-968857-1</v>
          </cell>
          <cell r="G3493" t="str">
            <v>TERMINAL</v>
          </cell>
          <cell r="H3493" t="str">
            <v>TAP55MCP06SN</v>
          </cell>
        </row>
        <row r="3494">
          <cell r="F3494" t="str">
            <v>927766-3</v>
          </cell>
          <cell r="G3494" t="str">
            <v>TERMINAL</v>
          </cell>
          <cell r="H3494" t="str">
            <v>TAP55JPT08SN</v>
          </cell>
        </row>
        <row r="3495">
          <cell r="F3495" t="str">
            <v>1743163-1</v>
          </cell>
          <cell r="G3495" t="str">
            <v>TERMINAL</v>
          </cell>
          <cell r="H3495" t="str">
            <v>TAP45MCPE2SN</v>
          </cell>
        </row>
        <row r="3496">
          <cell r="F3496" t="str">
            <v>1241390-1</v>
          </cell>
          <cell r="G3496" t="str">
            <v>TERMINAL</v>
          </cell>
          <cell r="H3496" t="str">
            <v>TAP45MCP02SN</v>
          </cell>
        </row>
        <row r="3497">
          <cell r="F3497" t="str">
            <v>1241414-1</v>
          </cell>
          <cell r="G3497" t="str">
            <v>TERMINAL</v>
          </cell>
          <cell r="H3497" t="str">
            <v>TAP45MC636SN</v>
          </cell>
        </row>
        <row r="3498">
          <cell r="F3498" t="str">
            <v>1241404-1</v>
          </cell>
          <cell r="G3498" t="str">
            <v>TERMINAL</v>
          </cell>
          <cell r="H3498" t="str">
            <v>TAP45MC632SN</v>
          </cell>
        </row>
        <row r="3499">
          <cell r="F3499" t="str">
            <v>1-968851-1</v>
          </cell>
          <cell r="G3499" t="str">
            <v>TERMINAL</v>
          </cell>
          <cell r="H3499" t="str">
            <v>TAP45MC282SN</v>
          </cell>
        </row>
        <row r="3500">
          <cell r="F3500" t="str">
            <v>965999-2</v>
          </cell>
          <cell r="G3500" t="str">
            <v>TERMINAL</v>
          </cell>
          <cell r="H3500" t="str">
            <v>TAP45JPTA2SN</v>
          </cell>
        </row>
        <row r="3501">
          <cell r="F3501" t="str">
            <v>964273-2</v>
          </cell>
          <cell r="G3501" t="str">
            <v>TERMINAL</v>
          </cell>
          <cell r="H3501" t="str">
            <v>TAP45JPT06SN</v>
          </cell>
        </row>
        <row r="3502">
          <cell r="F3502" t="str">
            <v>927768-3</v>
          </cell>
          <cell r="G3502" t="str">
            <v>TERMINAL</v>
          </cell>
          <cell r="H3502" t="str">
            <v>TAP45JPT04SN</v>
          </cell>
        </row>
        <row r="3503">
          <cell r="F3503" t="str">
            <v>0-1241396-1</v>
          </cell>
          <cell r="G3503" t="str">
            <v>TERMINAL</v>
          </cell>
          <cell r="H3503" t="str">
            <v>TAP45EC288SN</v>
          </cell>
        </row>
        <row r="3504">
          <cell r="F3504" t="str">
            <v>2317605-1</v>
          </cell>
          <cell r="G3504" t="str">
            <v>TERMINAL</v>
          </cell>
          <cell r="H3504" t="str">
            <v>TAP45110K2SN</v>
          </cell>
        </row>
        <row r="3505">
          <cell r="F3505" t="str">
            <v>2317590-1</v>
          </cell>
          <cell r="G3505" t="str">
            <v>TERMINAL</v>
          </cell>
          <cell r="H3505" t="str">
            <v>TAP45110K1SN</v>
          </cell>
        </row>
        <row r="3506">
          <cell r="F3506" t="str">
            <v>1418884-1</v>
          </cell>
          <cell r="G3506" t="str">
            <v>TERMINAL</v>
          </cell>
          <cell r="H3506" t="str">
            <v>TAP44MCP16SN</v>
          </cell>
        </row>
        <row r="3507">
          <cell r="F3507" t="str">
            <v>8-2109006-3</v>
          </cell>
          <cell r="G3507" t="str">
            <v>TERMINAL</v>
          </cell>
          <cell r="H3507" t="str">
            <v>TAP44060L2SN</v>
          </cell>
        </row>
        <row r="3508">
          <cell r="F3508" t="str">
            <v>1241608-1</v>
          </cell>
          <cell r="G3508" t="str">
            <v>TERMINAL</v>
          </cell>
          <cell r="H3508" t="str">
            <v>TAP34EC158SN</v>
          </cell>
        </row>
        <row r="3509">
          <cell r="F3509" t="str">
            <v>2109006-3</v>
          </cell>
          <cell r="G3509" t="str">
            <v>TERMINAL</v>
          </cell>
          <cell r="H3509" t="str">
            <v>TAP3406002SN</v>
          </cell>
        </row>
        <row r="3510">
          <cell r="F3510" t="str">
            <v>2109005-3</v>
          </cell>
          <cell r="G3510" t="str">
            <v>TERMINAL</v>
          </cell>
          <cell r="H3510" t="str">
            <v>TAP3406001SN</v>
          </cell>
        </row>
        <row r="3511">
          <cell r="F3511" t="str">
            <v>282110-1</v>
          </cell>
          <cell r="G3511" t="str">
            <v>TERMINAL</v>
          </cell>
          <cell r="H3511" t="str">
            <v>TAP2420872SN</v>
          </cell>
        </row>
        <row r="3512">
          <cell r="F3512" t="str">
            <v>1-2390130-1</v>
          </cell>
          <cell r="G3512" t="str">
            <v>TERMINAL</v>
          </cell>
          <cell r="H3512" t="str">
            <v>TAP23REM12SN</v>
          </cell>
        </row>
        <row r="3513">
          <cell r="F3513" t="str">
            <v>2390130-1</v>
          </cell>
          <cell r="G3513" t="str">
            <v>TERMINAL</v>
          </cell>
          <cell r="H3513" t="str">
            <v>TAP23REM02SN</v>
          </cell>
        </row>
        <row r="3514">
          <cell r="F3514" t="str">
            <v>963904-1</v>
          </cell>
          <cell r="G3514" t="str">
            <v>TERMINAL</v>
          </cell>
          <cell r="H3514" t="str">
            <v>TAP23MIC07SN</v>
          </cell>
        </row>
        <row r="3515">
          <cell r="F3515" t="str">
            <v>1241388-1</v>
          </cell>
          <cell r="G3515" t="str">
            <v>TERMINAL</v>
          </cell>
          <cell r="H3515" t="str">
            <v>TAP23MCP02SN</v>
          </cell>
        </row>
        <row r="3516">
          <cell r="F3516" t="str">
            <v>1241402-1</v>
          </cell>
          <cell r="G3516" t="str">
            <v>TERMINAL</v>
          </cell>
          <cell r="H3516" t="str">
            <v>TAP23MC632SN</v>
          </cell>
        </row>
        <row r="3517">
          <cell r="F3517" t="str">
            <v>1-968849-1</v>
          </cell>
          <cell r="G3517" t="str">
            <v>TERMINAL</v>
          </cell>
          <cell r="H3517" t="str">
            <v>TAP23MC282SN</v>
          </cell>
        </row>
        <row r="3518">
          <cell r="F3518" t="str">
            <v>964284-2</v>
          </cell>
          <cell r="G3518" t="str">
            <v>TERMINAL</v>
          </cell>
          <cell r="H3518" t="str">
            <v>TAP23JPTA2SN</v>
          </cell>
        </row>
        <row r="3519">
          <cell r="F3519" t="str">
            <v>1-962915-1</v>
          </cell>
          <cell r="G3519" t="str">
            <v>TERMINAL</v>
          </cell>
          <cell r="H3519" t="str">
            <v>TAP23JPT07SN</v>
          </cell>
        </row>
        <row r="3520">
          <cell r="F3520" t="str">
            <v>964286-2</v>
          </cell>
          <cell r="G3520" t="str">
            <v>TERMINAL</v>
          </cell>
          <cell r="H3520" t="str">
            <v>TAP23JPT06SN</v>
          </cell>
        </row>
        <row r="3521">
          <cell r="F3521" t="str">
            <v>2317604-1</v>
          </cell>
          <cell r="G3521" t="str">
            <v>TERMINAL</v>
          </cell>
          <cell r="H3521" t="str">
            <v>TAP23110K2SN</v>
          </cell>
        </row>
        <row r="3522">
          <cell r="F3522" t="str">
            <v>2317589-1</v>
          </cell>
          <cell r="G3522" t="str">
            <v>TERMINAL</v>
          </cell>
          <cell r="H3522" t="str">
            <v>TAP23110K1SN</v>
          </cell>
        </row>
        <row r="3523">
          <cell r="F3523" t="str">
            <v>2372334-2</v>
          </cell>
          <cell r="G3523" t="str">
            <v>TERMINAL</v>
          </cell>
          <cell r="H3523" t="str">
            <v>TAP23064C2SN</v>
          </cell>
        </row>
        <row r="3524">
          <cell r="F3524" t="str">
            <v>2109006-2</v>
          </cell>
          <cell r="G3524" t="str">
            <v>TERMINAL</v>
          </cell>
          <cell r="H3524" t="str">
            <v>TAP2306002SN</v>
          </cell>
        </row>
        <row r="3525">
          <cell r="F3525" t="str">
            <v>2109005-2</v>
          </cell>
          <cell r="G3525" t="str">
            <v>TERMINAL</v>
          </cell>
          <cell r="H3525" t="str">
            <v>TAP2306001SN</v>
          </cell>
        </row>
        <row r="3526">
          <cell r="F3526" t="str">
            <v>963902-1</v>
          </cell>
          <cell r="G3526" t="str">
            <v>TERMINAL</v>
          </cell>
          <cell r="H3526" t="str">
            <v>TAP22MT212SN</v>
          </cell>
        </row>
        <row r="3527">
          <cell r="F3527" t="str">
            <v>170233-2</v>
          </cell>
          <cell r="G3527" t="str">
            <v>TERMINAL</v>
          </cell>
          <cell r="H3527" t="str">
            <v>TAP14PLM12SN</v>
          </cell>
        </row>
        <row r="3528">
          <cell r="F3528" t="str">
            <v>927770-3</v>
          </cell>
          <cell r="G3528" t="str">
            <v>TERMINAL</v>
          </cell>
          <cell r="H3528" t="str">
            <v>TAP13JPT08SN</v>
          </cell>
        </row>
        <row r="3529">
          <cell r="F3529" t="str">
            <v>927771-3</v>
          </cell>
          <cell r="G3529" t="str">
            <v>TERMINAL</v>
          </cell>
          <cell r="H3529" t="str">
            <v>TAP13JPT04SN</v>
          </cell>
        </row>
        <row r="3530">
          <cell r="F3530" t="str">
            <v>170452-2</v>
          </cell>
          <cell r="G3530" t="str">
            <v>TERMINAL</v>
          </cell>
          <cell r="H3530" t="str">
            <v>TAP12PLM22SN</v>
          </cell>
        </row>
        <row r="3531">
          <cell r="F3531" t="str">
            <v>171630-1</v>
          </cell>
          <cell r="G3531" t="str">
            <v>TERMINAL</v>
          </cell>
          <cell r="H3531" t="str">
            <v>TAP12MSWD6SN</v>
          </cell>
        </row>
        <row r="3532">
          <cell r="F3532" t="str">
            <v>1241380-1</v>
          </cell>
          <cell r="G3532" t="str">
            <v>TERMINAL</v>
          </cell>
          <cell r="H3532" t="str">
            <v>TAP12LAMD8SN</v>
          </cell>
        </row>
        <row r="3533">
          <cell r="F3533" t="str">
            <v>1241380-2</v>
          </cell>
          <cell r="G3533" t="str">
            <v>TERMINAL</v>
          </cell>
          <cell r="H3533" t="str">
            <v>TAP12LAMD8AU</v>
          </cell>
        </row>
        <row r="3534">
          <cell r="F3534" t="str">
            <v>964280-2</v>
          </cell>
          <cell r="G3534" t="str">
            <v>TERMINAL</v>
          </cell>
          <cell r="H3534" t="str">
            <v>TAP12JPTA2SN</v>
          </cell>
        </row>
        <row r="3535">
          <cell r="F3535" t="str">
            <v>964282-2</v>
          </cell>
          <cell r="G3535" t="str">
            <v>TERMINAL</v>
          </cell>
          <cell r="H3535" t="str">
            <v>TAP12JPT06SN</v>
          </cell>
        </row>
        <row r="3536">
          <cell r="F3536" t="str">
            <v>927774-3</v>
          </cell>
          <cell r="G3536" t="str">
            <v>TERMINAL</v>
          </cell>
          <cell r="H3536" t="str">
            <v>TAP12JPT04SN</v>
          </cell>
        </row>
        <row r="3537">
          <cell r="F3537" t="str">
            <v>282403-1</v>
          </cell>
          <cell r="G3537" t="str">
            <v>TERMINAL</v>
          </cell>
          <cell r="H3537" t="str">
            <v>TAP1228002SN</v>
          </cell>
        </row>
        <row r="3538">
          <cell r="F3538" t="str">
            <v>170384-2</v>
          </cell>
          <cell r="G3538" t="str">
            <v>TERMINAL</v>
          </cell>
          <cell r="H3538" t="str">
            <v>TAP1225002SN</v>
          </cell>
        </row>
        <row r="3539">
          <cell r="F3539" t="str">
            <v>316836-3</v>
          </cell>
          <cell r="G3539" t="str">
            <v>TERMINAL</v>
          </cell>
          <cell r="H3539" t="str">
            <v>TAP1204032SN</v>
          </cell>
        </row>
        <row r="3540">
          <cell r="F3540" t="str">
            <v>2366531-2</v>
          </cell>
          <cell r="G3540" t="str">
            <v>TERMINAL</v>
          </cell>
          <cell r="H3540" t="str">
            <v>TAP12025K2SN</v>
          </cell>
        </row>
        <row r="3541">
          <cell r="F3541" t="str">
            <v>2188446-2</v>
          </cell>
          <cell r="G3541" t="str">
            <v>TERMINAL</v>
          </cell>
          <cell r="H3541" t="str">
            <v>TAP1202552SN</v>
          </cell>
        </row>
        <row r="3542">
          <cell r="F3542" t="str">
            <v>2005427-1</v>
          </cell>
          <cell r="G3542" t="str">
            <v>TERMINAL</v>
          </cell>
          <cell r="H3542" t="str">
            <v>TAP1202542SN</v>
          </cell>
        </row>
        <row r="3543">
          <cell r="F3543" t="str">
            <v>2005154-1</v>
          </cell>
          <cell r="G3543" t="str">
            <v>TERMINAL</v>
          </cell>
          <cell r="H3543" t="str">
            <v>TAP1202541SN</v>
          </cell>
        </row>
        <row r="3544">
          <cell r="F3544" t="str">
            <v>1123343-2</v>
          </cell>
          <cell r="G3544" t="str">
            <v>TERMINAL</v>
          </cell>
          <cell r="H3544" t="str">
            <v>TAP1202502AU</v>
          </cell>
        </row>
        <row r="3545">
          <cell r="F3545" t="str">
            <v>2350583-2</v>
          </cell>
          <cell r="G3545" t="str">
            <v>TERMINAL</v>
          </cell>
          <cell r="H3545" t="str">
            <v>TAP12020K1SN</v>
          </cell>
        </row>
        <row r="3546">
          <cell r="F3546" t="str">
            <v>5-962885-1</v>
          </cell>
          <cell r="G3546" t="str">
            <v>TERMINAL</v>
          </cell>
          <cell r="H3546" t="str">
            <v>TAP11WMQS6SN</v>
          </cell>
        </row>
        <row r="3547">
          <cell r="F3547" t="str">
            <v>1-2390121-1</v>
          </cell>
          <cell r="G3547" t="str">
            <v>TERMINAL</v>
          </cell>
          <cell r="H3547" t="str">
            <v>TAP11REM12SN</v>
          </cell>
        </row>
        <row r="3548">
          <cell r="F3548" t="str">
            <v>2390121-1</v>
          </cell>
          <cell r="G3548" t="str">
            <v>TERMINAL</v>
          </cell>
          <cell r="H3548" t="str">
            <v>TAP11REM02SN</v>
          </cell>
        </row>
        <row r="3549">
          <cell r="F3549" t="str">
            <v>5-928999-1</v>
          </cell>
          <cell r="G3549" t="str">
            <v>TERMINAL</v>
          </cell>
          <cell r="H3549" t="str">
            <v>TAP11MQS12SN</v>
          </cell>
        </row>
        <row r="3550">
          <cell r="F3550" t="str">
            <v>1564324-1</v>
          </cell>
          <cell r="G3550" t="str">
            <v>TERMINAL</v>
          </cell>
          <cell r="H3550" t="str">
            <v>TAP11MC156SN</v>
          </cell>
        </row>
        <row r="3551">
          <cell r="F3551" t="str">
            <v>7-1452665-1</v>
          </cell>
          <cell r="G3551" t="str">
            <v>TERMINAL</v>
          </cell>
          <cell r="H3551" t="str">
            <v>TAP11MC126SN</v>
          </cell>
        </row>
        <row r="3552">
          <cell r="F3552" t="str">
            <v>7-1452665-2</v>
          </cell>
          <cell r="G3552" t="str">
            <v>TERMINAL</v>
          </cell>
          <cell r="H3552" t="str">
            <v>TAP11MC126AU</v>
          </cell>
        </row>
        <row r="3553">
          <cell r="F3553" t="str">
            <v>2005544-1</v>
          </cell>
          <cell r="G3553" t="str">
            <v>TERMINAL</v>
          </cell>
          <cell r="H3553" t="str">
            <v>TAP11M1206SN</v>
          </cell>
        </row>
        <row r="3554">
          <cell r="F3554" t="str">
            <v>927772-3</v>
          </cell>
          <cell r="G3554" t="str">
            <v>TERMINAL</v>
          </cell>
          <cell r="H3554" t="str">
            <v>TAP11JPT08SN</v>
          </cell>
        </row>
        <row r="3555">
          <cell r="F3555" t="str">
            <v>928999-1</v>
          </cell>
          <cell r="G3555" t="str">
            <v>TERMINAL</v>
          </cell>
          <cell r="H3555" t="str">
            <v>TAP11ABG12SN</v>
          </cell>
        </row>
        <row r="3556">
          <cell r="F3556" t="str">
            <v>173633-1</v>
          </cell>
          <cell r="G3556" t="str">
            <v>TERMINAL</v>
          </cell>
          <cell r="H3556" t="str">
            <v>TAP1107001SN</v>
          </cell>
        </row>
        <row r="3557">
          <cell r="F3557" t="str">
            <v>2372334-1</v>
          </cell>
          <cell r="G3557" t="str">
            <v>TERMINAL</v>
          </cell>
          <cell r="H3557" t="str">
            <v>TAP11064C2SN</v>
          </cell>
        </row>
        <row r="3558">
          <cell r="F3558" t="str">
            <v>2109006-1</v>
          </cell>
          <cell r="G3558" t="str">
            <v>TERMINAL</v>
          </cell>
          <cell r="H3558" t="str">
            <v>TAP1106002SN</v>
          </cell>
        </row>
        <row r="3559">
          <cell r="F3559" t="str">
            <v>2109005-1</v>
          </cell>
          <cell r="G3559" t="str">
            <v>TERMINAL</v>
          </cell>
          <cell r="H3559" t="str">
            <v>TAP1106001SN</v>
          </cell>
        </row>
        <row r="3560">
          <cell r="F3560" t="str">
            <v>1871859-1</v>
          </cell>
          <cell r="G3560" t="str">
            <v>TERMINAL</v>
          </cell>
          <cell r="H3560" t="str">
            <v>TAP11025G2SN</v>
          </cell>
        </row>
        <row r="3561">
          <cell r="F3561" t="str">
            <v>25X20M/M WHT</v>
          </cell>
          <cell r="G3561" t="str">
            <v>PVC TAPE</v>
          </cell>
          <cell r="H3561" t="str">
            <v>TAP0141</v>
          </cell>
        </row>
        <row r="3562">
          <cell r="F3562" t="str">
            <v>T3X50X100</v>
          </cell>
          <cell r="G3562" t="str">
            <v>LASTAN TAPE</v>
          </cell>
          <cell r="H3562" t="str">
            <v>TAP0140</v>
          </cell>
        </row>
        <row r="3563">
          <cell r="F3563" t="str">
            <v>10M/MX20(BLK)</v>
          </cell>
          <cell r="G3563" t="str">
            <v>PVC TAPE</v>
          </cell>
          <cell r="H3563" t="str">
            <v>TAP0130</v>
          </cell>
        </row>
        <row r="3564">
          <cell r="F3564" t="str">
            <v>15X33/YEL</v>
          </cell>
          <cell r="G3564" t="str">
            <v>LINE TAPE</v>
          </cell>
          <cell r="H3564" t="str">
            <v>TAP0129</v>
          </cell>
        </row>
        <row r="3565">
          <cell r="F3565" t="str">
            <v>R-AT 난연 40*30/WHT</v>
          </cell>
          <cell r="G3565" t="str">
            <v>AT TAPE</v>
          </cell>
          <cell r="H3565" t="str">
            <v>TAP0127</v>
          </cell>
        </row>
        <row r="3566">
          <cell r="F3566" t="str">
            <v>R-AT 난연 10*30/WHT</v>
          </cell>
          <cell r="G3566" t="str">
            <v>AT TAPE</v>
          </cell>
          <cell r="H3566" t="str">
            <v>TAP0126</v>
          </cell>
        </row>
        <row r="3567">
          <cell r="F3567" t="str">
            <v>KAPTON TAPE 19x15(RED)</v>
          </cell>
          <cell r="G3567" t="str">
            <v>KAPTON TAPE</v>
          </cell>
          <cell r="H3567" t="str">
            <v>TAP0125</v>
          </cell>
        </row>
        <row r="3568">
          <cell r="F3568" t="str">
            <v>PS25/WHT 19x50</v>
          </cell>
          <cell r="G3568" t="str">
            <v>PET TAPE</v>
          </cell>
          <cell r="H3568" t="str">
            <v>TAP0124</v>
          </cell>
        </row>
        <row r="3569">
          <cell r="F3569" t="str">
            <v>PS25/YEL 19x50</v>
          </cell>
          <cell r="G3569" t="str">
            <v>PET TAPE</v>
          </cell>
          <cell r="H3569" t="str">
            <v>TAP0123</v>
          </cell>
        </row>
        <row r="3570">
          <cell r="F3570" t="str">
            <v>PS25/RED 19x50</v>
          </cell>
          <cell r="G3570" t="str">
            <v>KAPTON TAPE</v>
          </cell>
          <cell r="H3570" t="str">
            <v>TAP0122</v>
          </cell>
        </row>
        <row r="3571">
          <cell r="F3571" t="str">
            <v>KAPTON TAPE 19x15(ORG)</v>
          </cell>
          <cell r="G3571" t="str">
            <v>KAPTON TAPE</v>
          </cell>
          <cell r="H3571" t="str">
            <v>TAP0121</v>
          </cell>
        </row>
        <row r="3572">
          <cell r="F3572" t="str">
            <v>19X20(B)</v>
          </cell>
          <cell r="G3572" t="str">
            <v>KAPTON TAPE</v>
          </cell>
          <cell r="H3572" t="str">
            <v>TAP0120</v>
          </cell>
        </row>
        <row r="3573">
          <cell r="F3573" t="str">
            <v>19M/MX20 (YEL)-OLD</v>
          </cell>
          <cell r="G3573" t="str">
            <v>PVC TAPE</v>
          </cell>
          <cell r="H3573" t="str">
            <v>TAP0119</v>
          </cell>
        </row>
        <row r="3574">
          <cell r="F3574" t="str">
            <v>19M/MX20 (RED)-OLD</v>
          </cell>
          <cell r="G3574" t="str">
            <v>PVC TAPE</v>
          </cell>
          <cell r="H3574" t="str">
            <v>TAP0118</v>
          </cell>
        </row>
        <row r="3575">
          <cell r="F3575" t="str">
            <v>19M/MX20 (BLU)-OLD</v>
          </cell>
          <cell r="G3575" t="str">
            <v>PVC TAPE</v>
          </cell>
          <cell r="H3575" t="str">
            <v>TAP0117</v>
          </cell>
        </row>
        <row r="3576">
          <cell r="F3576" t="str">
            <v>AL-TAPE(W25)</v>
          </cell>
          <cell r="G3576" t="str">
            <v>AL TAPE</v>
          </cell>
          <cell r="H3576" t="str">
            <v>TAP0116</v>
          </cell>
        </row>
        <row r="3577">
          <cell r="F3577" t="str">
            <v>19M/MX20 (WHT)-OLD</v>
          </cell>
          <cell r="G3577" t="str">
            <v>PVC TAPE</v>
          </cell>
          <cell r="H3577" t="str">
            <v>TAP0115</v>
          </cell>
        </row>
        <row r="3578">
          <cell r="F3578" t="str">
            <v>19M/MX20 (BLK)-OLD</v>
          </cell>
          <cell r="G3578" t="str">
            <v>PVC TAPE</v>
          </cell>
          <cell r="H3578" t="str">
            <v>TAP0114</v>
          </cell>
        </row>
        <row r="3579">
          <cell r="F3579" t="str">
            <v>FILAMENT 25X50</v>
          </cell>
          <cell r="G3579" t="str">
            <v>FILAMENT TAPE</v>
          </cell>
          <cell r="H3579" t="str">
            <v>TAP0113</v>
          </cell>
        </row>
        <row r="3580">
          <cell r="F3580" t="str">
            <v>30M/MX20 (BLK)</v>
          </cell>
          <cell r="G3580" t="str">
            <v>PVC TAPE</v>
          </cell>
          <cell r="H3580" t="str">
            <v>TAP0112</v>
          </cell>
        </row>
        <row r="3581">
          <cell r="F3581" t="str">
            <v>18M/MX20 (BLK)</v>
          </cell>
          <cell r="G3581" t="str">
            <v>PVC TAPE</v>
          </cell>
          <cell r="H3581" t="str">
            <v>TAP0111</v>
          </cell>
        </row>
        <row r="3582">
          <cell r="F3582" t="str">
            <v>40X30</v>
          </cell>
          <cell r="G3582" t="str">
            <v>AT TAPE</v>
          </cell>
          <cell r="H3582" t="str">
            <v>TAP0108</v>
          </cell>
        </row>
        <row r="3583">
          <cell r="F3583" t="str">
            <v>30X30</v>
          </cell>
          <cell r="G3583" t="str">
            <v>AT TAPE</v>
          </cell>
          <cell r="H3583" t="str">
            <v>TAP0101</v>
          </cell>
        </row>
        <row r="3584">
          <cell r="F3584" t="str">
            <v>19M/MX20 (GRY)</v>
          </cell>
          <cell r="G3584" t="str">
            <v>PVC TAPE</v>
          </cell>
          <cell r="H3584" t="str">
            <v>TAP0100</v>
          </cell>
        </row>
        <row r="3585">
          <cell r="F3585" t="str">
            <v>20X30</v>
          </cell>
          <cell r="G3585" t="str">
            <v>AT TAPE</v>
          </cell>
          <cell r="H3585" t="str">
            <v>TAP0099</v>
          </cell>
        </row>
        <row r="3586">
          <cell r="F3586" t="str">
            <v>10X40</v>
          </cell>
          <cell r="G3586" t="str">
            <v>PAPER TAPE</v>
          </cell>
          <cell r="H3586" t="str">
            <v>TAP0098</v>
          </cell>
        </row>
        <row r="3587">
          <cell r="F3587" t="str">
            <v>DA02-10004D</v>
          </cell>
          <cell r="G3587" t="str">
            <v>CATON TAPE(KT40*50)</v>
          </cell>
          <cell r="H3587" t="str">
            <v>TAP0097</v>
          </cell>
        </row>
        <row r="3588">
          <cell r="F3588" t="str">
            <v>DA02-00209A</v>
          </cell>
          <cell r="G3588" t="str">
            <v>TAPE AL</v>
          </cell>
          <cell r="H3588" t="str">
            <v>TAP0096</v>
          </cell>
        </row>
        <row r="3589">
          <cell r="F3589" t="str">
            <v>30X50</v>
          </cell>
          <cell r="G3589" t="str">
            <v>TAPE KRAFT</v>
          </cell>
          <cell r="H3589" t="str">
            <v>TAP0093</v>
          </cell>
        </row>
        <row r="3590">
          <cell r="F3590" t="str">
            <v>25X20M/M (BLU)</v>
          </cell>
          <cell r="G3590" t="str">
            <v>PVC TAPE</v>
          </cell>
          <cell r="H3590" t="str">
            <v>TAP0090</v>
          </cell>
        </row>
        <row r="3591">
          <cell r="F3591" t="str">
            <v>DA02-10010A</v>
          </cell>
          <cell r="G3591" t="str">
            <v>TAPE-OPP</v>
          </cell>
          <cell r="H3591" t="str">
            <v>TAP0089</v>
          </cell>
        </row>
        <row r="3592">
          <cell r="F3592" t="str">
            <v>25X40</v>
          </cell>
          <cell r="G3592" t="str">
            <v>PAPER TAPE</v>
          </cell>
          <cell r="H3592" t="str">
            <v>TAP0088</v>
          </cell>
        </row>
        <row r="3593">
          <cell r="F3593" t="str">
            <v>BUSIC4T 50X20</v>
          </cell>
          <cell r="G3593" t="str">
            <v>NONWOVEN TAPE</v>
          </cell>
          <cell r="H3593" t="str">
            <v>TAP0087</v>
          </cell>
        </row>
        <row r="3594">
          <cell r="F3594" t="str">
            <v>35X20M/M (BLK)</v>
          </cell>
          <cell r="G3594" t="str">
            <v>PVC TAPE</v>
          </cell>
          <cell r="H3594" t="str">
            <v>TAP0086</v>
          </cell>
        </row>
        <row r="3595">
          <cell r="F3595" t="str">
            <v>22X50</v>
          </cell>
          <cell r="G3595" t="str">
            <v>FILAMENT TAPE</v>
          </cell>
          <cell r="H3595" t="str">
            <v>TAP0083</v>
          </cell>
        </row>
        <row r="3596">
          <cell r="F3596" t="str">
            <v>FILAMENT 48X50</v>
          </cell>
          <cell r="G3596" t="str">
            <v>FILAMENT TAPE</v>
          </cell>
          <cell r="H3596" t="str">
            <v>TAP0082</v>
          </cell>
        </row>
        <row r="3597">
          <cell r="F3597" t="str">
            <v>25X20M/M (GRN)</v>
          </cell>
          <cell r="G3597" t="str">
            <v>PVC TAPE</v>
          </cell>
          <cell r="H3597" t="str">
            <v>TAP0080</v>
          </cell>
        </row>
        <row r="3598">
          <cell r="F3598" t="str">
            <v>GLASS80X30mm</v>
          </cell>
          <cell r="G3598" t="str">
            <v>GLASSTAPE</v>
          </cell>
          <cell r="H3598" t="str">
            <v>TAP0079</v>
          </cell>
        </row>
        <row r="3599">
          <cell r="F3599" t="str">
            <v>BUSIC4T 25X20</v>
          </cell>
          <cell r="G3599" t="str">
            <v>NONWOVEN TAPE</v>
          </cell>
          <cell r="H3599" t="str">
            <v>TAP0078</v>
          </cell>
        </row>
        <row r="3600">
          <cell r="F3600" t="str">
            <v>3X50X50(MAT-400F)</v>
          </cell>
          <cell r="G3600" t="str">
            <v>LASTAN TAPE</v>
          </cell>
          <cell r="H3600" t="str">
            <v>TAP0076</v>
          </cell>
        </row>
        <row r="3601">
          <cell r="F3601" t="str">
            <v>60X24M</v>
          </cell>
          <cell r="G3601" t="str">
            <v>FILAMENT TAPE</v>
          </cell>
          <cell r="H3601" t="str">
            <v>TAP0075</v>
          </cell>
        </row>
        <row r="3602">
          <cell r="F3602" t="str">
            <v>50X15(MYANBACK)</v>
          </cell>
          <cell r="G3602" t="str">
            <v>MYANBACK TAPE</v>
          </cell>
          <cell r="H3602" t="str">
            <v>TAP0068</v>
          </cell>
        </row>
        <row r="3603">
          <cell r="F3603" t="str">
            <v>7X40</v>
          </cell>
          <cell r="G3603" t="str">
            <v>PAPER TAPE</v>
          </cell>
          <cell r="H3603" t="str">
            <v>TAP0066</v>
          </cell>
        </row>
        <row r="3604">
          <cell r="F3604" t="str">
            <v>PLASTIC WRAP</v>
          </cell>
          <cell r="G3604" t="str">
            <v>TAPE WRAP</v>
          </cell>
          <cell r="H3604" t="str">
            <v>TAP0064</v>
          </cell>
        </row>
        <row r="3605">
          <cell r="F3605" t="str">
            <v>PVC-SHEET/BK</v>
          </cell>
          <cell r="G3605" t="str">
            <v>TAPE</v>
          </cell>
          <cell r="H3605" t="str">
            <v>TAP0060</v>
          </cell>
        </row>
        <row r="3606">
          <cell r="F3606" t="str">
            <v>TAPE 10X45</v>
          </cell>
          <cell r="G3606" t="str">
            <v>TAPE</v>
          </cell>
          <cell r="H3606" t="str">
            <v>TAP0058</v>
          </cell>
        </row>
        <row r="3607">
          <cell r="F3607" t="str">
            <v>AL-TAPE (W50)</v>
          </cell>
          <cell r="G3607" t="str">
            <v>AL TAPE</v>
          </cell>
          <cell r="H3607" t="str">
            <v>TAP0051</v>
          </cell>
        </row>
        <row r="3608">
          <cell r="F3608" t="str">
            <v>BUSICPOTAPE 22X20</v>
          </cell>
          <cell r="G3608" t="str">
            <v>NONWOVEN TAPE</v>
          </cell>
          <cell r="H3608" t="str">
            <v>TAP0050</v>
          </cell>
        </row>
        <row r="3609">
          <cell r="F3609" t="str">
            <v>30X15(MYANBACK)</v>
          </cell>
          <cell r="G3609" t="str">
            <v>MYANBACK TAPE</v>
          </cell>
          <cell r="H3609" t="str">
            <v>TAP0048</v>
          </cell>
        </row>
        <row r="3610">
          <cell r="F3610" t="str">
            <v>19M/MX20 (ORG)</v>
          </cell>
          <cell r="G3610" t="str">
            <v>PVC TAPE</v>
          </cell>
          <cell r="H3610" t="str">
            <v>TAP0045</v>
          </cell>
        </row>
        <row r="3611">
          <cell r="F3611" t="str">
            <v>GLASS 40X30</v>
          </cell>
          <cell r="G3611" t="str">
            <v>GLASSTAPE</v>
          </cell>
          <cell r="H3611" t="str">
            <v>TAP0042</v>
          </cell>
        </row>
        <row r="3612">
          <cell r="F3612" t="str">
            <v>OPP TAPE</v>
          </cell>
          <cell r="G3612" t="str">
            <v>TAPE</v>
          </cell>
          <cell r="H3612" t="str">
            <v>TAP0041</v>
          </cell>
        </row>
        <row r="3613">
          <cell r="F3613" t="str">
            <v>19M/MX20 (YEL)</v>
          </cell>
          <cell r="G3613" t="str">
            <v>PVC TAPE</v>
          </cell>
          <cell r="H3613" t="str">
            <v>TAP0037</v>
          </cell>
        </row>
        <row r="3614">
          <cell r="F3614" t="str">
            <v>19M/MX20 (RED)</v>
          </cell>
          <cell r="G3614" t="str">
            <v>PVC TAPE</v>
          </cell>
          <cell r="H3614" t="str">
            <v>TAP0036</v>
          </cell>
        </row>
        <row r="3615">
          <cell r="F3615" t="str">
            <v>19M/MX20 (WHT)</v>
          </cell>
          <cell r="G3615" t="str">
            <v>PVC TAPE</v>
          </cell>
          <cell r="H3615" t="str">
            <v>TAP0035</v>
          </cell>
        </row>
        <row r="3616">
          <cell r="F3616" t="str">
            <v>19M/MX20 (BLU)</v>
          </cell>
          <cell r="G3616" t="str">
            <v>PVC TAPE</v>
          </cell>
          <cell r="H3616" t="str">
            <v>TAP0033</v>
          </cell>
        </row>
        <row r="3617">
          <cell r="F3617" t="str">
            <v>19M/MX20(GRN)</v>
          </cell>
          <cell r="G3617" t="str">
            <v>PVC TAPE</v>
          </cell>
          <cell r="H3617" t="str">
            <v>TAP0032</v>
          </cell>
        </row>
        <row r="3618">
          <cell r="F3618" t="str">
            <v>19M/M YEL색</v>
          </cell>
          <cell r="G3618" t="str">
            <v>PVC TAPE</v>
          </cell>
          <cell r="H3618" t="str">
            <v>TAP0031</v>
          </cell>
        </row>
        <row r="3619">
          <cell r="F3619" t="str">
            <v>19M/M WHITE색</v>
          </cell>
          <cell r="G3619" t="str">
            <v>PVC TAPE</v>
          </cell>
          <cell r="H3619" t="str">
            <v>TAP0030</v>
          </cell>
        </row>
        <row r="3620">
          <cell r="F3620" t="str">
            <v>19M/MX20(BLK)H-TAPE</v>
          </cell>
          <cell r="G3620" t="str">
            <v>PVC TAPE</v>
          </cell>
          <cell r="H3620" t="str">
            <v>TAP0028</v>
          </cell>
        </row>
        <row r="3621">
          <cell r="F3621" t="str">
            <v>20X530</v>
          </cell>
          <cell r="G3621" t="str">
            <v>PROTECT VINYL TAPE</v>
          </cell>
          <cell r="H3621" t="str">
            <v>TAP0023</v>
          </cell>
        </row>
        <row r="3622">
          <cell r="F3622" t="str">
            <v>0203-D01810</v>
          </cell>
          <cell r="G3622" t="str">
            <v>TAPE-COTTON</v>
          </cell>
          <cell r="H3622" t="str">
            <v>TAP0012</v>
          </cell>
        </row>
        <row r="3623">
          <cell r="F3623" t="str">
            <v>25X20M/M (BLK)</v>
          </cell>
          <cell r="G3623" t="str">
            <v>PVC TAPE</v>
          </cell>
          <cell r="H3623" t="str">
            <v>TAP0001</v>
          </cell>
        </row>
        <row r="3624">
          <cell r="F3624" t="str">
            <v>35150-0292 / DEM8-00302</v>
          </cell>
          <cell r="G3624" t="str">
            <v>TPA</v>
          </cell>
          <cell r="H3624" t="str">
            <v>STPA0044</v>
          </cell>
        </row>
        <row r="3625">
          <cell r="F3625" t="str">
            <v>35182-0392 / DEM8-00272</v>
          </cell>
          <cell r="G3625" t="str">
            <v>TPA</v>
          </cell>
          <cell r="H3625" t="str">
            <v>STPA0043</v>
          </cell>
        </row>
        <row r="3626">
          <cell r="F3626" t="str">
            <v>35182-0292 / DEM8-00282</v>
          </cell>
          <cell r="G3626" t="str">
            <v>TPA</v>
          </cell>
          <cell r="H3626" t="str">
            <v>STPA0042</v>
          </cell>
        </row>
        <row r="3627">
          <cell r="F3627" t="str">
            <v>35150-0392 / DEM8-00292</v>
          </cell>
          <cell r="G3627" t="str">
            <v>TPA</v>
          </cell>
          <cell r="H3627" t="str">
            <v>STPA0041</v>
          </cell>
        </row>
        <row r="3628">
          <cell r="F3628" t="str">
            <v>SMH250J-03RT(RE) / DEM8-D0032(RT)</v>
          </cell>
          <cell r="G3628" t="str">
            <v>TPA</v>
          </cell>
          <cell r="H3628" t="str">
            <v>STPA0040</v>
          </cell>
        </row>
        <row r="3629">
          <cell r="F3629" t="str">
            <v>20003RT-H14(BL) / WB20M-028-454</v>
          </cell>
          <cell r="G3629" t="str">
            <v>TPA</v>
          </cell>
          <cell r="H3629" t="str">
            <v>STPA0039</v>
          </cell>
        </row>
        <row r="3630">
          <cell r="F3630" t="str">
            <v>20003RT-H13(BL) / WB20M-026-454</v>
          </cell>
          <cell r="G3630" t="str">
            <v>TPA</v>
          </cell>
          <cell r="H3630" t="str">
            <v>STPA0038</v>
          </cell>
        </row>
        <row r="3631">
          <cell r="F3631" t="str">
            <v>20003RT-H12(BL) / WB20M-024-454</v>
          </cell>
          <cell r="G3631" t="str">
            <v>TPA</v>
          </cell>
          <cell r="H3631" t="str">
            <v>STPA0037</v>
          </cell>
        </row>
        <row r="3632">
          <cell r="F3632" t="str">
            <v>Y4.5-20 / WW45A-010-378</v>
          </cell>
          <cell r="G3632" t="str">
            <v>TPA</v>
          </cell>
          <cell r="H3632" t="str">
            <v>STPA0036</v>
          </cell>
        </row>
        <row r="3633">
          <cell r="F3633" t="str">
            <v>Y4.5-03 / WW45A-003-378</v>
          </cell>
          <cell r="G3633" t="str">
            <v>TPA</v>
          </cell>
          <cell r="H3633" t="str">
            <v>STPA0035</v>
          </cell>
        </row>
        <row r="3634">
          <cell r="F3634" t="str">
            <v>35182-0392 / DEM8-00272</v>
          </cell>
          <cell r="G3634" t="str">
            <v>TPA</v>
          </cell>
          <cell r="H3634" t="str">
            <v>STPA0034</v>
          </cell>
        </row>
        <row r="3635">
          <cell r="F3635" t="str">
            <v>YLS-10V / WW45A-005-375</v>
          </cell>
          <cell r="G3635" t="str">
            <v>TPA</v>
          </cell>
          <cell r="H3635" t="str">
            <v>STPA0033</v>
          </cell>
        </row>
        <row r="3636">
          <cell r="F3636" t="str">
            <v>SMH250J-12RT(RE) / WB25B-012-456</v>
          </cell>
          <cell r="G3636" t="str">
            <v>TPA</v>
          </cell>
          <cell r="H3636" t="str">
            <v>STPA0032</v>
          </cell>
        </row>
        <row r="3637">
          <cell r="F3637" t="str">
            <v>YLS-03V / WW45A-003-378</v>
          </cell>
          <cell r="G3637" t="str">
            <v>TPA</v>
          </cell>
          <cell r="H3637" t="str">
            <v>STPA0031</v>
          </cell>
        </row>
        <row r="3638">
          <cell r="F3638" t="str">
            <v>YLS-16V / WW45A-008-375</v>
          </cell>
          <cell r="G3638" t="str">
            <v>TPA</v>
          </cell>
          <cell r="H3638" t="str">
            <v>STPA0030</v>
          </cell>
        </row>
        <row r="3639">
          <cell r="F3639" t="str">
            <v>35965-0292 / MG636074-102</v>
          </cell>
          <cell r="G3639" t="str">
            <v>TPA</v>
          </cell>
          <cell r="H3639" t="str">
            <v>STPA0029</v>
          </cell>
        </row>
        <row r="3640">
          <cell r="F3640" t="str">
            <v>SMH250J-15RT(RE) / WB25B-015-456</v>
          </cell>
          <cell r="G3640" t="str">
            <v>TPA</v>
          </cell>
          <cell r="H3640" t="str">
            <v>STPA0028</v>
          </cell>
        </row>
        <row r="3641">
          <cell r="F3641" t="str">
            <v>35182-0392 / DEM8-00272 / MG636076-103</v>
          </cell>
          <cell r="G3641" t="str">
            <v>TPA</v>
          </cell>
          <cell r="H3641" t="str">
            <v>STPA0027</v>
          </cell>
        </row>
        <row r="3642">
          <cell r="F3642" t="str">
            <v>35182-0292 / DEM8-00282 / MG636075-102</v>
          </cell>
          <cell r="G3642" t="str">
            <v>TPA</v>
          </cell>
          <cell r="H3642" t="str">
            <v>STPA0026</v>
          </cell>
        </row>
        <row r="3643">
          <cell r="F3643" t="str">
            <v>35150-0392 / DEM8-00292 / MG635318</v>
          </cell>
          <cell r="G3643" t="str">
            <v>TPA</v>
          </cell>
          <cell r="H3643" t="str">
            <v>STPA0025</v>
          </cell>
        </row>
        <row r="3644">
          <cell r="F3644" t="str">
            <v>35150-0292 / DEM8-00302 / MG635317</v>
          </cell>
          <cell r="G3644" t="str">
            <v>TPA</v>
          </cell>
          <cell r="H3644" t="str">
            <v>STPA0024</v>
          </cell>
        </row>
        <row r="3645">
          <cell r="F3645" t="str">
            <v>35150-0290 / DEM8-00301</v>
          </cell>
          <cell r="G3645" t="str">
            <v>TPA</v>
          </cell>
          <cell r="H3645" t="str">
            <v>STPA0023</v>
          </cell>
        </row>
        <row r="3646">
          <cell r="F3646" t="str">
            <v>SMH250J-14RT(RE) / WB25B-014-456</v>
          </cell>
          <cell r="G3646" t="str">
            <v>TPA</v>
          </cell>
          <cell r="H3646" t="str">
            <v>STPA0022</v>
          </cell>
        </row>
        <row r="3647">
          <cell r="F3647" t="str">
            <v>SMH250J-13RT(RE) / WB25B-013-456</v>
          </cell>
          <cell r="G3647" t="str">
            <v>TPA</v>
          </cell>
          <cell r="H3647" t="str">
            <v>STPA0021</v>
          </cell>
        </row>
        <row r="3648">
          <cell r="F3648" t="str">
            <v>SMH250J-11RT(RE) / WB25B-011-456</v>
          </cell>
          <cell r="G3648" t="str">
            <v>TPA</v>
          </cell>
          <cell r="H3648" t="str">
            <v>STPA0020</v>
          </cell>
        </row>
        <row r="3649">
          <cell r="F3649" t="str">
            <v>SMH250J-10RT(RE) / WB25B-010-456</v>
          </cell>
          <cell r="G3649" t="str">
            <v>TPA</v>
          </cell>
          <cell r="H3649" t="str">
            <v>STPA0019</v>
          </cell>
        </row>
        <row r="3650">
          <cell r="F3650" t="str">
            <v>SMH250J-08RT(RE) / WB25B-008-456</v>
          </cell>
          <cell r="G3650" t="str">
            <v>TPA</v>
          </cell>
          <cell r="H3650" t="str">
            <v>STPA0018</v>
          </cell>
        </row>
        <row r="3651">
          <cell r="F3651" t="str">
            <v>SMH250J-07RT(RE) / WB25B-007-456</v>
          </cell>
          <cell r="G3651" t="str">
            <v>TPA</v>
          </cell>
          <cell r="H3651" t="str">
            <v>STPA0017</v>
          </cell>
        </row>
        <row r="3652">
          <cell r="F3652" t="str">
            <v>SMH250J-06RT(RE) / WB25B-006-456</v>
          </cell>
          <cell r="G3652" t="str">
            <v>TPA</v>
          </cell>
          <cell r="H3652" t="str">
            <v>STPA0016</v>
          </cell>
        </row>
        <row r="3653">
          <cell r="F3653" t="str">
            <v>SMH250J-05RT(RE) / WB25B-005-456</v>
          </cell>
          <cell r="G3653" t="str">
            <v>TPA</v>
          </cell>
          <cell r="H3653" t="str">
            <v>STPA0015</v>
          </cell>
        </row>
        <row r="3654">
          <cell r="F3654" t="str">
            <v>SMH250J-04RT(RE) / WB25B-004-456</v>
          </cell>
          <cell r="G3654" t="str">
            <v>TPA</v>
          </cell>
          <cell r="H3654" t="str">
            <v>STPA0014</v>
          </cell>
        </row>
        <row r="3655">
          <cell r="F3655" t="str">
            <v>SMH250J-03RT(RE) / WB25B-003-456</v>
          </cell>
          <cell r="G3655" t="str">
            <v>TPA</v>
          </cell>
          <cell r="H3655" t="str">
            <v>STPA0013</v>
          </cell>
        </row>
        <row r="3656">
          <cell r="F3656" t="str">
            <v>SMH250J-02RT(RE) / WB25B-002-456</v>
          </cell>
          <cell r="G3656" t="str">
            <v>TPA</v>
          </cell>
          <cell r="H3656" t="str">
            <v>STPA0012</v>
          </cell>
        </row>
        <row r="3657">
          <cell r="F3657" t="str">
            <v>YH396-13VRT(BL) / SC51102-131A</v>
          </cell>
          <cell r="G3657" t="str">
            <v>TPA</v>
          </cell>
          <cell r="H3657" t="str">
            <v>STPA0011</v>
          </cell>
        </row>
        <row r="3658">
          <cell r="F3658" t="str">
            <v>YH396-11VRT(BL) / SC51102-111A</v>
          </cell>
          <cell r="G3658" t="str">
            <v>TPA</v>
          </cell>
          <cell r="H3658" t="str">
            <v>STPA0010</v>
          </cell>
        </row>
        <row r="3659">
          <cell r="F3659" t="str">
            <v>YH396-09VRT(BL) / SC51102-091A</v>
          </cell>
          <cell r="G3659" t="str">
            <v>TPA</v>
          </cell>
          <cell r="H3659" t="str">
            <v>STPA0009</v>
          </cell>
        </row>
        <row r="3660">
          <cell r="F3660" t="str">
            <v>YH396-07VRT(BL) / SC51102-071A</v>
          </cell>
          <cell r="G3660" t="str">
            <v>TPA</v>
          </cell>
          <cell r="H3660" t="str">
            <v>STPA0008</v>
          </cell>
        </row>
        <row r="3661">
          <cell r="F3661" t="str">
            <v>YH396-05VRT(BL) / SC51102-051A</v>
          </cell>
          <cell r="G3661" t="str">
            <v>TPA</v>
          </cell>
          <cell r="H3661" t="str">
            <v>STPA0007</v>
          </cell>
        </row>
        <row r="3662">
          <cell r="F3662" t="str">
            <v>YH396-15VRT(BL) / SC51102-151A</v>
          </cell>
          <cell r="G3662" t="str">
            <v>TPA</v>
          </cell>
          <cell r="H3662" t="str">
            <v>STPA0006</v>
          </cell>
        </row>
        <row r="3663">
          <cell r="F3663" t="str">
            <v>YH396-03VRT(BL) / SC51102-031A</v>
          </cell>
          <cell r="G3663" t="str">
            <v>TPA</v>
          </cell>
          <cell r="H3663" t="str">
            <v>STPA0005</v>
          </cell>
        </row>
        <row r="3664">
          <cell r="F3664" t="str">
            <v>YLS-08V / WW45A-004-375</v>
          </cell>
          <cell r="G3664" t="str">
            <v>TPA</v>
          </cell>
          <cell r="H3664" t="str">
            <v>STPA0004</v>
          </cell>
        </row>
        <row r="3665">
          <cell r="F3665" t="str">
            <v>YLS-02V / WW45A-002-375</v>
          </cell>
          <cell r="G3665" t="str">
            <v>TPA</v>
          </cell>
          <cell r="H3665" t="str">
            <v>STPA0003</v>
          </cell>
        </row>
        <row r="3666">
          <cell r="F3666" t="str">
            <v>SMH250J-09RT(RE) / WB25B-009-456</v>
          </cell>
          <cell r="G3666" t="str">
            <v>TPA</v>
          </cell>
          <cell r="H3666" t="str">
            <v>STPA0002</v>
          </cell>
        </row>
        <row r="3667">
          <cell r="F3667" t="str">
            <v>YLS-12V / WW45A-006-375</v>
          </cell>
          <cell r="G3667" t="str">
            <v>TPA</v>
          </cell>
          <cell r="H3667" t="str">
            <v>STPA0001</v>
          </cell>
        </row>
        <row r="3668">
          <cell r="F3668" t="str">
            <v>35748-0310 / DEP1-00256</v>
          </cell>
          <cell r="G3668" t="str">
            <v>TERMINAL</v>
          </cell>
          <cell r="H3668" t="str">
            <v>STER0036</v>
          </cell>
        </row>
        <row r="3669">
          <cell r="F3669" t="str">
            <v>35748-0110 / DEP1-00236</v>
          </cell>
          <cell r="G3669" t="str">
            <v>TERMINAL</v>
          </cell>
          <cell r="H3669" t="str">
            <v>STER0035</v>
          </cell>
        </row>
        <row r="3670">
          <cell r="F3670" t="str">
            <v>35747-0310 / DEP2-00213</v>
          </cell>
          <cell r="G3670" t="str">
            <v>TERMINAL</v>
          </cell>
          <cell r="H3670" t="str">
            <v>STER0034</v>
          </cell>
        </row>
        <row r="3671">
          <cell r="F3671" t="str">
            <v>35747-0210 / DEP2-00203</v>
          </cell>
          <cell r="G3671" t="str">
            <v>TERMINAL</v>
          </cell>
          <cell r="H3671" t="str">
            <v>STER0033</v>
          </cell>
        </row>
        <row r="3672">
          <cell r="F3672" t="str">
            <v>35747-0110 / DEP2-00193</v>
          </cell>
          <cell r="G3672" t="str">
            <v>TERMINAL</v>
          </cell>
          <cell r="H3672" t="str">
            <v>STER0032</v>
          </cell>
        </row>
        <row r="3673">
          <cell r="F3673" t="str">
            <v>35746-0310 / DEP1-00176</v>
          </cell>
          <cell r="G3673" t="str">
            <v>TERMINAL</v>
          </cell>
          <cell r="H3673" t="str">
            <v>STER0031</v>
          </cell>
        </row>
        <row r="3674">
          <cell r="F3674" t="str">
            <v>35746-0210 / DEP1-00166</v>
          </cell>
          <cell r="G3674" t="str">
            <v>TERMINAL</v>
          </cell>
          <cell r="H3674" t="str">
            <v>STER0030</v>
          </cell>
        </row>
        <row r="3675">
          <cell r="F3675" t="str">
            <v>35746-0110 / DEP1-00156</v>
          </cell>
          <cell r="G3675" t="str">
            <v>TERMINAL</v>
          </cell>
          <cell r="H3675" t="str">
            <v>STER0029</v>
          </cell>
        </row>
        <row r="3676">
          <cell r="F3676" t="str">
            <v>35745-0310 / DEP2-00133</v>
          </cell>
          <cell r="G3676" t="str">
            <v>TERMINAL</v>
          </cell>
          <cell r="H3676" t="str">
            <v>STER0028</v>
          </cell>
        </row>
        <row r="3677">
          <cell r="F3677" t="str">
            <v>35745-0210 / DEP2-00123</v>
          </cell>
          <cell r="G3677" t="str">
            <v>TERMINAL</v>
          </cell>
          <cell r="H3677" t="str">
            <v>STER0027</v>
          </cell>
        </row>
        <row r="3678">
          <cell r="F3678" t="str">
            <v>35745-0110 / DEP2-00113</v>
          </cell>
          <cell r="G3678" t="str">
            <v>TERMINAL</v>
          </cell>
          <cell r="H3678" t="str">
            <v>STER0026</v>
          </cell>
        </row>
        <row r="3679">
          <cell r="F3679" t="str">
            <v>20003TS / WB20L-61209</v>
          </cell>
          <cell r="G3679" t="str">
            <v>TERMINAL</v>
          </cell>
          <cell r="H3679" t="str">
            <v>STER0025</v>
          </cell>
        </row>
        <row r="3680">
          <cell r="F3680" t="str">
            <v>YT396C-RT / SC55103-005A</v>
          </cell>
          <cell r="G3680" t="str">
            <v>TERMINAL</v>
          </cell>
          <cell r="H3680" t="str">
            <v>STER0024</v>
          </cell>
        </row>
        <row r="3681">
          <cell r="F3681" t="str">
            <v>YST025L3 / WB25B-61210</v>
          </cell>
          <cell r="G3681" t="str">
            <v>TERMINAL</v>
          </cell>
          <cell r="H3681" t="str">
            <v>STER0023</v>
          </cell>
        </row>
        <row r="3682">
          <cell r="F3682" t="str">
            <v>35748-0410 / DEP1-00266</v>
          </cell>
          <cell r="G3682" t="str">
            <v>TERMINAL</v>
          </cell>
          <cell r="H3682" t="str">
            <v>STER0022</v>
          </cell>
        </row>
        <row r="3683">
          <cell r="F3683" t="str">
            <v>35747-0410 / DEP2-00223</v>
          </cell>
          <cell r="G3683" t="str">
            <v>TERMINAL</v>
          </cell>
          <cell r="H3683" t="str">
            <v>STER0021</v>
          </cell>
        </row>
        <row r="3684">
          <cell r="F3684" t="str">
            <v>35746-0410 / DEP1-00186</v>
          </cell>
          <cell r="G3684" t="str">
            <v>TERMINAL</v>
          </cell>
          <cell r="H3684" t="str">
            <v>STER0020</v>
          </cell>
        </row>
        <row r="3685">
          <cell r="F3685" t="str">
            <v>35745-0410 / DEP2-00143</v>
          </cell>
          <cell r="G3685" t="str">
            <v>TERMINAL</v>
          </cell>
          <cell r="H3685" t="str">
            <v>STER0019</v>
          </cell>
        </row>
        <row r="3686">
          <cell r="F3686" t="str">
            <v>SYM-41T-P0.5A / WW45A-51109</v>
          </cell>
          <cell r="G3686" t="str">
            <v>TERMINAL</v>
          </cell>
          <cell r="H3686" t="str">
            <v>STER0018</v>
          </cell>
        </row>
        <row r="3687">
          <cell r="F3687" t="str">
            <v>SYM-01T-P0.5A / WW45A-56109</v>
          </cell>
          <cell r="G3687" t="str">
            <v>TERMINAL</v>
          </cell>
          <cell r="H3687" t="str">
            <v>STER0017</v>
          </cell>
        </row>
        <row r="3688">
          <cell r="F3688" t="str">
            <v>SYF-41T-P0.5A / WW45A-61209</v>
          </cell>
          <cell r="G3688" t="str">
            <v>TERMINAL</v>
          </cell>
          <cell r="H3688" t="str">
            <v>STER0016</v>
          </cell>
        </row>
        <row r="3689">
          <cell r="F3689" t="str">
            <v>SYF-01T-P0.5A / WW45A-66209</v>
          </cell>
          <cell r="G3689" t="str">
            <v>TERMINAL</v>
          </cell>
          <cell r="H3689" t="str">
            <v>STER0015</v>
          </cell>
        </row>
        <row r="3690">
          <cell r="F3690" t="str">
            <v>5-170063-2 / DEP1-00105</v>
          </cell>
          <cell r="G3690" t="str">
            <v>TERMINAL</v>
          </cell>
          <cell r="H3690" t="str">
            <v>STER0014</v>
          </cell>
        </row>
        <row r="3691">
          <cell r="F3691" t="str">
            <v>35748-0210 / ST731434-3L</v>
          </cell>
          <cell r="G3691" t="str">
            <v>TERMINAL</v>
          </cell>
          <cell r="H3691" t="str">
            <v>STER0013</v>
          </cell>
        </row>
        <row r="3692">
          <cell r="F3692" t="str">
            <v>ST730190-2 / ST730190-3</v>
          </cell>
          <cell r="G3692" t="str">
            <v>TERMINAL</v>
          </cell>
          <cell r="H3692" t="str">
            <v>STER0012</v>
          </cell>
        </row>
        <row r="3693">
          <cell r="F3693" t="str">
            <v>35748-0310 / DEP1-00256 / ST731434-3DW</v>
          </cell>
          <cell r="G3693" t="str">
            <v>TERMINAL</v>
          </cell>
          <cell r="H3693" t="str">
            <v>STER0011</v>
          </cell>
        </row>
        <row r="3694">
          <cell r="F3694" t="str">
            <v>35748-0110 / DEP1-00236 / ST731434-3M</v>
          </cell>
          <cell r="G3694" t="str">
            <v>TERMINAL</v>
          </cell>
          <cell r="H3694" t="str">
            <v>STER0010</v>
          </cell>
        </row>
        <row r="3695">
          <cell r="F3695" t="str">
            <v>35747-0310 / DEP2-00213 / ST741436-3DW</v>
          </cell>
          <cell r="G3695" t="str">
            <v>TERMINAL</v>
          </cell>
          <cell r="H3695" t="str">
            <v>STER0009</v>
          </cell>
        </row>
        <row r="3696">
          <cell r="F3696" t="str">
            <v>35747-0210 / DEP2-00203 / ST741436-3L</v>
          </cell>
          <cell r="G3696" t="str">
            <v>TERMINAL</v>
          </cell>
          <cell r="H3696" t="str">
            <v>STER0008</v>
          </cell>
        </row>
        <row r="3697">
          <cell r="F3697" t="str">
            <v>35747-0110 / DEP2-00193 / ST741436-3M</v>
          </cell>
          <cell r="G3697" t="str">
            <v>TERMINAL</v>
          </cell>
          <cell r="H3697" t="str">
            <v>STER0007</v>
          </cell>
        </row>
        <row r="3698">
          <cell r="F3698" t="str">
            <v>35746-0310 / DEP1-00176 / ST731433-3DW</v>
          </cell>
          <cell r="G3698" t="str">
            <v>TERMINAL</v>
          </cell>
          <cell r="H3698" t="str">
            <v>STER0006</v>
          </cell>
        </row>
        <row r="3699">
          <cell r="F3699" t="str">
            <v>35746-0210 / DEP1-00166 / ST731433-3L</v>
          </cell>
          <cell r="G3699" t="str">
            <v>TERMINAL</v>
          </cell>
          <cell r="H3699" t="str">
            <v>STER0005</v>
          </cell>
        </row>
        <row r="3700">
          <cell r="F3700" t="str">
            <v>35746-0110 / DEP1-00156 / ST731433-3M</v>
          </cell>
          <cell r="G3700" t="str">
            <v>TERMINAL</v>
          </cell>
          <cell r="H3700" t="str">
            <v>STER0004</v>
          </cell>
        </row>
        <row r="3701">
          <cell r="F3701" t="str">
            <v>35745-0310 / DEP2-00133 / ST741435-3DW</v>
          </cell>
          <cell r="G3701" t="str">
            <v>TERMINAL</v>
          </cell>
          <cell r="H3701" t="str">
            <v>STER0003</v>
          </cell>
        </row>
        <row r="3702">
          <cell r="F3702" t="str">
            <v>35745-0210 / DEP2-00123 / ST741435-3L</v>
          </cell>
          <cell r="G3702" t="str">
            <v>TERMINAL</v>
          </cell>
          <cell r="H3702" t="str">
            <v>STER0002</v>
          </cell>
        </row>
        <row r="3703">
          <cell r="F3703" t="str">
            <v>35745-0110 / DEP2-00113 / ST741435-3M</v>
          </cell>
          <cell r="G3703" t="str">
            <v>TERMINAL</v>
          </cell>
          <cell r="H3703" t="str">
            <v>STER0001</v>
          </cell>
        </row>
        <row r="3704">
          <cell r="F3704" t="str">
            <v>WG34-10090A</v>
          </cell>
          <cell r="G3704" t="str">
            <v>SEAL-C/HOUSING MID</v>
          </cell>
          <cell r="H3704" t="str">
            <v>SPG732</v>
          </cell>
        </row>
        <row r="3705">
          <cell r="F3705" t="str">
            <v>WG34-10089A</v>
          </cell>
          <cell r="G3705" t="str">
            <v>SEAL-C/HOUSING TOP</v>
          </cell>
          <cell r="H3705" t="str">
            <v>SPG731</v>
          </cell>
        </row>
        <row r="3706">
          <cell r="F3706" t="str">
            <v>5X100X150F</v>
          </cell>
          <cell r="G3706" t="str">
            <v>FOAM-PE</v>
          </cell>
          <cell r="H3706" t="str">
            <v>SPG720</v>
          </cell>
        </row>
        <row r="3707">
          <cell r="F3707" t="str">
            <v>1X50X50</v>
          </cell>
          <cell r="G3707" t="str">
            <v>ABSORBER SPONGE</v>
          </cell>
          <cell r="H3707" t="str">
            <v>SPG0766</v>
          </cell>
        </row>
        <row r="3708">
          <cell r="F3708" t="str">
            <v>3X70X140F</v>
          </cell>
          <cell r="G3708" t="str">
            <v>FOAM-PE</v>
          </cell>
          <cell r="H3708" t="str">
            <v>SPG0765</v>
          </cell>
        </row>
        <row r="3709">
          <cell r="F3709" t="str">
            <v>5X40X50F</v>
          </cell>
          <cell r="G3709" t="str">
            <v>FOAM-PE</v>
          </cell>
          <cell r="H3709" t="str">
            <v>SPG0764</v>
          </cell>
        </row>
        <row r="3710">
          <cell r="F3710" t="str">
            <v>5X150X180F</v>
          </cell>
          <cell r="G3710" t="str">
            <v>FOAM-PE</v>
          </cell>
          <cell r="H3710" t="str">
            <v>SPG0763</v>
          </cell>
        </row>
        <row r="3711">
          <cell r="F3711" t="str">
            <v>5X30X140(NY)</v>
          </cell>
          <cell r="G3711" t="str">
            <v>SPONGE</v>
          </cell>
          <cell r="H3711" t="str">
            <v>SPG0762</v>
          </cell>
        </row>
        <row r="3712">
          <cell r="F3712" t="str">
            <v>3X50X270</v>
          </cell>
          <cell r="G3712" t="str">
            <v>SPONGE</v>
          </cell>
          <cell r="H3712" t="str">
            <v>SPG0761</v>
          </cell>
        </row>
        <row r="3713">
          <cell r="F3713" t="str">
            <v>5X150X150F</v>
          </cell>
          <cell r="G3713" t="str">
            <v>FOAM-PE</v>
          </cell>
          <cell r="H3713" t="str">
            <v>SPG0760</v>
          </cell>
        </row>
        <row r="3714">
          <cell r="F3714" t="str">
            <v>5X20X50(NY)</v>
          </cell>
          <cell r="G3714" t="str">
            <v>SPONGE</v>
          </cell>
          <cell r="H3714" t="str">
            <v>SPG0759</v>
          </cell>
        </row>
        <row r="3715">
          <cell r="F3715" t="str">
            <v>5X50X290F</v>
          </cell>
          <cell r="G3715" t="str">
            <v>FOAM-PE</v>
          </cell>
          <cell r="H3715" t="str">
            <v>SPG0758</v>
          </cell>
        </row>
        <row r="3716">
          <cell r="F3716" t="str">
            <v>5X100X120(NY)</v>
          </cell>
          <cell r="G3716" t="str">
            <v>SPONGE</v>
          </cell>
          <cell r="H3716" t="str">
            <v>SPG0757</v>
          </cell>
        </row>
        <row r="3717">
          <cell r="F3717" t="str">
            <v>5X40X60</v>
          </cell>
          <cell r="G3717" t="str">
            <v>SPONGE</v>
          </cell>
          <cell r="H3717" t="str">
            <v>SPG0756</v>
          </cell>
        </row>
        <row r="3718">
          <cell r="F3718" t="str">
            <v>5X125X200F</v>
          </cell>
          <cell r="G3718" t="str">
            <v>FOAM-PE</v>
          </cell>
          <cell r="H3718" t="str">
            <v>SPG0755</v>
          </cell>
        </row>
        <row r="3719">
          <cell r="F3719" t="str">
            <v>5X90X150(NY)</v>
          </cell>
          <cell r="G3719" t="str">
            <v>SPONGE</v>
          </cell>
          <cell r="H3719" t="str">
            <v>SPG0754</v>
          </cell>
        </row>
        <row r="3720">
          <cell r="F3720" t="str">
            <v>5X15X270</v>
          </cell>
          <cell r="G3720" t="str">
            <v>SPONGE</v>
          </cell>
          <cell r="H3720" t="str">
            <v>SPG0753</v>
          </cell>
        </row>
        <row r="3721">
          <cell r="F3721" t="str">
            <v>DC63-10056P</v>
          </cell>
          <cell r="G3721" t="str">
            <v>ABSORBER SPONGE</v>
          </cell>
          <cell r="H3721" t="str">
            <v>SPG0752</v>
          </cell>
        </row>
        <row r="3722">
          <cell r="F3722" t="str">
            <v>5X30X280F</v>
          </cell>
          <cell r="G3722" t="str">
            <v>FOAM-PE</v>
          </cell>
          <cell r="H3722" t="str">
            <v>SPG0751</v>
          </cell>
        </row>
        <row r="3723">
          <cell r="F3723" t="str">
            <v>5X20X210F</v>
          </cell>
          <cell r="G3723" t="str">
            <v>FOAM-PE</v>
          </cell>
          <cell r="H3723" t="str">
            <v>SPG0750</v>
          </cell>
        </row>
        <row r="3724">
          <cell r="F3724" t="str">
            <v>5X60X90F</v>
          </cell>
          <cell r="G3724" t="str">
            <v>FOAM-PE</v>
          </cell>
          <cell r="H3724" t="str">
            <v>SPG0749</v>
          </cell>
        </row>
        <row r="3725">
          <cell r="F3725" t="str">
            <v>5X60X120F</v>
          </cell>
          <cell r="G3725" t="str">
            <v>FOAM-PE</v>
          </cell>
          <cell r="H3725" t="str">
            <v>SPG0748</v>
          </cell>
        </row>
        <row r="3726">
          <cell r="F3726" t="str">
            <v>5X100X150F</v>
          </cell>
          <cell r="G3726" t="str">
            <v>FOAM-PE</v>
          </cell>
          <cell r="H3726" t="str">
            <v>SPG0747</v>
          </cell>
        </row>
        <row r="3727">
          <cell r="F3727" t="str">
            <v>5X100X120F</v>
          </cell>
          <cell r="G3727" t="str">
            <v>FOAM-PE</v>
          </cell>
          <cell r="H3727" t="str">
            <v>SPG0746</v>
          </cell>
        </row>
        <row r="3728">
          <cell r="F3728" t="str">
            <v>5X100X130F</v>
          </cell>
          <cell r="G3728" t="str">
            <v>FOAM-PE</v>
          </cell>
          <cell r="H3728" t="str">
            <v>SPG0745</v>
          </cell>
        </row>
        <row r="3729">
          <cell r="F3729" t="str">
            <v>2X20X200(WHT)</v>
          </cell>
          <cell r="G3729" t="str">
            <v>SPONGE</v>
          </cell>
          <cell r="H3729" t="str">
            <v>SPG0744</v>
          </cell>
        </row>
        <row r="3730">
          <cell r="F3730" t="str">
            <v>5X20X440F</v>
          </cell>
          <cell r="G3730" t="str">
            <v>FOAM-PE</v>
          </cell>
          <cell r="H3730" t="str">
            <v>SPG0743</v>
          </cell>
        </row>
        <row r="3731">
          <cell r="F3731" t="str">
            <v>DA62-06360A</v>
          </cell>
          <cell r="G3731" t="str">
            <v>SEAL FIXER HOUSING-REF</v>
          </cell>
          <cell r="H3731" t="str">
            <v>SPG0742</v>
          </cell>
        </row>
        <row r="3732">
          <cell r="F3732" t="str">
            <v>DA62-06144A</v>
          </cell>
          <cell r="G3732" t="str">
            <v>SEAL FIXER HOUSING</v>
          </cell>
          <cell r="H3732" t="str">
            <v>SPG0741</v>
          </cell>
        </row>
        <row r="3733">
          <cell r="F3733" t="str">
            <v>DA62-05826A</v>
          </cell>
          <cell r="G3733" t="str">
            <v>SEAL FIXER HOUSING</v>
          </cell>
          <cell r="H3733" t="str">
            <v>SPG0740</v>
          </cell>
        </row>
        <row r="3734">
          <cell r="F3734" t="str">
            <v>DA62-05792A</v>
          </cell>
          <cell r="G3734" t="str">
            <v>SEAL FIXER HOUSING</v>
          </cell>
          <cell r="H3734" t="str">
            <v>SPG0739</v>
          </cell>
        </row>
        <row r="3735">
          <cell r="F3735" t="str">
            <v>3X20X100</v>
          </cell>
          <cell r="G3735" t="str">
            <v>SPONGE</v>
          </cell>
          <cell r="H3735" t="str">
            <v>SPG0738</v>
          </cell>
        </row>
        <row r="3736">
          <cell r="F3736" t="str">
            <v>3X60X80</v>
          </cell>
          <cell r="G3736" t="str">
            <v>SPONGE</v>
          </cell>
          <cell r="H3736" t="str">
            <v>SPG0737</v>
          </cell>
        </row>
        <row r="3737">
          <cell r="F3737" t="str">
            <v>5X60X240F</v>
          </cell>
          <cell r="G3737" t="str">
            <v>FOAM-PE</v>
          </cell>
          <cell r="H3737" t="str">
            <v>SPG0736</v>
          </cell>
        </row>
        <row r="3738">
          <cell r="F3738" t="str">
            <v>5X100X230F</v>
          </cell>
          <cell r="G3738" t="str">
            <v>FOAM-PE</v>
          </cell>
          <cell r="H3738" t="str">
            <v>SPG0735</v>
          </cell>
        </row>
        <row r="3739">
          <cell r="F3739" t="str">
            <v>5X50X150</v>
          </cell>
          <cell r="G3739" t="str">
            <v>SPONGE</v>
          </cell>
          <cell r="H3739" t="str">
            <v>SPG0734</v>
          </cell>
        </row>
        <row r="3740">
          <cell r="F3740" t="str">
            <v>5X10X80</v>
          </cell>
          <cell r="G3740" t="str">
            <v>SPONGE</v>
          </cell>
          <cell r="H3740" t="str">
            <v>SPG0733</v>
          </cell>
        </row>
        <row r="3741">
          <cell r="F3741" t="str">
            <v>3*26*46(DA62-01160E)</v>
          </cell>
          <cell r="G3741" t="str">
            <v>SEAL CUTT-SPONGE</v>
          </cell>
          <cell r="H3741" t="str">
            <v>SPG0732</v>
          </cell>
        </row>
        <row r="3742">
          <cell r="F3742" t="str">
            <v>6X26X30</v>
          </cell>
          <cell r="G3742" t="str">
            <v>SPONGE</v>
          </cell>
          <cell r="H3742" t="str">
            <v>SPG0731</v>
          </cell>
        </row>
        <row r="3743">
          <cell r="F3743" t="str">
            <v>5X35X450</v>
          </cell>
          <cell r="G3743" t="str">
            <v>SPONGE</v>
          </cell>
          <cell r="H3743" t="str">
            <v>SPG0730</v>
          </cell>
        </row>
        <row r="3744">
          <cell r="F3744" t="str">
            <v>5X100X150(NY)</v>
          </cell>
          <cell r="G3744" t="str">
            <v>SPONGE</v>
          </cell>
          <cell r="H3744" t="str">
            <v>SPG0729</v>
          </cell>
        </row>
        <row r="3745">
          <cell r="F3745" t="str">
            <v>5X20X220F</v>
          </cell>
          <cell r="G3745" t="str">
            <v>FOAM-PE</v>
          </cell>
          <cell r="H3745" t="str">
            <v>SPG0728</v>
          </cell>
        </row>
        <row r="3746">
          <cell r="F3746" t="str">
            <v>5X30X235F</v>
          </cell>
          <cell r="G3746" t="str">
            <v>FOAM-PE</v>
          </cell>
          <cell r="H3746" t="str">
            <v>SPG0727</v>
          </cell>
        </row>
        <row r="3747">
          <cell r="F3747" t="str">
            <v>5X50X120F</v>
          </cell>
          <cell r="G3747" t="str">
            <v>FOAM-PE</v>
          </cell>
          <cell r="H3747" t="str">
            <v>SPG0726</v>
          </cell>
        </row>
        <row r="3748">
          <cell r="F3748" t="str">
            <v>5X80X200F</v>
          </cell>
          <cell r="G3748" t="str">
            <v>FOAM-PE</v>
          </cell>
          <cell r="H3748" t="str">
            <v>SPG0725</v>
          </cell>
        </row>
        <row r="3749">
          <cell r="F3749" t="str">
            <v>5X80X100F</v>
          </cell>
          <cell r="G3749" t="str">
            <v>FOAM-PE</v>
          </cell>
          <cell r="H3749" t="str">
            <v>SPG0724</v>
          </cell>
        </row>
        <row r="3750">
          <cell r="F3750" t="str">
            <v>5X100X200F</v>
          </cell>
          <cell r="G3750" t="str">
            <v>FOAM-PE</v>
          </cell>
          <cell r="H3750" t="str">
            <v>SPG0723</v>
          </cell>
        </row>
        <row r="3751">
          <cell r="F3751" t="str">
            <v>5X60X150F</v>
          </cell>
          <cell r="G3751" t="str">
            <v>FOAM-PE</v>
          </cell>
          <cell r="H3751" t="str">
            <v>SPG0722</v>
          </cell>
        </row>
        <row r="3752">
          <cell r="F3752" t="str">
            <v>DA62-05690B</v>
          </cell>
          <cell r="G3752" t="str">
            <v>SEAL FIXER HOUSING</v>
          </cell>
          <cell r="H3752" t="str">
            <v>SPG0721</v>
          </cell>
        </row>
        <row r="3753">
          <cell r="F3753" t="str">
            <v>5X120X120(NY)</v>
          </cell>
          <cell r="G3753" t="str">
            <v>SPONGE</v>
          </cell>
          <cell r="H3753" t="str">
            <v>SPG0720</v>
          </cell>
        </row>
        <row r="3754">
          <cell r="F3754" t="str">
            <v>5X60X100F</v>
          </cell>
          <cell r="G3754" t="str">
            <v>FOAM-PE</v>
          </cell>
          <cell r="H3754" t="str">
            <v>SPG0719</v>
          </cell>
        </row>
        <row r="3755">
          <cell r="F3755" t="str">
            <v>3X20X30F</v>
          </cell>
          <cell r="G3755" t="str">
            <v>FOAM-PE</v>
          </cell>
          <cell r="H3755" t="str">
            <v>SPG0718</v>
          </cell>
        </row>
        <row r="3756">
          <cell r="F3756" t="str">
            <v>10X30X70(NY)</v>
          </cell>
          <cell r="G3756" t="str">
            <v>SPONGE</v>
          </cell>
          <cell r="H3756" t="str">
            <v>SPG0717</v>
          </cell>
        </row>
        <row r="3757">
          <cell r="F3757" t="str">
            <v>5X20X300</v>
          </cell>
          <cell r="G3757" t="str">
            <v>SPONGE</v>
          </cell>
          <cell r="H3757" t="str">
            <v>SPG0716</v>
          </cell>
        </row>
        <row r="3758">
          <cell r="F3758" t="str">
            <v>5X40X235F</v>
          </cell>
          <cell r="G3758" t="str">
            <v>FOAM-PE</v>
          </cell>
          <cell r="H3758" t="str">
            <v>SPG0715</v>
          </cell>
        </row>
        <row r="3759">
          <cell r="F3759" t="str">
            <v>10X40X50</v>
          </cell>
          <cell r="G3759" t="str">
            <v>SPONGE</v>
          </cell>
          <cell r="H3759" t="str">
            <v>SPG0714</v>
          </cell>
        </row>
        <row r="3760">
          <cell r="F3760" t="str">
            <v>3X50X60F</v>
          </cell>
          <cell r="G3760" t="str">
            <v>FOAM-PE</v>
          </cell>
          <cell r="H3760" t="str">
            <v>SPG0713</v>
          </cell>
        </row>
        <row r="3761">
          <cell r="F3761" t="str">
            <v>3X100X400(OJC)</v>
          </cell>
          <cell r="G3761" t="str">
            <v>OJC SEAL-SPONGE</v>
          </cell>
          <cell r="H3761" t="str">
            <v>SPG0712</v>
          </cell>
        </row>
        <row r="3762">
          <cell r="F3762" t="str">
            <v>5X30X150</v>
          </cell>
          <cell r="G3762" t="str">
            <v>SPONGE</v>
          </cell>
          <cell r="H3762" t="str">
            <v>SPG0711</v>
          </cell>
        </row>
        <row r="3763">
          <cell r="F3763" t="str">
            <v>5X60X300F</v>
          </cell>
          <cell r="G3763" t="str">
            <v>FOAM-PE</v>
          </cell>
          <cell r="H3763" t="str">
            <v>SPG0710</v>
          </cell>
        </row>
        <row r="3764">
          <cell r="F3764" t="str">
            <v>DA62-05690A</v>
          </cell>
          <cell r="G3764" t="str">
            <v>SEAL FIXER HOUSING</v>
          </cell>
          <cell r="H3764" t="str">
            <v>SPG0709</v>
          </cell>
        </row>
        <row r="3765">
          <cell r="F3765" t="str">
            <v>3X20X80F</v>
          </cell>
          <cell r="G3765" t="str">
            <v>FOAM-PE</v>
          </cell>
          <cell r="H3765" t="str">
            <v>SPG0708</v>
          </cell>
        </row>
        <row r="3766">
          <cell r="F3766" t="str">
            <v>5X45X150F</v>
          </cell>
          <cell r="G3766" t="str">
            <v>FOAM-PE</v>
          </cell>
          <cell r="H3766" t="str">
            <v>SPG0707</v>
          </cell>
        </row>
        <row r="3767">
          <cell r="F3767" t="str">
            <v>5X40X150(NY)</v>
          </cell>
          <cell r="G3767" t="str">
            <v>SPONGE</v>
          </cell>
          <cell r="H3767" t="str">
            <v>SPG0706</v>
          </cell>
        </row>
        <row r="3768">
          <cell r="F3768" t="str">
            <v>5X40X40(NY)</v>
          </cell>
          <cell r="G3768" t="str">
            <v>SPONGE</v>
          </cell>
          <cell r="H3768" t="str">
            <v>SPG0705</v>
          </cell>
        </row>
        <row r="3769">
          <cell r="F3769" t="str">
            <v>5X20X40(NY)</v>
          </cell>
          <cell r="G3769" t="str">
            <v>SPONGE</v>
          </cell>
          <cell r="H3769" t="str">
            <v>SPG0704</v>
          </cell>
        </row>
        <row r="3770">
          <cell r="F3770" t="str">
            <v>10X30X300</v>
          </cell>
          <cell r="G3770" t="str">
            <v>SPONGE</v>
          </cell>
          <cell r="H3770" t="str">
            <v>SPG0703</v>
          </cell>
        </row>
        <row r="3771">
          <cell r="F3771" t="str">
            <v>5X15X140F</v>
          </cell>
          <cell r="G3771" t="str">
            <v>FOAM-PE</v>
          </cell>
          <cell r="H3771" t="str">
            <v>SPG0702</v>
          </cell>
        </row>
        <row r="3772">
          <cell r="F3772" t="str">
            <v>DA62-05618A</v>
          </cell>
          <cell r="G3772" t="str">
            <v>SEAL-SPONGE</v>
          </cell>
          <cell r="H3772" t="str">
            <v>SPG0701</v>
          </cell>
        </row>
        <row r="3773">
          <cell r="F3773" t="str">
            <v>DA72-60405Y</v>
          </cell>
          <cell r="G3773" t="str">
            <v>SEAL-FIXER HOUSING</v>
          </cell>
          <cell r="H3773" t="str">
            <v>SPG0700</v>
          </cell>
        </row>
        <row r="3774">
          <cell r="F3774" t="str">
            <v>3X10X65F</v>
          </cell>
          <cell r="G3774" t="str">
            <v>FOAM-PE</v>
          </cell>
          <cell r="H3774" t="str">
            <v>SPG0699</v>
          </cell>
        </row>
        <row r="3775">
          <cell r="F3775" t="str">
            <v>5X30X200(WHT)</v>
          </cell>
          <cell r="G3775" t="str">
            <v>SPONGE</v>
          </cell>
          <cell r="H3775" t="str">
            <v>SPG0698</v>
          </cell>
        </row>
        <row r="3776">
          <cell r="F3776" t="str">
            <v>5X20X120F(NY)</v>
          </cell>
          <cell r="G3776" t="str">
            <v>FOAM-PE</v>
          </cell>
          <cell r="H3776" t="str">
            <v>SPG0697</v>
          </cell>
        </row>
        <row r="3777">
          <cell r="F3777" t="str">
            <v>5X40X120F(NY)</v>
          </cell>
          <cell r="G3777" t="str">
            <v>FOAM-PE</v>
          </cell>
          <cell r="H3777" t="str">
            <v>SPG0696</v>
          </cell>
        </row>
        <row r="3778">
          <cell r="F3778" t="str">
            <v>5X30X300(WHT)</v>
          </cell>
          <cell r="G3778" t="str">
            <v>SPONGE</v>
          </cell>
          <cell r="H3778" t="str">
            <v>SPG0695</v>
          </cell>
        </row>
        <row r="3779">
          <cell r="F3779" t="str">
            <v>5X30X120F</v>
          </cell>
          <cell r="G3779" t="str">
            <v>FOAM-PE</v>
          </cell>
          <cell r="H3779" t="str">
            <v>SPG0694</v>
          </cell>
        </row>
        <row r="3780">
          <cell r="F3780" t="str">
            <v>5X40X410F</v>
          </cell>
          <cell r="G3780" t="str">
            <v>FOAM-PE</v>
          </cell>
          <cell r="H3780" t="str">
            <v>SPG0693</v>
          </cell>
        </row>
        <row r="3781">
          <cell r="F3781" t="str">
            <v>5X40X290F</v>
          </cell>
          <cell r="G3781" t="str">
            <v>FOAM-PE</v>
          </cell>
          <cell r="H3781" t="str">
            <v>SPG0692</v>
          </cell>
        </row>
        <row r="3782">
          <cell r="F3782" t="str">
            <v>DC62-00679A</v>
          </cell>
          <cell r="G3782" t="str">
            <v>SPONGE</v>
          </cell>
          <cell r="H3782" t="str">
            <v>SPG0691</v>
          </cell>
        </row>
        <row r="3783">
          <cell r="F3783" t="str">
            <v>5X45X320F(NY)</v>
          </cell>
          <cell r="G3783" t="str">
            <v>FOAM-PE</v>
          </cell>
          <cell r="H3783" t="str">
            <v>SPG0690</v>
          </cell>
        </row>
        <row r="3784">
          <cell r="F3784" t="str">
            <v>5X80X120(NY)</v>
          </cell>
          <cell r="G3784" t="str">
            <v>SPONGE</v>
          </cell>
          <cell r="H3784" t="str">
            <v>SPG0689</v>
          </cell>
        </row>
        <row r="3785">
          <cell r="F3785" t="str">
            <v>5X40X230F</v>
          </cell>
          <cell r="G3785" t="str">
            <v>FOAM-PE</v>
          </cell>
          <cell r="H3785" t="str">
            <v>SPG0688</v>
          </cell>
        </row>
        <row r="3786">
          <cell r="F3786" t="str">
            <v>5X30X230F</v>
          </cell>
          <cell r="G3786" t="str">
            <v>FOAM-PE</v>
          </cell>
          <cell r="H3786" t="str">
            <v>SPG0687</v>
          </cell>
        </row>
        <row r="3787">
          <cell r="F3787" t="str">
            <v>5X30X220F</v>
          </cell>
          <cell r="G3787" t="str">
            <v>FOAM-PE</v>
          </cell>
          <cell r="H3787" t="str">
            <v>SPG0686</v>
          </cell>
        </row>
        <row r="3788">
          <cell r="F3788" t="str">
            <v>5X50X210F</v>
          </cell>
          <cell r="G3788" t="str">
            <v>FOAM-PE</v>
          </cell>
          <cell r="H3788" t="str">
            <v>SPG0685</v>
          </cell>
        </row>
        <row r="3789">
          <cell r="F3789" t="str">
            <v>5X70X120F</v>
          </cell>
          <cell r="G3789" t="str">
            <v>FOAM-PE</v>
          </cell>
          <cell r="H3789" t="str">
            <v>SPG0684</v>
          </cell>
        </row>
        <row r="3790">
          <cell r="F3790" t="str">
            <v>5X10X250F</v>
          </cell>
          <cell r="G3790" t="str">
            <v>FOAM-PE</v>
          </cell>
          <cell r="H3790" t="str">
            <v>SPG0683</v>
          </cell>
        </row>
        <row r="3791">
          <cell r="F3791" t="str">
            <v>5X50X300F</v>
          </cell>
          <cell r="G3791" t="str">
            <v>FOAM-PE</v>
          </cell>
          <cell r="H3791" t="str">
            <v>SPG0682</v>
          </cell>
        </row>
        <row r="3792">
          <cell r="F3792" t="str">
            <v>10X30X200(WHT)</v>
          </cell>
          <cell r="G3792" t="str">
            <v>SPONGE</v>
          </cell>
          <cell r="H3792" t="str">
            <v>SPG0681</v>
          </cell>
        </row>
        <row r="3793">
          <cell r="F3793" t="str">
            <v>10X30X200</v>
          </cell>
          <cell r="G3793" t="str">
            <v>SPONGE</v>
          </cell>
          <cell r="H3793" t="str">
            <v>SPG0680</v>
          </cell>
        </row>
        <row r="3794">
          <cell r="F3794" t="str">
            <v>5X35X140F</v>
          </cell>
          <cell r="G3794" t="str">
            <v>FOAM-PE</v>
          </cell>
          <cell r="H3794" t="str">
            <v>SPG0679</v>
          </cell>
        </row>
        <row r="3795">
          <cell r="F3795" t="str">
            <v>5X70X140F</v>
          </cell>
          <cell r="G3795" t="str">
            <v>FOAM-PE</v>
          </cell>
          <cell r="H3795" t="str">
            <v>SPG0678</v>
          </cell>
        </row>
        <row r="3796">
          <cell r="F3796" t="str">
            <v>5X35X300</v>
          </cell>
          <cell r="G3796" t="str">
            <v>SPONGE</v>
          </cell>
          <cell r="H3796" t="str">
            <v>SPG0677</v>
          </cell>
        </row>
        <row r="3797">
          <cell r="F3797" t="str">
            <v>5X30X215F</v>
          </cell>
          <cell r="G3797" t="str">
            <v>FOAM-PE</v>
          </cell>
          <cell r="H3797" t="str">
            <v>SPG0676</v>
          </cell>
        </row>
        <row r="3798">
          <cell r="F3798" t="str">
            <v>3X40X80</v>
          </cell>
          <cell r="G3798" t="str">
            <v>SPONGE</v>
          </cell>
          <cell r="H3798" t="str">
            <v>SPG0675</v>
          </cell>
        </row>
        <row r="3799">
          <cell r="F3799" t="str">
            <v>5X10X100(WHT)</v>
          </cell>
          <cell r="G3799" t="str">
            <v>SPONGE</v>
          </cell>
          <cell r="H3799" t="str">
            <v>SPG0674</v>
          </cell>
        </row>
        <row r="3800">
          <cell r="F3800" t="str">
            <v>5X20X50</v>
          </cell>
          <cell r="G3800" t="str">
            <v>SPONGE</v>
          </cell>
          <cell r="H3800" t="str">
            <v>SPG0673</v>
          </cell>
        </row>
        <row r="3801">
          <cell r="F3801" t="str">
            <v>DA62-04786A</v>
          </cell>
          <cell r="G3801" t="str">
            <v>SEAL COVER</v>
          </cell>
          <cell r="H3801" t="str">
            <v>SPG0672</v>
          </cell>
        </row>
        <row r="3802">
          <cell r="F3802" t="str">
            <v>2X25X70F</v>
          </cell>
          <cell r="G3802" t="str">
            <v>FOAM-PE</v>
          </cell>
          <cell r="H3802" t="str">
            <v>SPG0670</v>
          </cell>
        </row>
        <row r="3803">
          <cell r="F3803" t="str">
            <v>10X20X200</v>
          </cell>
          <cell r="G3803" t="str">
            <v>SPONGE</v>
          </cell>
          <cell r="H3803" t="str">
            <v>SPG0669</v>
          </cell>
        </row>
        <row r="3804">
          <cell r="F3804" t="str">
            <v>3X40X60</v>
          </cell>
          <cell r="G3804" t="str">
            <v>SPONGE</v>
          </cell>
          <cell r="H3804" t="str">
            <v>SPG0668</v>
          </cell>
        </row>
        <row r="3805">
          <cell r="F3805" t="str">
            <v>5X50X150(NY)</v>
          </cell>
          <cell r="G3805" t="str">
            <v>SPONGE</v>
          </cell>
          <cell r="H3805" t="str">
            <v>SPG0667</v>
          </cell>
        </row>
        <row r="3806">
          <cell r="F3806" t="str">
            <v>5X20X300(WHT)</v>
          </cell>
          <cell r="G3806" t="str">
            <v>SPONGE</v>
          </cell>
          <cell r="H3806" t="str">
            <v>SPG0666</v>
          </cell>
        </row>
        <row r="3807">
          <cell r="F3807" t="str">
            <v>5X40X90</v>
          </cell>
          <cell r="G3807" t="str">
            <v>SPONGE</v>
          </cell>
          <cell r="H3807" t="str">
            <v>SPG0665</v>
          </cell>
        </row>
        <row r="3808">
          <cell r="F3808" t="str">
            <v>5X60X160</v>
          </cell>
          <cell r="G3808" t="str">
            <v>SPONGE</v>
          </cell>
          <cell r="H3808" t="str">
            <v>SPG0664</v>
          </cell>
        </row>
        <row r="3809">
          <cell r="F3809" t="str">
            <v>5X50X50(NY)</v>
          </cell>
          <cell r="G3809" t="str">
            <v>SPONGE</v>
          </cell>
          <cell r="H3809" t="str">
            <v>SPG0663</v>
          </cell>
        </row>
        <row r="3810">
          <cell r="F3810" t="str">
            <v>DA62-02536A(L)</v>
          </cell>
          <cell r="G3810" t="str">
            <v>SEAL HARNESS MAIN</v>
          </cell>
          <cell r="H3810" t="str">
            <v>SPG0662</v>
          </cell>
        </row>
        <row r="3811">
          <cell r="F3811" t="str">
            <v>5X35X300F</v>
          </cell>
          <cell r="G3811" t="str">
            <v>FOAM-PE</v>
          </cell>
          <cell r="H3811" t="str">
            <v>SPG0659</v>
          </cell>
        </row>
        <row r="3812">
          <cell r="F3812" t="str">
            <v>5*26*46(DA62-01160E)</v>
          </cell>
          <cell r="G3812" t="str">
            <v>SEAL CUTT-SPONGE</v>
          </cell>
          <cell r="H3812" t="str">
            <v>SPG0658</v>
          </cell>
        </row>
        <row r="3813">
          <cell r="F3813" t="str">
            <v>10X40X200F</v>
          </cell>
          <cell r="G3813" t="str">
            <v>FOAM-PE</v>
          </cell>
          <cell r="H3813" t="str">
            <v>SPG0657</v>
          </cell>
        </row>
        <row r="3814">
          <cell r="F3814" t="str">
            <v>5X40X220</v>
          </cell>
          <cell r="G3814" t="str">
            <v>SPONGE</v>
          </cell>
          <cell r="H3814" t="str">
            <v>SPG0656</v>
          </cell>
        </row>
        <row r="3815">
          <cell r="F3815" t="str">
            <v>5X40X40F(WHT)</v>
          </cell>
          <cell r="G3815" t="str">
            <v>FOAM-PE</v>
          </cell>
          <cell r="H3815" t="str">
            <v>SPG0655</v>
          </cell>
        </row>
        <row r="3816">
          <cell r="F3816" t="str">
            <v>3X20X40F(WHT)</v>
          </cell>
          <cell r="G3816" t="str">
            <v>FOAM-PE</v>
          </cell>
          <cell r="H3816" t="str">
            <v>SPG0654</v>
          </cell>
        </row>
        <row r="3817">
          <cell r="F3817" t="str">
            <v>5X25X70</v>
          </cell>
          <cell r="G3817" t="str">
            <v>SPONGE</v>
          </cell>
          <cell r="H3817" t="str">
            <v>SPG0653</v>
          </cell>
        </row>
        <row r="3818">
          <cell r="F3818" t="str">
            <v>5X20X200(WHT)</v>
          </cell>
          <cell r="G3818" t="str">
            <v>SPONGE</v>
          </cell>
          <cell r="H3818" t="str">
            <v>SPG0650</v>
          </cell>
        </row>
        <row r="3819">
          <cell r="F3819" t="str">
            <v>5X125X80F</v>
          </cell>
          <cell r="G3819" t="str">
            <v>FOAM-PE</v>
          </cell>
          <cell r="H3819" t="str">
            <v>SPG0649</v>
          </cell>
        </row>
        <row r="3820">
          <cell r="F3820" t="str">
            <v>5X30X250F</v>
          </cell>
          <cell r="G3820" t="str">
            <v>FOAM-PE</v>
          </cell>
          <cell r="H3820" t="str">
            <v>SPG0647</v>
          </cell>
        </row>
        <row r="3821">
          <cell r="F3821" t="str">
            <v>DA62-00282A</v>
          </cell>
          <cell r="G3821" t="str">
            <v>SEAL FIXER</v>
          </cell>
          <cell r="H3821" t="str">
            <v>SPG0645</v>
          </cell>
        </row>
        <row r="3822">
          <cell r="F3822" t="str">
            <v>5X20X200</v>
          </cell>
          <cell r="G3822" t="str">
            <v>SPONGE</v>
          </cell>
          <cell r="H3822" t="str">
            <v>SPG0644</v>
          </cell>
        </row>
        <row r="3823">
          <cell r="F3823" t="str">
            <v>3X20X65</v>
          </cell>
          <cell r="G3823" t="str">
            <v>SPONGE</v>
          </cell>
          <cell r="H3823" t="str">
            <v>SPG0643</v>
          </cell>
        </row>
        <row r="3824">
          <cell r="F3824" t="str">
            <v>5X20X65</v>
          </cell>
          <cell r="G3824" t="str">
            <v>SPONGE</v>
          </cell>
          <cell r="H3824" t="str">
            <v>SPG0642</v>
          </cell>
        </row>
        <row r="3825">
          <cell r="F3825" t="str">
            <v>5X25X150</v>
          </cell>
          <cell r="G3825" t="str">
            <v>SPONGE</v>
          </cell>
          <cell r="H3825" t="str">
            <v>SPG0641</v>
          </cell>
        </row>
        <row r="3826">
          <cell r="F3826" t="str">
            <v>5X20X30</v>
          </cell>
          <cell r="G3826" t="str">
            <v>SPONGE</v>
          </cell>
          <cell r="H3826" t="str">
            <v>SPG0636</v>
          </cell>
        </row>
        <row r="3827">
          <cell r="F3827" t="str">
            <v>5X40X240</v>
          </cell>
          <cell r="G3827" t="str">
            <v>SPONGE</v>
          </cell>
          <cell r="H3827" t="str">
            <v>SPG0635</v>
          </cell>
        </row>
        <row r="3828">
          <cell r="F3828" t="str">
            <v>5X90X80</v>
          </cell>
          <cell r="G3828" t="str">
            <v>SPONGE</v>
          </cell>
          <cell r="H3828" t="str">
            <v>SPG0634</v>
          </cell>
        </row>
        <row r="3829">
          <cell r="F3829" t="str">
            <v>1.5X25X135F</v>
          </cell>
          <cell r="G3829" t="str">
            <v>FOAM-PE</v>
          </cell>
          <cell r="H3829" t="str">
            <v>SPG0633</v>
          </cell>
        </row>
        <row r="3830">
          <cell r="F3830" t="str">
            <v>5X140X100(NY)</v>
          </cell>
          <cell r="G3830" t="str">
            <v>SPONGE</v>
          </cell>
          <cell r="H3830" t="str">
            <v>SPG0632</v>
          </cell>
        </row>
        <row r="3831">
          <cell r="F3831" t="str">
            <v>10X60X100(NY)</v>
          </cell>
          <cell r="G3831" t="str">
            <v>SPONGE</v>
          </cell>
          <cell r="H3831" t="str">
            <v>SPG0631</v>
          </cell>
        </row>
        <row r="3832">
          <cell r="F3832" t="str">
            <v>5X80X140F</v>
          </cell>
          <cell r="G3832" t="str">
            <v>FOAM-PE</v>
          </cell>
          <cell r="H3832" t="str">
            <v>SPG0630</v>
          </cell>
        </row>
        <row r="3833">
          <cell r="F3833" t="str">
            <v>3X30X150F</v>
          </cell>
          <cell r="G3833" t="str">
            <v>FOAM-PE</v>
          </cell>
          <cell r="H3833" t="str">
            <v>SPG0628</v>
          </cell>
        </row>
        <row r="3834">
          <cell r="F3834" t="str">
            <v>10X30X150</v>
          </cell>
          <cell r="G3834" t="str">
            <v>SPONGE</v>
          </cell>
          <cell r="H3834" t="str">
            <v>SPG0627</v>
          </cell>
        </row>
        <row r="3835">
          <cell r="F3835" t="str">
            <v>5X15X200</v>
          </cell>
          <cell r="G3835" t="str">
            <v>SPONGE</v>
          </cell>
          <cell r="H3835" t="str">
            <v>SPG0626</v>
          </cell>
        </row>
        <row r="3836">
          <cell r="F3836" t="str">
            <v>5X30X50(NY)</v>
          </cell>
          <cell r="G3836" t="str">
            <v>SPONGE</v>
          </cell>
          <cell r="H3836" t="str">
            <v>SPG0625</v>
          </cell>
        </row>
        <row r="3837">
          <cell r="F3837" t="str">
            <v>5X40X300(WHT)</v>
          </cell>
          <cell r="G3837" t="str">
            <v>SPONGE</v>
          </cell>
          <cell r="H3837" t="str">
            <v>SPG0624</v>
          </cell>
        </row>
        <row r="3838">
          <cell r="F3838" t="str">
            <v>5X120X100(NY)</v>
          </cell>
          <cell r="G3838" t="str">
            <v>SPONGE</v>
          </cell>
          <cell r="H3838" t="str">
            <v>SPG0623</v>
          </cell>
        </row>
        <row r="3839">
          <cell r="F3839" t="str">
            <v>3X30X60F</v>
          </cell>
          <cell r="G3839" t="str">
            <v>FOAM-PE</v>
          </cell>
          <cell r="H3839" t="str">
            <v>SPG0622</v>
          </cell>
        </row>
        <row r="3840">
          <cell r="F3840" t="str">
            <v>3X30X100F</v>
          </cell>
          <cell r="G3840" t="str">
            <v>FOAM-PE</v>
          </cell>
          <cell r="H3840" t="str">
            <v>SPG0621</v>
          </cell>
        </row>
        <row r="3841">
          <cell r="F3841" t="str">
            <v>5X42X60(WHT)</v>
          </cell>
          <cell r="G3841" t="str">
            <v>SPONGE</v>
          </cell>
          <cell r="H3841" t="str">
            <v>SPG0620</v>
          </cell>
        </row>
        <row r="3842">
          <cell r="F3842" t="str">
            <v>25X35X70</v>
          </cell>
          <cell r="G3842" t="str">
            <v>SPONGE</v>
          </cell>
          <cell r="H3842" t="str">
            <v>SPG0619</v>
          </cell>
        </row>
        <row r="3843">
          <cell r="F3843" t="str">
            <v>5X80X180(NY)</v>
          </cell>
          <cell r="G3843" t="str">
            <v>SPONGE</v>
          </cell>
          <cell r="H3843" t="str">
            <v>SPG0615</v>
          </cell>
        </row>
        <row r="3844">
          <cell r="F3844" t="str">
            <v>5X40X310F</v>
          </cell>
          <cell r="G3844" t="str">
            <v>FOAM-PE</v>
          </cell>
          <cell r="H3844" t="str">
            <v>SPG0609</v>
          </cell>
        </row>
        <row r="3845">
          <cell r="F3845" t="str">
            <v>5X10X200(WHT)</v>
          </cell>
          <cell r="G3845" t="str">
            <v>SPONGE</v>
          </cell>
          <cell r="H3845" t="str">
            <v>SPG0608</v>
          </cell>
        </row>
        <row r="3846">
          <cell r="F3846" t="str">
            <v>1.5X25X175F</v>
          </cell>
          <cell r="G3846" t="str">
            <v>FOAM-PE</v>
          </cell>
          <cell r="H3846" t="str">
            <v>SPG0607</v>
          </cell>
        </row>
        <row r="3847">
          <cell r="F3847" t="str">
            <v>5X40X70</v>
          </cell>
          <cell r="G3847" t="str">
            <v>SPONGE</v>
          </cell>
          <cell r="H3847" t="str">
            <v>SPG0606</v>
          </cell>
        </row>
        <row r="3848">
          <cell r="F3848" t="str">
            <v>5X40X50(NY)</v>
          </cell>
          <cell r="G3848" t="str">
            <v>SPONGE</v>
          </cell>
          <cell r="H3848" t="str">
            <v>SPG0605</v>
          </cell>
        </row>
        <row r="3849">
          <cell r="F3849" t="str">
            <v>5X20X150F</v>
          </cell>
          <cell r="G3849" t="str">
            <v>FOAM-PE</v>
          </cell>
          <cell r="H3849" t="str">
            <v>SPG0604</v>
          </cell>
        </row>
        <row r="3850">
          <cell r="F3850" t="str">
            <v>3X30X40(WHT)</v>
          </cell>
          <cell r="G3850" t="str">
            <v>FOAM-LEX</v>
          </cell>
          <cell r="H3850" t="str">
            <v>SPG0603</v>
          </cell>
        </row>
        <row r="3851">
          <cell r="F3851" t="str">
            <v>5X30X160</v>
          </cell>
          <cell r="G3851" t="str">
            <v>SPONGE</v>
          </cell>
          <cell r="H3851" t="str">
            <v>SPG0602</v>
          </cell>
        </row>
        <row r="3852">
          <cell r="F3852" t="str">
            <v>10X20X120</v>
          </cell>
          <cell r="G3852" t="str">
            <v>SPONGE</v>
          </cell>
          <cell r="H3852" t="str">
            <v>SPG0601</v>
          </cell>
        </row>
        <row r="3853">
          <cell r="F3853" t="str">
            <v>5X15X120</v>
          </cell>
          <cell r="G3853" t="str">
            <v>SPONGE</v>
          </cell>
          <cell r="H3853" t="str">
            <v>SPG0600</v>
          </cell>
        </row>
        <row r="3854">
          <cell r="F3854" t="str">
            <v>5X20X160</v>
          </cell>
          <cell r="G3854" t="str">
            <v>SPONGE</v>
          </cell>
          <cell r="H3854" t="str">
            <v>SPG0599</v>
          </cell>
        </row>
        <row r="3855">
          <cell r="F3855" t="str">
            <v>5X35X120F</v>
          </cell>
          <cell r="G3855" t="str">
            <v>FOAM-PE</v>
          </cell>
          <cell r="H3855" t="str">
            <v>SPG0598</v>
          </cell>
        </row>
        <row r="3856">
          <cell r="F3856" t="str">
            <v>5X30X380F</v>
          </cell>
          <cell r="G3856" t="str">
            <v>FOAM-PE</v>
          </cell>
          <cell r="H3856" t="str">
            <v>SPG0597</v>
          </cell>
        </row>
        <row r="3857">
          <cell r="F3857" t="str">
            <v>5X30X350F</v>
          </cell>
          <cell r="G3857" t="str">
            <v>FOAM-PE</v>
          </cell>
          <cell r="H3857" t="str">
            <v>SPG0596</v>
          </cell>
        </row>
        <row r="3858">
          <cell r="F3858" t="str">
            <v>10X60X150</v>
          </cell>
          <cell r="G3858" t="str">
            <v>SPONGE</v>
          </cell>
          <cell r="H3858" t="str">
            <v>SPG0595</v>
          </cell>
        </row>
        <row r="3859">
          <cell r="F3859" t="str">
            <v>5X20X400F</v>
          </cell>
          <cell r="G3859" t="str">
            <v>FOAM-PE</v>
          </cell>
          <cell r="H3859" t="str">
            <v>SPG0593</v>
          </cell>
        </row>
        <row r="3860">
          <cell r="F3860" t="str">
            <v>5X20X120</v>
          </cell>
          <cell r="G3860" t="str">
            <v>SPONGE</v>
          </cell>
          <cell r="H3860" t="str">
            <v>SPG0591</v>
          </cell>
        </row>
        <row r="3861">
          <cell r="F3861" t="str">
            <v>5X75X260F</v>
          </cell>
          <cell r="G3861" t="str">
            <v>FOAM-PE</v>
          </cell>
          <cell r="H3861" t="str">
            <v>SPG0589</v>
          </cell>
        </row>
        <row r="3862">
          <cell r="F3862" t="str">
            <v>8X20X80(WHT)</v>
          </cell>
          <cell r="G3862" t="str">
            <v>SPONGE</v>
          </cell>
          <cell r="H3862" t="str">
            <v>SPG0588</v>
          </cell>
        </row>
        <row r="3863">
          <cell r="F3863" t="str">
            <v>8X30X65(WHT)</v>
          </cell>
          <cell r="G3863" t="str">
            <v>SPONGE</v>
          </cell>
          <cell r="H3863" t="str">
            <v>SPG0587</v>
          </cell>
        </row>
        <row r="3864">
          <cell r="F3864" t="str">
            <v>5X10X30(WHT)</v>
          </cell>
          <cell r="G3864" t="str">
            <v>SPONGE</v>
          </cell>
          <cell r="H3864" t="str">
            <v>SPG0586</v>
          </cell>
        </row>
        <row r="3865">
          <cell r="F3865" t="str">
            <v>5X40X190</v>
          </cell>
          <cell r="G3865" t="str">
            <v>SPONGE</v>
          </cell>
          <cell r="H3865" t="str">
            <v>SPG0585</v>
          </cell>
        </row>
        <row r="3866">
          <cell r="F3866" t="str">
            <v>5X15X30(NY)</v>
          </cell>
          <cell r="G3866" t="str">
            <v>SPONGE</v>
          </cell>
          <cell r="H3866" t="str">
            <v>SPG0582</v>
          </cell>
        </row>
        <row r="3867">
          <cell r="F3867" t="str">
            <v>5X30X130</v>
          </cell>
          <cell r="G3867" t="str">
            <v>SPONGE</v>
          </cell>
          <cell r="H3867" t="str">
            <v>SPG0581</v>
          </cell>
        </row>
        <row r="3868">
          <cell r="F3868" t="str">
            <v>8X30X100(WHT)</v>
          </cell>
          <cell r="G3868" t="str">
            <v>SPONGE</v>
          </cell>
          <cell r="H3868" t="str">
            <v>SPG0580</v>
          </cell>
        </row>
        <row r="3869">
          <cell r="F3869" t="str">
            <v>5X10X25 (WHT)</v>
          </cell>
          <cell r="G3869" t="str">
            <v>SPONGE</v>
          </cell>
          <cell r="H3869" t="str">
            <v>SPG0579</v>
          </cell>
        </row>
        <row r="3870">
          <cell r="F3870" t="str">
            <v>5X10X110</v>
          </cell>
          <cell r="G3870" t="str">
            <v>SPONGE</v>
          </cell>
          <cell r="H3870" t="str">
            <v>SPG0578</v>
          </cell>
        </row>
        <row r="3871">
          <cell r="F3871" t="str">
            <v>3007706910 7X20X800(WHT)</v>
          </cell>
          <cell r="G3871" t="str">
            <v>SPONGE</v>
          </cell>
          <cell r="H3871" t="str">
            <v>SPG0576</v>
          </cell>
        </row>
        <row r="3872">
          <cell r="F3872" t="str">
            <v>8X40X80(WHT)</v>
          </cell>
          <cell r="G3872" t="str">
            <v>SPONGE</v>
          </cell>
          <cell r="H3872" t="str">
            <v>SPG0575</v>
          </cell>
        </row>
        <row r="3873">
          <cell r="F3873" t="str">
            <v>5X40X60F</v>
          </cell>
          <cell r="G3873" t="str">
            <v>FOAM-PE</v>
          </cell>
          <cell r="H3873" t="str">
            <v>SPG0574</v>
          </cell>
        </row>
        <row r="3874">
          <cell r="F3874" t="str">
            <v>5X20X90F</v>
          </cell>
          <cell r="G3874" t="str">
            <v>FOAM-PE</v>
          </cell>
          <cell r="H3874" t="str">
            <v>SPG0573</v>
          </cell>
        </row>
        <row r="3875">
          <cell r="F3875" t="str">
            <v>10X40X50(WHT)</v>
          </cell>
          <cell r="G3875" t="str">
            <v>SPONGE</v>
          </cell>
          <cell r="H3875" t="str">
            <v>SPG0572</v>
          </cell>
        </row>
        <row r="3876">
          <cell r="F3876" t="str">
            <v>3017756730 7X30X50(WHT)</v>
          </cell>
          <cell r="G3876" t="str">
            <v>SPONGE</v>
          </cell>
          <cell r="H3876" t="str">
            <v>SPG0571</v>
          </cell>
        </row>
        <row r="3877">
          <cell r="F3877" t="str">
            <v>5X15X250(GARUM)</v>
          </cell>
          <cell r="G3877" t="str">
            <v>FOAM-PE</v>
          </cell>
          <cell r="H3877" t="str">
            <v>SPG0569</v>
          </cell>
        </row>
        <row r="3878">
          <cell r="F3878" t="str">
            <v>2X25X120F</v>
          </cell>
          <cell r="G3878" t="str">
            <v>FOAM-PE</v>
          </cell>
          <cell r="H3878" t="str">
            <v>SPG0567</v>
          </cell>
        </row>
        <row r="3879">
          <cell r="F3879" t="str">
            <v>5X40X240F</v>
          </cell>
          <cell r="G3879" t="str">
            <v>FOAM-PE</v>
          </cell>
          <cell r="H3879" t="str">
            <v>SPG0566</v>
          </cell>
        </row>
        <row r="3880">
          <cell r="F3880" t="str">
            <v>5X30X70</v>
          </cell>
          <cell r="G3880" t="str">
            <v>SPONGE</v>
          </cell>
          <cell r="H3880" t="str">
            <v>SPG0565</v>
          </cell>
        </row>
        <row r="3881">
          <cell r="F3881" t="str">
            <v>5X80X250F</v>
          </cell>
          <cell r="G3881" t="str">
            <v>FOAM-PE</v>
          </cell>
          <cell r="H3881" t="str">
            <v>SPG0562</v>
          </cell>
        </row>
        <row r="3882">
          <cell r="F3882" t="str">
            <v>5X20X260F</v>
          </cell>
          <cell r="G3882" t="str">
            <v>FOAM-PE</v>
          </cell>
          <cell r="H3882" t="str">
            <v>SPG0561</v>
          </cell>
        </row>
        <row r="3883">
          <cell r="F3883" t="str">
            <v>5X50X350F</v>
          </cell>
          <cell r="G3883" t="str">
            <v>FOAM-PE</v>
          </cell>
          <cell r="H3883" t="str">
            <v>SPG0560</v>
          </cell>
        </row>
        <row r="3884">
          <cell r="F3884" t="str">
            <v>5X40X40(WHT)</v>
          </cell>
          <cell r="G3884" t="str">
            <v>SPONGE</v>
          </cell>
          <cell r="H3884" t="str">
            <v>SPG0558</v>
          </cell>
        </row>
        <row r="3885">
          <cell r="F3885" t="str">
            <v>5X30X130(WHT)</v>
          </cell>
          <cell r="G3885" t="str">
            <v>OJC</v>
          </cell>
          <cell r="H3885" t="str">
            <v>SPG0557</v>
          </cell>
        </row>
        <row r="3886">
          <cell r="F3886" t="str">
            <v>5X40X120(WHT)</v>
          </cell>
          <cell r="G3886" t="str">
            <v>SPONGE</v>
          </cell>
          <cell r="H3886" t="str">
            <v>SPG0556</v>
          </cell>
        </row>
        <row r="3887">
          <cell r="F3887" t="str">
            <v>5X20X60(WHT)</v>
          </cell>
          <cell r="G3887" t="str">
            <v>SPONGE</v>
          </cell>
          <cell r="H3887" t="str">
            <v>SPG0555</v>
          </cell>
        </row>
        <row r="3888">
          <cell r="F3888" t="str">
            <v>5X15X900(WHT)</v>
          </cell>
          <cell r="G3888" t="str">
            <v>SPONGE</v>
          </cell>
          <cell r="H3888" t="str">
            <v>SPG0554</v>
          </cell>
        </row>
        <row r="3889">
          <cell r="F3889" t="str">
            <v>5X10X150(WHT)</v>
          </cell>
          <cell r="G3889" t="str">
            <v>SPONGE</v>
          </cell>
          <cell r="H3889" t="str">
            <v>SPG0553</v>
          </cell>
        </row>
        <row r="3890">
          <cell r="F3890" t="str">
            <v>5X10X400(WHT)</v>
          </cell>
          <cell r="G3890" t="str">
            <v>SPONGE</v>
          </cell>
          <cell r="H3890" t="str">
            <v>SPG0552</v>
          </cell>
        </row>
        <row r="3891">
          <cell r="F3891" t="str">
            <v>10X20X80(WHT)</v>
          </cell>
          <cell r="G3891" t="str">
            <v>SPONGE</v>
          </cell>
          <cell r="H3891" t="str">
            <v>SPG0551</v>
          </cell>
        </row>
        <row r="3892">
          <cell r="F3892" t="str">
            <v>DA62-00130A(16140A SEAL)</v>
          </cell>
          <cell r="G3892" t="str">
            <v>SEAL CASE LAMP</v>
          </cell>
          <cell r="H3892" t="str">
            <v>SPG0550</v>
          </cell>
        </row>
        <row r="3893">
          <cell r="F3893" t="str">
            <v>3X50X100</v>
          </cell>
          <cell r="G3893" t="str">
            <v>SPONGE</v>
          </cell>
          <cell r="H3893" t="str">
            <v>SPG0549</v>
          </cell>
        </row>
        <row r="3894">
          <cell r="F3894" t="str">
            <v>3X25X30</v>
          </cell>
          <cell r="G3894" t="str">
            <v>SPONGE</v>
          </cell>
          <cell r="H3894" t="str">
            <v>SPG0548</v>
          </cell>
        </row>
        <row r="3895">
          <cell r="F3895" t="str">
            <v>5X80X150F(WHT)</v>
          </cell>
          <cell r="G3895" t="str">
            <v>FOAM PE</v>
          </cell>
          <cell r="H3895" t="str">
            <v>SPG0547</v>
          </cell>
        </row>
        <row r="3896">
          <cell r="F3896" t="str">
            <v>8X30X650(WHT)</v>
          </cell>
          <cell r="G3896" t="str">
            <v>SPONGE</v>
          </cell>
          <cell r="H3896" t="str">
            <v>SPG0546</v>
          </cell>
        </row>
        <row r="3897">
          <cell r="F3897" t="str">
            <v>7X20X30(WHT)</v>
          </cell>
          <cell r="G3897" t="str">
            <v>SPONGE</v>
          </cell>
          <cell r="H3897" t="str">
            <v>SPG0545</v>
          </cell>
        </row>
        <row r="3898">
          <cell r="F3898" t="str">
            <v>7X20X20(WHT)</v>
          </cell>
          <cell r="G3898" t="str">
            <v>SPONGE</v>
          </cell>
          <cell r="H3898" t="str">
            <v>SPG0544</v>
          </cell>
        </row>
        <row r="3899">
          <cell r="F3899" t="str">
            <v>5X50X50(WHT)</v>
          </cell>
          <cell r="G3899" t="str">
            <v>SPONGE</v>
          </cell>
          <cell r="H3899" t="str">
            <v>SPG0543</v>
          </cell>
        </row>
        <row r="3900">
          <cell r="F3900" t="str">
            <v>5X25X70(WHT)</v>
          </cell>
          <cell r="G3900" t="str">
            <v>SPONGE</v>
          </cell>
          <cell r="H3900" t="str">
            <v>SPG0542</v>
          </cell>
        </row>
        <row r="3901">
          <cell r="F3901" t="str">
            <v>5X10X120(WHT)</v>
          </cell>
          <cell r="G3901" t="str">
            <v>SPONGE</v>
          </cell>
          <cell r="H3901" t="str">
            <v>SPG0541</v>
          </cell>
        </row>
        <row r="3902">
          <cell r="F3902" t="str">
            <v>10X30X60(WHT)</v>
          </cell>
          <cell r="G3902" t="str">
            <v>SPONGE</v>
          </cell>
          <cell r="H3902" t="str">
            <v>SPG0540</v>
          </cell>
        </row>
        <row r="3903">
          <cell r="F3903" t="str">
            <v>10X20X60(WHT)</v>
          </cell>
          <cell r="G3903" t="str">
            <v>SPONGE</v>
          </cell>
          <cell r="H3903" t="str">
            <v>SPG0539</v>
          </cell>
        </row>
        <row r="3904">
          <cell r="F3904" t="str">
            <v>1.5X25X145F</v>
          </cell>
          <cell r="G3904" t="str">
            <v>FOAM-PE</v>
          </cell>
          <cell r="H3904" t="str">
            <v>SPG0538</v>
          </cell>
        </row>
        <row r="3905">
          <cell r="F3905" t="str">
            <v>5X20X350F</v>
          </cell>
          <cell r="G3905" t="str">
            <v>FOAM-PE</v>
          </cell>
          <cell r="H3905" t="str">
            <v>SPG0537</v>
          </cell>
        </row>
        <row r="3906">
          <cell r="F3906" t="str">
            <v>5X60X230F</v>
          </cell>
          <cell r="G3906" t="str">
            <v>FOAM-PE</v>
          </cell>
          <cell r="H3906" t="str">
            <v>SPG0536</v>
          </cell>
        </row>
        <row r="3907">
          <cell r="F3907" t="str">
            <v>5X20X330F</v>
          </cell>
          <cell r="G3907" t="str">
            <v>FOAM-PE</v>
          </cell>
          <cell r="H3907" t="str">
            <v>SPG0535</v>
          </cell>
        </row>
        <row r="3908">
          <cell r="F3908" t="str">
            <v>5X45X130F</v>
          </cell>
          <cell r="G3908" t="str">
            <v>FOAM-PE</v>
          </cell>
          <cell r="H3908" t="str">
            <v>SPG0534</v>
          </cell>
        </row>
        <row r="3909">
          <cell r="F3909" t="str">
            <v>5X45X170F</v>
          </cell>
          <cell r="G3909" t="str">
            <v>FOAM-PE</v>
          </cell>
          <cell r="H3909" t="str">
            <v>SPG0533</v>
          </cell>
        </row>
        <row r="3910">
          <cell r="F3910" t="str">
            <v>8X30X100(NY)</v>
          </cell>
          <cell r="G3910" t="str">
            <v>SPONGE</v>
          </cell>
          <cell r="H3910" t="str">
            <v>SPG0532</v>
          </cell>
        </row>
        <row r="3911">
          <cell r="F3911" t="str">
            <v>5X25X120(NY)</v>
          </cell>
          <cell r="G3911" t="str">
            <v>SPONGE</v>
          </cell>
          <cell r="H3911" t="str">
            <v>SPG0531</v>
          </cell>
        </row>
        <row r="3912">
          <cell r="F3912" t="str">
            <v>5X50X300(NY)</v>
          </cell>
          <cell r="G3912" t="str">
            <v>SPONGE</v>
          </cell>
          <cell r="H3912" t="str">
            <v>SPG0530</v>
          </cell>
        </row>
        <row r="3913">
          <cell r="F3913" t="str">
            <v>5X80X150(NY)</v>
          </cell>
          <cell r="G3913" t="str">
            <v>SPONGE</v>
          </cell>
          <cell r="H3913" t="str">
            <v>SPG0529</v>
          </cell>
        </row>
        <row r="3914">
          <cell r="F3914" t="str">
            <v>5X10X50(WHT)</v>
          </cell>
          <cell r="G3914" t="str">
            <v>SPONGE</v>
          </cell>
          <cell r="H3914" t="str">
            <v>SPG0528</v>
          </cell>
        </row>
        <row r="3915">
          <cell r="F3915" t="str">
            <v>5X10X40F</v>
          </cell>
          <cell r="G3915" t="str">
            <v>FOAM-PE</v>
          </cell>
          <cell r="H3915" t="str">
            <v>SPG0527</v>
          </cell>
        </row>
        <row r="3916">
          <cell r="F3916" t="str">
            <v>5X40X320F</v>
          </cell>
          <cell r="G3916" t="str">
            <v>FOAM-PE</v>
          </cell>
          <cell r="H3916" t="str">
            <v>SPG0524</v>
          </cell>
        </row>
        <row r="3917">
          <cell r="F3917" t="str">
            <v>1.5X25X130F</v>
          </cell>
          <cell r="G3917" t="str">
            <v>FOAM-PE</v>
          </cell>
          <cell r="H3917" t="str">
            <v>SPG0521</v>
          </cell>
        </row>
        <row r="3918">
          <cell r="F3918" t="str">
            <v>3X40X60F</v>
          </cell>
          <cell r="G3918" t="str">
            <v>FOAM-PE</v>
          </cell>
          <cell r="H3918" t="str">
            <v>SPG0520</v>
          </cell>
        </row>
        <row r="3919">
          <cell r="F3919" t="str">
            <v>3X25X130F</v>
          </cell>
          <cell r="G3919" t="str">
            <v>FOAM-PE</v>
          </cell>
          <cell r="H3919" t="str">
            <v>SPG0519</v>
          </cell>
        </row>
        <row r="3920">
          <cell r="F3920" t="str">
            <v>5X40X90F</v>
          </cell>
          <cell r="G3920" t="str">
            <v>FOAM-PE</v>
          </cell>
          <cell r="H3920" t="str">
            <v>SPG0518</v>
          </cell>
        </row>
        <row r="3921">
          <cell r="F3921" t="str">
            <v>5X20X150(NY)</v>
          </cell>
          <cell r="G3921" t="str">
            <v>SPONGE</v>
          </cell>
          <cell r="H3921" t="str">
            <v>SPG0517</v>
          </cell>
        </row>
        <row r="3922">
          <cell r="F3922" t="str">
            <v>5X13X400F(CIRCLE GARUM)</v>
          </cell>
          <cell r="G3922" t="str">
            <v>FOAM-PE</v>
          </cell>
          <cell r="H3922" t="str">
            <v>SPG0516</v>
          </cell>
        </row>
        <row r="3923">
          <cell r="F3923" t="str">
            <v>25X25X70(NY)</v>
          </cell>
          <cell r="G3923" t="str">
            <v>SPONG</v>
          </cell>
          <cell r="H3923" t="str">
            <v>SPG0515</v>
          </cell>
        </row>
        <row r="3924">
          <cell r="F3924" t="str">
            <v>5X32X60(WHT)</v>
          </cell>
          <cell r="G3924" t="str">
            <v>SPONG</v>
          </cell>
          <cell r="H3924" t="str">
            <v>SPG0514</v>
          </cell>
        </row>
        <row r="3925">
          <cell r="F3925" t="str">
            <v>3X15X300F</v>
          </cell>
          <cell r="G3925" t="str">
            <v>FOAM-PE</v>
          </cell>
          <cell r="H3925" t="str">
            <v>SPG0513</v>
          </cell>
        </row>
        <row r="3926">
          <cell r="F3926" t="str">
            <v>5X140X100(WHT)</v>
          </cell>
          <cell r="G3926" t="str">
            <v>SPONGE</v>
          </cell>
          <cell r="H3926" t="str">
            <v>SPG0511</v>
          </cell>
        </row>
        <row r="3927">
          <cell r="F3927" t="str">
            <v>10X80X100(WHT)</v>
          </cell>
          <cell r="G3927" t="str">
            <v>SPONGE</v>
          </cell>
          <cell r="H3927" t="str">
            <v>SPG0510</v>
          </cell>
        </row>
        <row r="3928">
          <cell r="F3928" t="str">
            <v>5X100X100(WHT)</v>
          </cell>
          <cell r="G3928" t="str">
            <v>SPONGE</v>
          </cell>
          <cell r="H3928" t="str">
            <v>SPG0509</v>
          </cell>
        </row>
        <row r="3929">
          <cell r="F3929" t="str">
            <v>5X50X100(WHT)</v>
          </cell>
          <cell r="G3929" t="str">
            <v>SPONGE</v>
          </cell>
          <cell r="H3929" t="str">
            <v>SPG0508</v>
          </cell>
        </row>
        <row r="3930">
          <cell r="F3930" t="str">
            <v>5X40X100(WHT)</v>
          </cell>
          <cell r="G3930" t="str">
            <v>SPONGE</v>
          </cell>
          <cell r="H3930" t="str">
            <v>SPG0507</v>
          </cell>
        </row>
        <row r="3931">
          <cell r="F3931" t="str">
            <v>5X80X50(WHT)</v>
          </cell>
          <cell r="G3931" t="str">
            <v>SPONGE</v>
          </cell>
          <cell r="H3931" t="str">
            <v>SPG0506</v>
          </cell>
        </row>
        <row r="3932">
          <cell r="F3932" t="str">
            <v>5X20X50(WHT)</v>
          </cell>
          <cell r="G3932" t="str">
            <v>SPONGE</v>
          </cell>
          <cell r="H3932" t="str">
            <v>SPG0505</v>
          </cell>
        </row>
        <row r="3933">
          <cell r="F3933" t="str">
            <v>5X15X20F</v>
          </cell>
          <cell r="G3933" t="str">
            <v>FOAM-PE</v>
          </cell>
          <cell r="H3933" t="str">
            <v>SPG0503</v>
          </cell>
        </row>
        <row r="3934">
          <cell r="F3934" t="str">
            <v>5X40X100</v>
          </cell>
          <cell r="G3934" t="str">
            <v>SPONGE</v>
          </cell>
          <cell r="H3934" t="str">
            <v>SPG0502</v>
          </cell>
        </row>
        <row r="3935">
          <cell r="F3935" t="str">
            <v>5X40X70F</v>
          </cell>
          <cell r="G3935" t="str">
            <v>FOAM-PE</v>
          </cell>
          <cell r="H3935" t="str">
            <v>SPG0501</v>
          </cell>
        </row>
        <row r="3936">
          <cell r="F3936" t="str">
            <v>8X40X70(BEIGE)</v>
          </cell>
          <cell r="G3936" t="str">
            <v>SEAL HRNS</v>
          </cell>
          <cell r="H3936" t="str">
            <v>SPG0500</v>
          </cell>
        </row>
        <row r="3937">
          <cell r="F3937" t="str">
            <v>5X40X40(BEIGE)</v>
          </cell>
          <cell r="G3937" t="str">
            <v>SEAL HRNS</v>
          </cell>
          <cell r="H3937" t="str">
            <v>SPG0498</v>
          </cell>
        </row>
        <row r="3938">
          <cell r="F3938" t="str">
            <v>8X60X100(BEIGE)</v>
          </cell>
          <cell r="G3938" t="str">
            <v>SEAL HRNS</v>
          </cell>
          <cell r="H3938" t="str">
            <v>SPG0497</v>
          </cell>
        </row>
        <row r="3939">
          <cell r="F3939" t="str">
            <v>8X40X70(NY)</v>
          </cell>
          <cell r="G3939" t="str">
            <v>SEAL HRNS</v>
          </cell>
          <cell r="H3939" t="str">
            <v>SPG0496</v>
          </cell>
        </row>
        <row r="3940">
          <cell r="F3940" t="str">
            <v>8X60X100(NY)</v>
          </cell>
          <cell r="G3940" t="str">
            <v>SEAL HRNS</v>
          </cell>
          <cell r="H3940" t="str">
            <v>SPG0495</v>
          </cell>
        </row>
        <row r="3941">
          <cell r="F3941">
            <v>3017725000</v>
          </cell>
          <cell r="G3941" t="str">
            <v>SEALING HRNS</v>
          </cell>
          <cell r="H3941" t="str">
            <v>SPG0494</v>
          </cell>
        </row>
        <row r="3942">
          <cell r="F3942" t="str">
            <v>DA62-03171A</v>
          </cell>
          <cell r="G3942" t="str">
            <v>ASSY FIXER HOUSING-SEAL</v>
          </cell>
          <cell r="H3942" t="str">
            <v>SPG0489</v>
          </cell>
        </row>
        <row r="3943">
          <cell r="F3943" t="str">
            <v>DA62-03170A</v>
          </cell>
          <cell r="G3943" t="str">
            <v>ASSY FIXER HOUSING-SEAL</v>
          </cell>
          <cell r="H3943" t="str">
            <v>SPG0488</v>
          </cell>
        </row>
        <row r="3944">
          <cell r="F3944" t="str">
            <v>DA62-03021A</v>
          </cell>
          <cell r="G3944" t="str">
            <v>SEAL HARNESS MAIN</v>
          </cell>
          <cell r="H3944" t="str">
            <v>SPG0487</v>
          </cell>
        </row>
        <row r="3945">
          <cell r="F3945" t="str">
            <v>DA62-03293A(11766A SEAL)</v>
          </cell>
          <cell r="G3945" t="str">
            <v>SEAL HARNESS MAIN</v>
          </cell>
          <cell r="H3945" t="str">
            <v>SPG0486</v>
          </cell>
        </row>
        <row r="3946">
          <cell r="F3946" t="str">
            <v>DA62-02536A</v>
          </cell>
          <cell r="G3946" t="str">
            <v>SEAL HARNESS MAIN</v>
          </cell>
          <cell r="H3946" t="str">
            <v>SPG0481</v>
          </cell>
        </row>
        <row r="3947">
          <cell r="F3947" t="str">
            <v>5X10X225(WHT)</v>
          </cell>
          <cell r="G3947" t="str">
            <v>SPONGE</v>
          </cell>
          <cell r="H3947" t="str">
            <v>SPG0480</v>
          </cell>
        </row>
        <row r="3948">
          <cell r="F3948" t="str">
            <v>5X70X70F</v>
          </cell>
          <cell r="G3948" t="str">
            <v>FOAM-PE</v>
          </cell>
          <cell r="H3948" t="str">
            <v>SPG0479</v>
          </cell>
        </row>
        <row r="3949">
          <cell r="F3949" t="str">
            <v>5X10X200F</v>
          </cell>
          <cell r="G3949" t="str">
            <v>FOAM-PE</v>
          </cell>
          <cell r="H3949" t="str">
            <v>SPG0477</v>
          </cell>
        </row>
        <row r="3950">
          <cell r="F3950" t="str">
            <v>5X40X100F</v>
          </cell>
          <cell r="G3950" t="str">
            <v>FOAM-PE</v>
          </cell>
          <cell r="H3950" t="str">
            <v>SPG0476</v>
          </cell>
        </row>
        <row r="3951">
          <cell r="F3951" t="str">
            <v>3007710810 5X80X150F(WHT)</v>
          </cell>
          <cell r="G3951" t="str">
            <v>FOAM-PE</v>
          </cell>
          <cell r="H3951" t="str">
            <v>SPG0475</v>
          </cell>
        </row>
        <row r="3952">
          <cell r="F3952" t="str">
            <v>3017706910 7X20X30</v>
          </cell>
          <cell r="G3952" t="str">
            <v>SPONGE</v>
          </cell>
          <cell r="H3952" t="str">
            <v>SPG0473</v>
          </cell>
        </row>
        <row r="3953">
          <cell r="F3953">
            <v>3017756730</v>
          </cell>
          <cell r="G3953" t="str">
            <v>SEAL CAB BASE B</v>
          </cell>
          <cell r="H3953" t="str">
            <v>SPG0471</v>
          </cell>
        </row>
        <row r="3954">
          <cell r="F3954" t="str">
            <v>5X30X100F</v>
          </cell>
          <cell r="G3954" t="str">
            <v>FOAM-PE</v>
          </cell>
          <cell r="H3954" t="str">
            <v>SPG0467</v>
          </cell>
        </row>
        <row r="3955">
          <cell r="F3955" t="str">
            <v>5X20X60</v>
          </cell>
          <cell r="G3955" t="str">
            <v>SPONGE</v>
          </cell>
          <cell r="H3955" t="str">
            <v>SPG0466</v>
          </cell>
        </row>
        <row r="3956">
          <cell r="F3956" t="str">
            <v>5X30X110F</v>
          </cell>
          <cell r="G3956" t="str">
            <v>FOAM-PE</v>
          </cell>
          <cell r="H3956" t="str">
            <v>SPG0465</v>
          </cell>
        </row>
        <row r="3957">
          <cell r="F3957" t="str">
            <v>5X30X70(EPDM)</v>
          </cell>
          <cell r="G3957" t="str">
            <v>EPDM</v>
          </cell>
          <cell r="H3957" t="str">
            <v>SPG0464</v>
          </cell>
        </row>
        <row r="3958">
          <cell r="F3958" t="str">
            <v>5X50X270F</v>
          </cell>
          <cell r="G3958" t="str">
            <v>FOAM-PE</v>
          </cell>
          <cell r="H3958" t="str">
            <v>SPG0463</v>
          </cell>
        </row>
        <row r="3959">
          <cell r="F3959" t="str">
            <v>5X30X100</v>
          </cell>
          <cell r="G3959" t="str">
            <v>SPONGE</v>
          </cell>
          <cell r="H3959" t="str">
            <v>SPG0462</v>
          </cell>
        </row>
        <row r="3960">
          <cell r="F3960" t="str">
            <v>3X35X140(EPDM)</v>
          </cell>
          <cell r="G3960" t="str">
            <v>EPDM</v>
          </cell>
          <cell r="H3960" t="str">
            <v>SPG0460</v>
          </cell>
        </row>
        <row r="3961">
          <cell r="F3961" t="str">
            <v>10X20X100</v>
          </cell>
          <cell r="G3961" t="str">
            <v>SPONGE</v>
          </cell>
          <cell r="H3961" t="str">
            <v>SPG0459</v>
          </cell>
        </row>
        <row r="3962">
          <cell r="F3962" t="str">
            <v>5X50X70F</v>
          </cell>
          <cell r="G3962" t="str">
            <v>FOAM-PE</v>
          </cell>
          <cell r="H3962" t="str">
            <v>SPG0458</v>
          </cell>
        </row>
        <row r="3963">
          <cell r="F3963" t="str">
            <v>5X40X200</v>
          </cell>
          <cell r="G3963" t="str">
            <v>SPONGE</v>
          </cell>
          <cell r="H3963" t="str">
            <v>SPG0457</v>
          </cell>
        </row>
        <row r="3964">
          <cell r="F3964" t="str">
            <v>5X10X90</v>
          </cell>
          <cell r="G3964" t="str">
            <v>SPONGE</v>
          </cell>
          <cell r="H3964" t="str">
            <v>SPG0456</v>
          </cell>
        </row>
        <row r="3965">
          <cell r="F3965" t="str">
            <v>5X30X100(WTE)</v>
          </cell>
          <cell r="G3965" t="str">
            <v>SPONGE</v>
          </cell>
          <cell r="H3965" t="str">
            <v>SPG0454</v>
          </cell>
        </row>
        <row r="3966">
          <cell r="F3966" t="str">
            <v>3X40X60(WTE, PLS)</v>
          </cell>
          <cell r="G3966" t="str">
            <v>SPONGE</v>
          </cell>
          <cell r="H3966" t="str">
            <v>SPG0453</v>
          </cell>
        </row>
        <row r="3967">
          <cell r="F3967" t="str">
            <v>DA62-01473B</v>
          </cell>
          <cell r="G3967" t="str">
            <v>SEAL CASE LAMP-LED</v>
          </cell>
          <cell r="H3967" t="str">
            <v>SPG0452</v>
          </cell>
        </row>
        <row r="3968">
          <cell r="F3968" t="str">
            <v>2X20X30F</v>
          </cell>
          <cell r="G3968" t="str">
            <v>FOAM-PE</v>
          </cell>
          <cell r="H3968" t="str">
            <v>SPG0451</v>
          </cell>
        </row>
        <row r="3969">
          <cell r="F3969" t="str">
            <v>2X30X40F</v>
          </cell>
          <cell r="G3969" t="str">
            <v>FOAM-PE</v>
          </cell>
          <cell r="H3969" t="str">
            <v>SPG0450</v>
          </cell>
        </row>
        <row r="3970">
          <cell r="F3970" t="str">
            <v>5X20X320F</v>
          </cell>
          <cell r="G3970" t="str">
            <v>FOAM-PE</v>
          </cell>
          <cell r="H3970" t="str">
            <v>SPG0449</v>
          </cell>
        </row>
        <row r="3971">
          <cell r="F3971" t="str">
            <v>5X80X150(BEIGE)</v>
          </cell>
          <cell r="G3971" t="str">
            <v>SPONGE</v>
          </cell>
          <cell r="H3971" t="str">
            <v>SPG0448</v>
          </cell>
        </row>
        <row r="3972">
          <cell r="F3972" t="str">
            <v>3X40X300F</v>
          </cell>
          <cell r="G3972" t="str">
            <v>FOAM-PE</v>
          </cell>
          <cell r="H3972" t="str">
            <v>SPG0447</v>
          </cell>
        </row>
        <row r="3973">
          <cell r="F3973" t="str">
            <v>5X40X55F</v>
          </cell>
          <cell r="G3973" t="str">
            <v>FOAM-PE</v>
          </cell>
          <cell r="H3973" t="str">
            <v>SPG0444</v>
          </cell>
        </row>
        <row r="3974">
          <cell r="F3974" t="str">
            <v>5X50X100F</v>
          </cell>
          <cell r="G3974" t="str">
            <v>FOAM-PE</v>
          </cell>
          <cell r="H3974" t="str">
            <v>SPG0441</v>
          </cell>
        </row>
        <row r="3975">
          <cell r="F3975" t="str">
            <v>5X10X100F</v>
          </cell>
          <cell r="G3975" t="str">
            <v>FOAM-PE</v>
          </cell>
          <cell r="H3975" t="str">
            <v>SPG0440</v>
          </cell>
        </row>
        <row r="3976">
          <cell r="F3976" t="str">
            <v>5X20X180F</v>
          </cell>
          <cell r="G3976" t="str">
            <v>FOAM-PE</v>
          </cell>
          <cell r="H3976" t="str">
            <v>SPG0439</v>
          </cell>
        </row>
        <row r="3977">
          <cell r="F3977" t="str">
            <v>10X30X80</v>
          </cell>
          <cell r="G3977" t="str">
            <v>SPONGE</v>
          </cell>
          <cell r="H3977" t="str">
            <v>SPG0438</v>
          </cell>
        </row>
        <row r="3978">
          <cell r="F3978" t="str">
            <v>5X30X160F</v>
          </cell>
          <cell r="G3978" t="str">
            <v>FOAM-PE</v>
          </cell>
          <cell r="H3978" t="str">
            <v>SPG0437</v>
          </cell>
        </row>
        <row r="3979">
          <cell r="F3979" t="str">
            <v>5X40X130F</v>
          </cell>
          <cell r="G3979" t="str">
            <v>FOAM-PE</v>
          </cell>
          <cell r="H3979" t="str">
            <v>SPG0436</v>
          </cell>
        </row>
        <row r="3980">
          <cell r="F3980" t="str">
            <v>3X30X150</v>
          </cell>
          <cell r="G3980" t="str">
            <v>SPONGE</v>
          </cell>
          <cell r="H3980" t="str">
            <v>SPG0435</v>
          </cell>
        </row>
        <row r="3981">
          <cell r="F3981" t="str">
            <v>10X30X60</v>
          </cell>
          <cell r="G3981" t="str">
            <v>SPONGE</v>
          </cell>
          <cell r="H3981" t="str">
            <v>SPG0434</v>
          </cell>
        </row>
        <row r="3982">
          <cell r="F3982" t="str">
            <v>10X30X120</v>
          </cell>
          <cell r="G3982" t="str">
            <v>SPONGE</v>
          </cell>
          <cell r="H3982" t="str">
            <v>SPG0433</v>
          </cell>
        </row>
        <row r="3983">
          <cell r="F3983" t="str">
            <v>5X80X80(NY)</v>
          </cell>
          <cell r="G3983" t="str">
            <v>SPONGE</v>
          </cell>
          <cell r="H3983" t="str">
            <v>SPG0432</v>
          </cell>
        </row>
        <row r="3984">
          <cell r="F3984" t="str">
            <v>5X40X80(NY)</v>
          </cell>
          <cell r="G3984" t="str">
            <v>SPONGE</v>
          </cell>
          <cell r="H3984" t="str">
            <v>SPG0431</v>
          </cell>
        </row>
        <row r="3985">
          <cell r="F3985" t="str">
            <v>10X80X80(NY)</v>
          </cell>
          <cell r="G3985" t="str">
            <v>SPONGE</v>
          </cell>
          <cell r="H3985" t="str">
            <v>SPG0430</v>
          </cell>
        </row>
        <row r="3986">
          <cell r="F3986" t="str">
            <v>5X20X120F</v>
          </cell>
          <cell r="G3986" t="str">
            <v>FOAM-PE</v>
          </cell>
          <cell r="H3986" t="str">
            <v>SPG0429</v>
          </cell>
        </row>
        <row r="3987">
          <cell r="F3987" t="str">
            <v>5X40X140F</v>
          </cell>
          <cell r="G3987" t="str">
            <v>FOAM-PE</v>
          </cell>
          <cell r="H3987" t="str">
            <v>SPG0428</v>
          </cell>
        </row>
        <row r="3988">
          <cell r="F3988" t="str">
            <v>5X30X60(NY)</v>
          </cell>
          <cell r="G3988" t="str">
            <v>SPONGE</v>
          </cell>
          <cell r="H3988" t="str">
            <v>SPG0426</v>
          </cell>
        </row>
        <row r="3989">
          <cell r="F3989" t="str">
            <v>5X60X70F</v>
          </cell>
          <cell r="G3989" t="str">
            <v>FOAM-PE</v>
          </cell>
          <cell r="H3989" t="str">
            <v>SPG0425</v>
          </cell>
        </row>
        <row r="3990">
          <cell r="F3990" t="str">
            <v>DA62-00124B(5T)</v>
          </cell>
          <cell r="G3990" t="str">
            <v>SEAL DOUVLE FACE CONVERTIBLE</v>
          </cell>
          <cell r="H3990" t="str">
            <v>SPG0424</v>
          </cell>
        </row>
        <row r="3991">
          <cell r="F3991" t="str">
            <v>5X40X200F</v>
          </cell>
          <cell r="G3991" t="str">
            <v>FOAM-PE</v>
          </cell>
          <cell r="H3991" t="str">
            <v>SPG0421</v>
          </cell>
        </row>
        <row r="3992">
          <cell r="F3992" t="str">
            <v>10X50X60</v>
          </cell>
          <cell r="G3992" t="str">
            <v>SPONGE</v>
          </cell>
          <cell r="H3992" t="str">
            <v>SPG0419</v>
          </cell>
        </row>
        <row r="3993">
          <cell r="F3993" t="str">
            <v>10X60X60</v>
          </cell>
          <cell r="G3993" t="str">
            <v>SPONGE</v>
          </cell>
          <cell r="H3993" t="str">
            <v>SPG0418</v>
          </cell>
        </row>
        <row r="3994">
          <cell r="F3994" t="str">
            <v>5X30X150F</v>
          </cell>
          <cell r="G3994" t="str">
            <v>FOAM-PE</v>
          </cell>
          <cell r="H3994" t="str">
            <v>SPG0416</v>
          </cell>
        </row>
        <row r="3995">
          <cell r="F3995" t="str">
            <v>5X15X180F</v>
          </cell>
          <cell r="G3995" t="str">
            <v>FOAM-PE</v>
          </cell>
          <cell r="H3995" t="str">
            <v>SPG0415</v>
          </cell>
        </row>
        <row r="3996">
          <cell r="F3996" t="str">
            <v>5X10X150F(BEIGE)</v>
          </cell>
          <cell r="G3996" t="str">
            <v>FOAM-PE</v>
          </cell>
          <cell r="H3996" t="str">
            <v>SPG0414</v>
          </cell>
        </row>
        <row r="3997">
          <cell r="F3997" t="str">
            <v>5X40X190F</v>
          </cell>
          <cell r="G3997" t="str">
            <v>FOAM-PE</v>
          </cell>
          <cell r="H3997" t="str">
            <v>SPG0412</v>
          </cell>
        </row>
        <row r="3998">
          <cell r="F3998" t="str">
            <v>5X10X150F</v>
          </cell>
          <cell r="G3998" t="str">
            <v>FOAM-PE</v>
          </cell>
          <cell r="H3998" t="str">
            <v>SPG0411</v>
          </cell>
        </row>
        <row r="3999">
          <cell r="F3999" t="str">
            <v>5X70X100(NY)</v>
          </cell>
          <cell r="G3999" t="str">
            <v>SPONGE</v>
          </cell>
          <cell r="H3999" t="str">
            <v>SPG0407</v>
          </cell>
        </row>
        <row r="4000">
          <cell r="F4000" t="str">
            <v>5X110X100(NY)</v>
          </cell>
          <cell r="G4000" t="str">
            <v>SPONGE</v>
          </cell>
          <cell r="H4000" t="str">
            <v>SPG0405</v>
          </cell>
        </row>
        <row r="4001">
          <cell r="F4001" t="str">
            <v>5X30X100(NY)</v>
          </cell>
          <cell r="G4001" t="str">
            <v>SPONGE</v>
          </cell>
          <cell r="H4001" t="str">
            <v>SPG0403</v>
          </cell>
        </row>
        <row r="4002">
          <cell r="F4002" t="str">
            <v>10X100X200</v>
          </cell>
          <cell r="G4002" t="str">
            <v>SPONGE</v>
          </cell>
          <cell r="H4002" t="str">
            <v>SPG0402</v>
          </cell>
        </row>
        <row r="4003">
          <cell r="F4003" t="str">
            <v>5X40X180</v>
          </cell>
          <cell r="G4003" t="str">
            <v>SPONGE</v>
          </cell>
          <cell r="H4003" t="str">
            <v>SPG0400</v>
          </cell>
        </row>
        <row r="4004">
          <cell r="F4004" t="str">
            <v>5X60X190F</v>
          </cell>
          <cell r="G4004" t="str">
            <v>FOAM-PE</v>
          </cell>
          <cell r="H4004" t="str">
            <v>SPG0399</v>
          </cell>
        </row>
        <row r="4005">
          <cell r="F4005" t="str">
            <v>5X60X180F</v>
          </cell>
          <cell r="G4005" t="str">
            <v>FOAM-PE</v>
          </cell>
          <cell r="H4005" t="str">
            <v>SPG0398</v>
          </cell>
        </row>
        <row r="4006">
          <cell r="F4006" t="str">
            <v>5X50X170F</v>
          </cell>
          <cell r="G4006" t="str">
            <v>FOAM-PE</v>
          </cell>
          <cell r="H4006" t="str">
            <v>SPG0395</v>
          </cell>
        </row>
        <row r="4007">
          <cell r="F4007" t="str">
            <v>6X40X140F</v>
          </cell>
          <cell r="G4007" t="str">
            <v>FOAM-PE</v>
          </cell>
          <cell r="H4007" t="str">
            <v>SPG0394</v>
          </cell>
        </row>
        <row r="4008">
          <cell r="F4008" t="str">
            <v>3X30X150</v>
          </cell>
          <cell r="G4008" t="str">
            <v>FOAM-LEX</v>
          </cell>
          <cell r="H4008" t="str">
            <v>SPG0393</v>
          </cell>
        </row>
        <row r="4009">
          <cell r="F4009" t="str">
            <v>5X20X140F</v>
          </cell>
          <cell r="G4009" t="str">
            <v>FOAM-PE</v>
          </cell>
          <cell r="H4009" t="str">
            <v>SPG0392</v>
          </cell>
        </row>
        <row r="4010">
          <cell r="F4010" t="str">
            <v>6X20X120F</v>
          </cell>
          <cell r="G4010" t="str">
            <v>FOAM-PE</v>
          </cell>
          <cell r="H4010" t="str">
            <v>SPG0390</v>
          </cell>
        </row>
        <row r="4011">
          <cell r="F4011" t="str">
            <v>5X40X120F</v>
          </cell>
          <cell r="G4011" t="str">
            <v>FOAM-PE</v>
          </cell>
          <cell r="H4011" t="str">
            <v>SPG0389</v>
          </cell>
        </row>
        <row r="4012">
          <cell r="F4012" t="str">
            <v>5X20X240F</v>
          </cell>
          <cell r="G4012" t="str">
            <v>FOAM-PE</v>
          </cell>
          <cell r="H4012" t="str">
            <v>SPG0388</v>
          </cell>
        </row>
        <row r="4013">
          <cell r="F4013" t="str">
            <v>3X70X30</v>
          </cell>
          <cell r="G4013" t="str">
            <v>FOAM-LEX</v>
          </cell>
          <cell r="H4013" t="str">
            <v>SPG0382</v>
          </cell>
        </row>
        <row r="4014">
          <cell r="F4014" t="str">
            <v>3X40X40</v>
          </cell>
          <cell r="G4014" t="str">
            <v>FOAM-LEX</v>
          </cell>
          <cell r="H4014" t="str">
            <v>SPG0381</v>
          </cell>
        </row>
        <row r="4015">
          <cell r="F4015" t="str">
            <v>5X50X220F</v>
          </cell>
          <cell r="G4015" t="str">
            <v>FOAM-PE</v>
          </cell>
          <cell r="H4015" t="str">
            <v>SPG0380</v>
          </cell>
        </row>
        <row r="4016">
          <cell r="F4016" t="str">
            <v>3X70X55(2 HOLE)</v>
          </cell>
          <cell r="G4016" t="str">
            <v>FOAM-LEX</v>
          </cell>
          <cell r="H4016" t="str">
            <v>SPG0378</v>
          </cell>
        </row>
        <row r="4017">
          <cell r="F4017" t="str">
            <v>5X10X300F</v>
          </cell>
          <cell r="G4017" t="str">
            <v>FOAM-PE</v>
          </cell>
          <cell r="H4017" t="str">
            <v>SPG0374</v>
          </cell>
        </row>
        <row r="4018">
          <cell r="F4018" t="str">
            <v>10X40X100</v>
          </cell>
          <cell r="G4018" t="str">
            <v>SPONGE</v>
          </cell>
          <cell r="H4018" t="str">
            <v>SPG0373</v>
          </cell>
        </row>
        <row r="4019">
          <cell r="F4019" t="str">
            <v>5X25X40</v>
          </cell>
          <cell r="G4019" t="str">
            <v>SPONGE</v>
          </cell>
          <cell r="H4019" t="str">
            <v>SPG0372</v>
          </cell>
        </row>
        <row r="4020">
          <cell r="F4020" t="str">
            <v>5X25X80</v>
          </cell>
          <cell r="G4020" t="str">
            <v>SPONGE</v>
          </cell>
          <cell r="H4020" t="str">
            <v>SPG0371</v>
          </cell>
        </row>
        <row r="4021">
          <cell r="F4021" t="str">
            <v>10X50X80(WHITE색)</v>
          </cell>
          <cell r="G4021" t="str">
            <v>SPONGE</v>
          </cell>
          <cell r="H4021" t="str">
            <v>SPG0370</v>
          </cell>
        </row>
        <row r="4022">
          <cell r="F4022" t="str">
            <v>5X20X130F</v>
          </cell>
          <cell r="G4022" t="str">
            <v>FOAM-PE</v>
          </cell>
          <cell r="H4022" t="str">
            <v>SPG0369</v>
          </cell>
        </row>
        <row r="4023">
          <cell r="F4023" t="str">
            <v>10X40X160(WHITE색)</v>
          </cell>
          <cell r="G4023" t="str">
            <v>SPONGE</v>
          </cell>
          <cell r="H4023" t="str">
            <v>SPG0364</v>
          </cell>
        </row>
        <row r="4024">
          <cell r="F4024" t="str">
            <v>5X60X250F</v>
          </cell>
          <cell r="G4024" t="str">
            <v>FOAM-PE</v>
          </cell>
          <cell r="H4024" t="str">
            <v>SPG0362</v>
          </cell>
        </row>
        <row r="4025">
          <cell r="F4025" t="str">
            <v>10X40X180</v>
          </cell>
          <cell r="G4025" t="str">
            <v>SPONGE</v>
          </cell>
          <cell r="H4025" t="str">
            <v>SPG0361</v>
          </cell>
        </row>
        <row r="4026">
          <cell r="F4026" t="str">
            <v>5X40X250F</v>
          </cell>
          <cell r="G4026" t="str">
            <v>FOAM-PE</v>
          </cell>
          <cell r="H4026" t="str">
            <v>SPG0360</v>
          </cell>
        </row>
        <row r="4027">
          <cell r="F4027" t="str">
            <v>5X15X100F</v>
          </cell>
          <cell r="G4027" t="str">
            <v>FOAM-PE</v>
          </cell>
          <cell r="H4027" t="str">
            <v>SPG0358</v>
          </cell>
        </row>
        <row r="4028">
          <cell r="F4028" t="str">
            <v>5X40X180F</v>
          </cell>
          <cell r="G4028" t="str">
            <v>FOAM-PE</v>
          </cell>
          <cell r="H4028" t="str">
            <v>SPG0357</v>
          </cell>
        </row>
        <row r="4029">
          <cell r="F4029" t="str">
            <v>5X30X200</v>
          </cell>
          <cell r="G4029" t="str">
            <v>SPONGE</v>
          </cell>
          <cell r="H4029" t="str">
            <v>SPG0356</v>
          </cell>
        </row>
        <row r="4030">
          <cell r="F4030" t="str">
            <v>5X15X150F</v>
          </cell>
          <cell r="G4030" t="str">
            <v>FOAM-PE</v>
          </cell>
          <cell r="H4030" t="str">
            <v>SPG0353</v>
          </cell>
        </row>
        <row r="4031">
          <cell r="F4031" t="str">
            <v>5X30X240F</v>
          </cell>
          <cell r="G4031" t="str">
            <v>FOAM-PE</v>
          </cell>
          <cell r="H4031" t="str">
            <v>SPG0352</v>
          </cell>
        </row>
        <row r="4032">
          <cell r="F4032" t="str">
            <v>5X60X250(EPDM)</v>
          </cell>
          <cell r="G4032" t="str">
            <v>EPDM</v>
          </cell>
          <cell r="H4032" t="str">
            <v>SPG0351</v>
          </cell>
        </row>
        <row r="4033">
          <cell r="F4033" t="str">
            <v>10X30X100(NY)</v>
          </cell>
          <cell r="G4033" t="str">
            <v>SPONGE</v>
          </cell>
          <cell r="H4033" t="str">
            <v>SPG0350</v>
          </cell>
        </row>
        <row r="4034">
          <cell r="F4034" t="str">
            <v>10X50X80(NY)</v>
          </cell>
          <cell r="G4034" t="str">
            <v>SPONGE</v>
          </cell>
          <cell r="H4034" t="str">
            <v>SPG0349</v>
          </cell>
        </row>
        <row r="4035">
          <cell r="F4035" t="str">
            <v>5X20X100(NY)</v>
          </cell>
          <cell r="G4035" t="str">
            <v>SPONGE</v>
          </cell>
          <cell r="H4035" t="str">
            <v>SPG0348</v>
          </cell>
        </row>
        <row r="4036">
          <cell r="F4036" t="str">
            <v>5X70X250F</v>
          </cell>
          <cell r="G4036" t="str">
            <v>FOAM-PE</v>
          </cell>
          <cell r="H4036" t="str">
            <v>SPG0347</v>
          </cell>
        </row>
        <row r="4037">
          <cell r="F4037" t="str">
            <v>5X30X260F</v>
          </cell>
          <cell r="G4037" t="str">
            <v>FOAM-PE</v>
          </cell>
          <cell r="H4037" t="str">
            <v>SPG0346</v>
          </cell>
        </row>
        <row r="4038">
          <cell r="F4038" t="str">
            <v>5X30X400F</v>
          </cell>
          <cell r="G4038" t="str">
            <v>FOAM-PE</v>
          </cell>
          <cell r="H4038" t="str">
            <v>SPG0345</v>
          </cell>
        </row>
        <row r="4039">
          <cell r="F4039" t="str">
            <v>5X40X260F</v>
          </cell>
          <cell r="G4039" t="str">
            <v>FOAM-PE</v>
          </cell>
          <cell r="H4039" t="str">
            <v>SPG0344</v>
          </cell>
        </row>
        <row r="4040">
          <cell r="F4040" t="str">
            <v>10X40X160(NY)</v>
          </cell>
          <cell r="G4040" t="str">
            <v>SPONGE</v>
          </cell>
          <cell r="H4040" t="str">
            <v>SPG0341</v>
          </cell>
        </row>
        <row r="4041">
          <cell r="F4041" t="str">
            <v>10X40X80(NY)</v>
          </cell>
          <cell r="G4041" t="str">
            <v>SPONGE</v>
          </cell>
          <cell r="H4041" t="str">
            <v>SPG0340</v>
          </cell>
        </row>
        <row r="4042">
          <cell r="F4042" t="str">
            <v>5X20X290F</v>
          </cell>
          <cell r="G4042" t="str">
            <v>FOAM-PE</v>
          </cell>
          <cell r="H4042" t="str">
            <v>SPG0337</v>
          </cell>
        </row>
        <row r="4043">
          <cell r="F4043" t="str">
            <v>DA62-01747B</v>
          </cell>
          <cell r="G4043" t="str">
            <v>SEAL CASE LAMP-LED</v>
          </cell>
          <cell r="H4043" t="str">
            <v>SPG0332</v>
          </cell>
        </row>
        <row r="4044">
          <cell r="F4044" t="str">
            <v>3X60X150F</v>
          </cell>
          <cell r="G4044" t="str">
            <v>FOAM-PE</v>
          </cell>
          <cell r="H4044" t="str">
            <v>SPG0331</v>
          </cell>
        </row>
        <row r="4045">
          <cell r="F4045" t="str">
            <v>5X80X150</v>
          </cell>
          <cell r="G4045" t="str">
            <v>SPONGE</v>
          </cell>
          <cell r="H4045" t="str">
            <v>SPG0323</v>
          </cell>
        </row>
        <row r="4046">
          <cell r="F4046" t="str">
            <v>5X15X300F</v>
          </cell>
          <cell r="G4046" t="str">
            <v>FOAM-PE</v>
          </cell>
          <cell r="H4046" t="str">
            <v>SPG0319</v>
          </cell>
        </row>
        <row r="4047">
          <cell r="F4047" t="str">
            <v>5X35X450F</v>
          </cell>
          <cell r="G4047" t="str">
            <v>FOAM-PE</v>
          </cell>
          <cell r="H4047" t="str">
            <v>SPG0318</v>
          </cell>
        </row>
        <row r="4048">
          <cell r="F4048" t="str">
            <v>5X35X260F</v>
          </cell>
          <cell r="G4048" t="str">
            <v>FOAM-PE</v>
          </cell>
          <cell r="H4048" t="str">
            <v>SPG0317</v>
          </cell>
        </row>
        <row r="4049">
          <cell r="F4049" t="str">
            <v>5X20X280F</v>
          </cell>
          <cell r="G4049" t="str">
            <v>FOAM-PE</v>
          </cell>
          <cell r="H4049" t="str">
            <v>SPG0316</v>
          </cell>
        </row>
        <row r="4050">
          <cell r="F4050" t="str">
            <v>10X20X40</v>
          </cell>
          <cell r="G4050" t="str">
            <v>SPONGE</v>
          </cell>
          <cell r="H4050" t="str">
            <v>SPG0312</v>
          </cell>
        </row>
        <row r="4051">
          <cell r="F4051" t="str">
            <v>3X30X50F</v>
          </cell>
          <cell r="G4051" t="str">
            <v>FOAM-PE</v>
          </cell>
          <cell r="H4051" t="str">
            <v>SPG0311</v>
          </cell>
        </row>
        <row r="4052">
          <cell r="F4052" t="str">
            <v>5X20X120</v>
          </cell>
          <cell r="G4052" t="str">
            <v>SPONGE</v>
          </cell>
          <cell r="H4052" t="str">
            <v>SPG0305</v>
          </cell>
        </row>
        <row r="4053">
          <cell r="F4053" t="str">
            <v>3X30X80</v>
          </cell>
          <cell r="G4053" t="str">
            <v>SPONGE</v>
          </cell>
          <cell r="H4053" t="str">
            <v>SPG0304</v>
          </cell>
        </row>
        <row r="4054">
          <cell r="F4054" t="str">
            <v>5X30X450F</v>
          </cell>
          <cell r="G4054" t="str">
            <v>FOAM-PE</v>
          </cell>
          <cell r="H4054" t="str">
            <v>SPG0300</v>
          </cell>
        </row>
        <row r="4055">
          <cell r="F4055" t="str">
            <v>5X100X170F</v>
          </cell>
          <cell r="G4055" t="str">
            <v>FOAM-PE</v>
          </cell>
          <cell r="H4055" t="str">
            <v>SPG0298</v>
          </cell>
        </row>
        <row r="4056">
          <cell r="F4056" t="str">
            <v>3X20X50F</v>
          </cell>
          <cell r="G4056" t="str">
            <v>FOAM-PE</v>
          </cell>
          <cell r="H4056" t="str">
            <v>SPG0297</v>
          </cell>
        </row>
        <row r="4057">
          <cell r="F4057" t="str">
            <v>5X30X130F</v>
          </cell>
          <cell r="G4057" t="str">
            <v>FOAM-PE</v>
          </cell>
          <cell r="H4057" t="str">
            <v>SPG0296</v>
          </cell>
        </row>
        <row r="4058">
          <cell r="F4058" t="str">
            <v>5X50X160F</v>
          </cell>
          <cell r="G4058" t="str">
            <v>FOAM-PE</v>
          </cell>
          <cell r="H4058" t="str">
            <v>SPG0295</v>
          </cell>
        </row>
        <row r="4059">
          <cell r="F4059" t="str">
            <v>3X25X40</v>
          </cell>
          <cell r="G4059" t="str">
            <v>SPONGE</v>
          </cell>
          <cell r="H4059" t="str">
            <v>SPG0294</v>
          </cell>
        </row>
        <row r="4060">
          <cell r="F4060" t="str">
            <v>5X170X150F</v>
          </cell>
          <cell r="G4060" t="str">
            <v>FOAM-PE</v>
          </cell>
          <cell r="H4060" t="str">
            <v>SPG0293</v>
          </cell>
        </row>
        <row r="4061">
          <cell r="F4061" t="str">
            <v>10X50X100</v>
          </cell>
          <cell r="G4061" t="str">
            <v>SPONGE</v>
          </cell>
          <cell r="H4061" t="str">
            <v>SPG0291</v>
          </cell>
        </row>
        <row r="4062">
          <cell r="F4062" t="str">
            <v>5X20X200F</v>
          </cell>
          <cell r="G4062" t="str">
            <v>FOAM-PE</v>
          </cell>
          <cell r="H4062" t="str">
            <v>SPG0288</v>
          </cell>
        </row>
        <row r="4063">
          <cell r="F4063" t="str">
            <v>10X10X100(NY)</v>
          </cell>
          <cell r="G4063" t="str">
            <v>SPONGE</v>
          </cell>
          <cell r="H4063" t="str">
            <v>SPG0286</v>
          </cell>
        </row>
        <row r="4064">
          <cell r="F4064" t="str">
            <v>10X50X100(NY)</v>
          </cell>
          <cell r="G4064" t="str">
            <v>SPONGE</v>
          </cell>
          <cell r="H4064" t="str">
            <v>SPG0285</v>
          </cell>
        </row>
        <row r="4065">
          <cell r="F4065" t="str">
            <v>10X40X100(NY)</v>
          </cell>
          <cell r="G4065" t="str">
            <v>SPONGE</v>
          </cell>
          <cell r="H4065" t="str">
            <v>SPG0284</v>
          </cell>
        </row>
        <row r="4066">
          <cell r="F4066" t="str">
            <v>3X30X100</v>
          </cell>
          <cell r="G4066" t="str">
            <v>SPONGE</v>
          </cell>
          <cell r="H4066" t="str">
            <v>SPG0282</v>
          </cell>
        </row>
        <row r="4067">
          <cell r="F4067" t="str">
            <v>10X80X100</v>
          </cell>
          <cell r="G4067" t="str">
            <v>SPONGE</v>
          </cell>
          <cell r="H4067" t="str">
            <v>SPG0280</v>
          </cell>
        </row>
        <row r="4068">
          <cell r="F4068" t="str">
            <v>5X25X120F</v>
          </cell>
          <cell r="G4068" t="str">
            <v>FOAM-PE</v>
          </cell>
          <cell r="H4068" t="str">
            <v>SPG0278</v>
          </cell>
        </row>
        <row r="4069">
          <cell r="F4069" t="str">
            <v>5X20X50F</v>
          </cell>
          <cell r="G4069" t="str">
            <v>FOAM-PE</v>
          </cell>
          <cell r="H4069" t="str">
            <v>SPG0277</v>
          </cell>
        </row>
        <row r="4070">
          <cell r="F4070" t="str">
            <v>5X50X200F</v>
          </cell>
          <cell r="G4070" t="str">
            <v>FOAM-PE</v>
          </cell>
          <cell r="H4070" t="str">
            <v>SPG0274</v>
          </cell>
        </row>
        <row r="4071">
          <cell r="F4071" t="str">
            <v>3X20X50</v>
          </cell>
          <cell r="G4071" t="str">
            <v>SPONGE</v>
          </cell>
          <cell r="H4071" t="str">
            <v>SPG0273</v>
          </cell>
        </row>
        <row r="4072">
          <cell r="F4072" t="str">
            <v>3X30X60</v>
          </cell>
          <cell r="G4072" t="str">
            <v>SPONGE</v>
          </cell>
          <cell r="H4072" t="str">
            <v>SPG0272</v>
          </cell>
        </row>
        <row r="4073">
          <cell r="F4073" t="str">
            <v>3X50X70F</v>
          </cell>
          <cell r="G4073" t="str">
            <v>FOAM-PE</v>
          </cell>
          <cell r="H4073" t="str">
            <v>SPG0271</v>
          </cell>
        </row>
        <row r="4074">
          <cell r="F4074" t="str">
            <v>5X20X100</v>
          </cell>
          <cell r="G4074" t="str">
            <v>SPONGE</v>
          </cell>
          <cell r="H4074" t="str">
            <v>SPG0270</v>
          </cell>
        </row>
        <row r="4075">
          <cell r="F4075" t="str">
            <v>3X50X50</v>
          </cell>
          <cell r="G4075" t="str">
            <v>SPONGE</v>
          </cell>
          <cell r="H4075" t="str">
            <v>SPG0269</v>
          </cell>
        </row>
        <row r="4076">
          <cell r="F4076" t="str">
            <v>5X50X180F</v>
          </cell>
          <cell r="G4076" t="str">
            <v>FOAM-PE</v>
          </cell>
          <cell r="H4076" t="str">
            <v>SPG0267</v>
          </cell>
        </row>
        <row r="4077">
          <cell r="F4077" t="str">
            <v>5X40X165(EPDM)</v>
          </cell>
          <cell r="G4077" t="str">
            <v>EPDM</v>
          </cell>
          <cell r="H4077" t="str">
            <v>SPG0265</v>
          </cell>
        </row>
        <row r="4078">
          <cell r="F4078" t="str">
            <v>5X60X60</v>
          </cell>
          <cell r="G4078" t="str">
            <v>SPONGE</v>
          </cell>
          <cell r="H4078" t="str">
            <v>SPG0261</v>
          </cell>
        </row>
        <row r="4079">
          <cell r="F4079" t="str">
            <v>5X40X40</v>
          </cell>
          <cell r="G4079" t="str">
            <v>SPONGE</v>
          </cell>
          <cell r="H4079" t="str">
            <v>SPG0259</v>
          </cell>
        </row>
        <row r="4080">
          <cell r="F4080" t="str">
            <v>5X40X100(NY)</v>
          </cell>
          <cell r="G4080" t="str">
            <v>SPONGE</v>
          </cell>
          <cell r="H4080" t="str">
            <v>SPG0258</v>
          </cell>
        </row>
        <row r="4081">
          <cell r="F4081" t="str">
            <v>10X50X50</v>
          </cell>
          <cell r="G4081" t="str">
            <v>SPONGE</v>
          </cell>
          <cell r="H4081" t="str">
            <v>SPG0252</v>
          </cell>
        </row>
        <row r="4082">
          <cell r="F4082" t="str">
            <v>5X40X80F</v>
          </cell>
          <cell r="G4082" t="str">
            <v>FOAM-PE</v>
          </cell>
          <cell r="H4082" t="str">
            <v>SPG0250</v>
          </cell>
        </row>
        <row r="4083">
          <cell r="F4083" t="str">
            <v>DA62-01272A</v>
          </cell>
          <cell r="G4083" t="str">
            <v>SEAL-FIXER DEODORIZER</v>
          </cell>
          <cell r="H4083" t="str">
            <v>SPG0248</v>
          </cell>
        </row>
        <row r="4084">
          <cell r="F4084" t="str">
            <v>5X50X250F</v>
          </cell>
          <cell r="G4084" t="str">
            <v>FOAM-PE</v>
          </cell>
          <cell r="H4084" t="str">
            <v>SPG0247</v>
          </cell>
        </row>
        <row r="4085">
          <cell r="F4085" t="str">
            <v>5X50X70(EPDM)</v>
          </cell>
          <cell r="G4085" t="str">
            <v>EPDM</v>
          </cell>
          <cell r="H4085" t="str">
            <v>SPG0245</v>
          </cell>
        </row>
        <row r="4086">
          <cell r="F4086" t="str">
            <v>3X20X150F</v>
          </cell>
          <cell r="G4086" t="str">
            <v>FOAM-PE</v>
          </cell>
          <cell r="H4086" t="str">
            <v>SPG0241</v>
          </cell>
        </row>
        <row r="4087">
          <cell r="F4087" t="str">
            <v>DA62-01725A</v>
          </cell>
          <cell r="G4087" t="str">
            <v>SUPPORT HOUSING HING</v>
          </cell>
          <cell r="H4087" t="str">
            <v>SPG0239</v>
          </cell>
        </row>
        <row r="4088">
          <cell r="F4088" t="str">
            <v>5X120X200F</v>
          </cell>
          <cell r="G4088" t="str">
            <v>FOAM-PE</v>
          </cell>
          <cell r="H4088" t="str">
            <v>SPG0237</v>
          </cell>
        </row>
        <row r="4089">
          <cell r="F4089" t="str">
            <v>3X40X25(EPDM)</v>
          </cell>
          <cell r="G4089" t="str">
            <v>EPDM</v>
          </cell>
          <cell r="H4089" t="str">
            <v>SPG0233</v>
          </cell>
        </row>
        <row r="4090">
          <cell r="F4090" t="str">
            <v>3X40X85(EPDM)</v>
          </cell>
          <cell r="G4090" t="str">
            <v>EPDM</v>
          </cell>
          <cell r="H4090" t="str">
            <v>SPG0231</v>
          </cell>
        </row>
        <row r="4091">
          <cell r="F4091" t="str">
            <v>3X40X100(EPDM)</v>
          </cell>
          <cell r="G4091" t="str">
            <v>EPDM</v>
          </cell>
          <cell r="H4091" t="str">
            <v>SPG0230</v>
          </cell>
        </row>
        <row r="4092">
          <cell r="F4092" t="str">
            <v>3X40X30(EPDM)</v>
          </cell>
          <cell r="G4092" t="str">
            <v>EPDM</v>
          </cell>
          <cell r="H4092" t="str">
            <v>SPG0229</v>
          </cell>
        </row>
        <row r="4093">
          <cell r="F4093" t="str">
            <v>10X100X100(NY)</v>
          </cell>
          <cell r="G4093" t="str">
            <v>SPONGE</v>
          </cell>
          <cell r="H4093" t="str">
            <v>SPG0227</v>
          </cell>
        </row>
        <row r="4094">
          <cell r="F4094" t="str">
            <v>5X30X70F</v>
          </cell>
          <cell r="G4094" t="str">
            <v>FOAM-PE</v>
          </cell>
          <cell r="H4094" t="str">
            <v>SPG0226</v>
          </cell>
        </row>
        <row r="4095">
          <cell r="F4095" t="str">
            <v>10X40X240</v>
          </cell>
          <cell r="G4095" t="str">
            <v>SPONGE</v>
          </cell>
          <cell r="H4095" t="str">
            <v>SPG0223</v>
          </cell>
        </row>
        <row r="4096">
          <cell r="F4096" t="str">
            <v>5X60X180(EPDM)</v>
          </cell>
          <cell r="G4096" t="str">
            <v>EPDM</v>
          </cell>
          <cell r="H4096" t="str">
            <v>SPG0220</v>
          </cell>
        </row>
        <row r="4097">
          <cell r="F4097" t="str">
            <v>2X40X45</v>
          </cell>
          <cell r="G4097" t="str">
            <v>FOAM-LEX</v>
          </cell>
          <cell r="H4097" t="str">
            <v>SPG0218</v>
          </cell>
        </row>
        <row r="4098">
          <cell r="F4098" t="str">
            <v>5X30X80F</v>
          </cell>
          <cell r="G4098" t="str">
            <v>FOAM-PE</v>
          </cell>
          <cell r="H4098" t="str">
            <v>SPG0214</v>
          </cell>
        </row>
        <row r="4099">
          <cell r="F4099" t="str">
            <v>10X80X100(NY)</v>
          </cell>
          <cell r="G4099" t="str">
            <v>SPONGE</v>
          </cell>
          <cell r="H4099" t="str">
            <v>SPG0211</v>
          </cell>
        </row>
        <row r="4100">
          <cell r="F4100" t="str">
            <v>2X40X70(WHT NY)</v>
          </cell>
          <cell r="G4100" t="str">
            <v>SPONGE</v>
          </cell>
          <cell r="H4100" t="str">
            <v>SPG0209</v>
          </cell>
        </row>
        <row r="4101">
          <cell r="F4101" t="str">
            <v>5X40X180(EPDM)</v>
          </cell>
          <cell r="G4101" t="str">
            <v>EPDM</v>
          </cell>
          <cell r="H4101" t="str">
            <v>SPG0208</v>
          </cell>
        </row>
        <row r="4102">
          <cell r="F4102" t="str">
            <v>3X5X110F</v>
          </cell>
          <cell r="G4102" t="str">
            <v>FOAM-PE</v>
          </cell>
          <cell r="H4102" t="str">
            <v>SPG0207</v>
          </cell>
        </row>
        <row r="4103">
          <cell r="F4103" t="str">
            <v>5X40X350F</v>
          </cell>
          <cell r="G4103" t="str">
            <v>FOAM-PE</v>
          </cell>
          <cell r="H4103" t="str">
            <v>SPG0206</v>
          </cell>
        </row>
        <row r="4104">
          <cell r="F4104" t="str">
            <v>3X90X150F</v>
          </cell>
          <cell r="G4104" t="str">
            <v>FOAM-PE</v>
          </cell>
          <cell r="H4104" t="str">
            <v>SPG0204</v>
          </cell>
        </row>
        <row r="4105">
          <cell r="F4105" t="str">
            <v>5X50X100(NY)</v>
          </cell>
          <cell r="G4105" t="str">
            <v>SPONGE</v>
          </cell>
          <cell r="H4105" t="str">
            <v>SPG0202</v>
          </cell>
        </row>
        <row r="4106">
          <cell r="F4106" t="str">
            <v>5X80X100(NY)</v>
          </cell>
          <cell r="G4106" t="str">
            <v>SPONGE</v>
          </cell>
          <cell r="H4106" t="str">
            <v>SPG0201</v>
          </cell>
        </row>
        <row r="4107">
          <cell r="F4107" t="str">
            <v>5X100X100(NY)</v>
          </cell>
          <cell r="G4107" t="str">
            <v>SPONGE</v>
          </cell>
          <cell r="H4107" t="str">
            <v>SPG0200</v>
          </cell>
        </row>
        <row r="4108">
          <cell r="F4108" t="str">
            <v>10X40X90</v>
          </cell>
          <cell r="G4108" t="str">
            <v>SPONGE</v>
          </cell>
          <cell r="H4108" t="str">
            <v>SPG0199</v>
          </cell>
        </row>
        <row r="4109">
          <cell r="F4109" t="str">
            <v>3X60X80F</v>
          </cell>
          <cell r="G4109" t="str">
            <v>FOAM-PE</v>
          </cell>
          <cell r="H4109" t="str">
            <v>SPG0197</v>
          </cell>
        </row>
        <row r="4110">
          <cell r="F4110" t="str">
            <v>5X20X80F</v>
          </cell>
          <cell r="G4110" t="str">
            <v>FOAM-PE</v>
          </cell>
          <cell r="H4110" t="str">
            <v>SPG0193</v>
          </cell>
        </row>
        <row r="4111">
          <cell r="F4111" t="str">
            <v>5X40X420F</v>
          </cell>
          <cell r="G4111" t="str">
            <v>FOAM-PE</v>
          </cell>
          <cell r="H4111" t="str">
            <v>SPG0192</v>
          </cell>
        </row>
        <row r="4112">
          <cell r="F4112" t="str">
            <v>5X50X60F</v>
          </cell>
          <cell r="G4112" t="str">
            <v>FOAM-PE</v>
          </cell>
          <cell r="H4112" t="str">
            <v>SPG0190</v>
          </cell>
        </row>
        <row r="4113">
          <cell r="F4113" t="str">
            <v>5X50X80F</v>
          </cell>
          <cell r="G4113" t="str">
            <v>FOAM-PE</v>
          </cell>
          <cell r="H4113" t="str">
            <v>SPG0189</v>
          </cell>
        </row>
        <row r="4114">
          <cell r="F4114" t="str">
            <v>10X30X100</v>
          </cell>
          <cell r="G4114" t="str">
            <v>SPONGE</v>
          </cell>
          <cell r="H4114" t="str">
            <v>SPG0188</v>
          </cell>
        </row>
        <row r="4115">
          <cell r="F4115" t="str">
            <v>5X80X420F</v>
          </cell>
          <cell r="G4115" t="str">
            <v>FOAM-PE</v>
          </cell>
          <cell r="H4115" t="str">
            <v>SPG0187</v>
          </cell>
        </row>
        <row r="4116">
          <cell r="F4116" t="str">
            <v>5X50X60</v>
          </cell>
          <cell r="G4116" t="str">
            <v>SPONGE</v>
          </cell>
          <cell r="H4116" t="str">
            <v>SPG0186</v>
          </cell>
        </row>
        <row r="4117">
          <cell r="F4117" t="str">
            <v>5X20X280(EPDM)</v>
          </cell>
          <cell r="G4117" t="str">
            <v>EPDM</v>
          </cell>
          <cell r="H4117" t="str">
            <v>SPG0184</v>
          </cell>
        </row>
        <row r="4118">
          <cell r="F4118" t="str">
            <v>5X50X130(EPDM)</v>
          </cell>
          <cell r="G4118" t="str">
            <v>EPDM</v>
          </cell>
          <cell r="H4118" t="str">
            <v>SPG0180</v>
          </cell>
        </row>
        <row r="4119">
          <cell r="F4119" t="str">
            <v>3X50X80</v>
          </cell>
          <cell r="G4119" t="str">
            <v>SPONGE</v>
          </cell>
          <cell r="H4119" t="str">
            <v>SPG0179</v>
          </cell>
        </row>
        <row r="4120">
          <cell r="F4120" t="str">
            <v>5X50X100</v>
          </cell>
          <cell r="G4120" t="str">
            <v>SPONGE</v>
          </cell>
          <cell r="H4120" t="str">
            <v>SPG0178</v>
          </cell>
        </row>
        <row r="4121">
          <cell r="F4121" t="str">
            <v>DA62-01725A(15T)</v>
          </cell>
          <cell r="G4121" t="str">
            <v>SEAL HARNESS MAIN</v>
          </cell>
          <cell r="H4121" t="str">
            <v>SPG0173</v>
          </cell>
        </row>
        <row r="4122">
          <cell r="F4122" t="str">
            <v>5X20X100F</v>
          </cell>
          <cell r="G4122" t="str">
            <v>FOAM-PE</v>
          </cell>
          <cell r="H4122" t="str">
            <v>SPG0168</v>
          </cell>
        </row>
        <row r="4123">
          <cell r="F4123" t="str">
            <v>5X40X110F</v>
          </cell>
          <cell r="G4123" t="str">
            <v>FOAM-PE</v>
          </cell>
          <cell r="H4123" t="str">
            <v>SPG0167</v>
          </cell>
        </row>
        <row r="4124">
          <cell r="F4124" t="str">
            <v>2X40X50</v>
          </cell>
          <cell r="G4124" t="str">
            <v>SPONGE</v>
          </cell>
          <cell r="H4124" t="str">
            <v>SPG0165</v>
          </cell>
        </row>
        <row r="4125">
          <cell r="F4125" t="str">
            <v>5X50X50</v>
          </cell>
          <cell r="G4125" t="str">
            <v>SPONGE</v>
          </cell>
          <cell r="H4125" t="str">
            <v>SPG0161</v>
          </cell>
        </row>
        <row r="4126">
          <cell r="F4126" t="str">
            <v>5X50X50F</v>
          </cell>
          <cell r="G4126" t="str">
            <v>FOAM-PE</v>
          </cell>
          <cell r="H4126" t="str">
            <v>SPG0160</v>
          </cell>
        </row>
        <row r="4127">
          <cell r="F4127" t="str">
            <v>2X20X40</v>
          </cell>
          <cell r="G4127" t="str">
            <v>SPONGE</v>
          </cell>
          <cell r="H4127" t="str">
            <v>SPG0159</v>
          </cell>
        </row>
        <row r="4128">
          <cell r="F4128" t="str">
            <v>3X30X120</v>
          </cell>
          <cell r="G4128" t="str">
            <v>SPONGE</v>
          </cell>
          <cell r="H4128" t="str">
            <v>SPG0154</v>
          </cell>
        </row>
        <row r="4129">
          <cell r="F4129" t="str">
            <v>5X50X220(EPDM)</v>
          </cell>
          <cell r="G4129" t="str">
            <v>EPDM</v>
          </cell>
          <cell r="H4129" t="str">
            <v>SPG0153</v>
          </cell>
        </row>
        <row r="4130">
          <cell r="F4130" t="str">
            <v>5X30X50</v>
          </cell>
          <cell r="G4130" t="str">
            <v>SPONGE</v>
          </cell>
          <cell r="H4130" t="str">
            <v>SPG0152</v>
          </cell>
        </row>
        <row r="4131">
          <cell r="F4131" t="str">
            <v>5X60X100(NY)</v>
          </cell>
          <cell r="G4131" t="str">
            <v>SPONGE</v>
          </cell>
          <cell r="H4131" t="str">
            <v>SPG0150</v>
          </cell>
        </row>
        <row r="4132">
          <cell r="F4132" t="str">
            <v>5X20X80</v>
          </cell>
          <cell r="G4132" t="str">
            <v>SPONGE</v>
          </cell>
          <cell r="H4132" t="str">
            <v>SPG0146</v>
          </cell>
        </row>
        <row r="4133">
          <cell r="F4133" t="str">
            <v>10X50X80</v>
          </cell>
          <cell r="G4133" t="str">
            <v>SPONGE</v>
          </cell>
          <cell r="H4133" t="str">
            <v>SPG0145</v>
          </cell>
        </row>
        <row r="4134">
          <cell r="F4134" t="str">
            <v>5X30X60</v>
          </cell>
          <cell r="G4134" t="str">
            <v>SPONGE</v>
          </cell>
          <cell r="H4134" t="str">
            <v>SPG0143</v>
          </cell>
        </row>
        <row r="4135">
          <cell r="F4135" t="str">
            <v>5X20X300F</v>
          </cell>
          <cell r="G4135" t="str">
            <v>FOAM-PE</v>
          </cell>
          <cell r="H4135" t="str">
            <v>SPG0142</v>
          </cell>
        </row>
        <row r="4136">
          <cell r="F4136" t="str">
            <v>2TX85X85(DA62-00124A)</v>
          </cell>
          <cell r="G4136" t="str">
            <v>SPONGE</v>
          </cell>
          <cell r="H4136" t="str">
            <v>SPG0138</v>
          </cell>
        </row>
        <row r="4137">
          <cell r="F4137" t="str">
            <v>10X20X80</v>
          </cell>
          <cell r="G4137" t="str">
            <v>SPONGE</v>
          </cell>
          <cell r="H4137" t="str">
            <v>SPG0135</v>
          </cell>
        </row>
        <row r="4138">
          <cell r="F4138" t="str">
            <v>10X40X300</v>
          </cell>
          <cell r="G4138" t="str">
            <v>SPONGE</v>
          </cell>
          <cell r="H4138" t="str">
            <v>SPG0133</v>
          </cell>
        </row>
        <row r="4139">
          <cell r="F4139" t="str">
            <v>DA62-01474A</v>
          </cell>
          <cell r="G4139" t="str">
            <v>SEAL CASE LAMP</v>
          </cell>
          <cell r="H4139" t="str">
            <v>SPG0132</v>
          </cell>
        </row>
        <row r="4140">
          <cell r="F4140" t="str">
            <v>DA62-01473A</v>
          </cell>
          <cell r="G4140" t="str">
            <v>SEAL CASE LAMP</v>
          </cell>
          <cell r="H4140" t="str">
            <v>SPG0131</v>
          </cell>
        </row>
        <row r="4141">
          <cell r="F4141" t="str">
            <v>5X100X100</v>
          </cell>
          <cell r="G4141" t="str">
            <v>SPONGE</v>
          </cell>
          <cell r="H4141" t="str">
            <v>SPG0129</v>
          </cell>
        </row>
        <row r="4142">
          <cell r="F4142" t="str">
            <v>10X100X100</v>
          </cell>
          <cell r="G4142" t="str">
            <v>SPONGE</v>
          </cell>
          <cell r="H4142" t="str">
            <v>SPG0128</v>
          </cell>
        </row>
        <row r="4143">
          <cell r="F4143" t="str">
            <v>10X40X110</v>
          </cell>
          <cell r="G4143" t="str">
            <v>SPONGE</v>
          </cell>
          <cell r="H4143" t="str">
            <v>SPG0126</v>
          </cell>
        </row>
        <row r="4144">
          <cell r="F4144" t="str">
            <v>10X40X200</v>
          </cell>
          <cell r="G4144" t="str">
            <v>SPONGE</v>
          </cell>
          <cell r="H4144" t="str">
            <v>SPG0125</v>
          </cell>
        </row>
        <row r="4145">
          <cell r="F4145" t="str">
            <v>3X40X250F(L)</v>
          </cell>
          <cell r="G4145" t="str">
            <v>FOAM-PE</v>
          </cell>
          <cell r="H4145" t="str">
            <v>SPG0124</v>
          </cell>
        </row>
        <row r="4146">
          <cell r="F4146" t="str">
            <v>5X60X180F(CUT)</v>
          </cell>
          <cell r="G4146" t="str">
            <v>FOAM-PE</v>
          </cell>
          <cell r="H4146" t="str">
            <v>SPG0122</v>
          </cell>
        </row>
        <row r="4147">
          <cell r="F4147" t="str">
            <v>DA62-01747A</v>
          </cell>
          <cell r="G4147" t="str">
            <v>SEAL CASE LAMP</v>
          </cell>
          <cell r="H4147" t="str">
            <v>SPG0117</v>
          </cell>
        </row>
        <row r="4148">
          <cell r="F4148" t="str">
            <v>5X50X130F</v>
          </cell>
          <cell r="G4148" t="str">
            <v>FOAM-PE</v>
          </cell>
          <cell r="H4148" t="str">
            <v>SPG0116</v>
          </cell>
        </row>
        <row r="4149">
          <cell r="F4149" t="str">
            <v>3X60X60F</v>
          </cell>
          <cell r="G4149" t="str">
            <v>FOAM-PE</v>
          </cell>
          <cell r="H4149" t="str">
            <v>SPG0115</v>
          </cell>
        </row>
        <row r="4150">
          <cell r="F4150" t="str">
            <v>5X50X180(EPDM)</v>
          </cell>
          <cell r="G4150" t="str">
            <v>EPDM</v>
          </cell>
          <cell r="H4150" t="str">
            <v>SPG0112</v>
          </cell>
        </row>
        <row r="4151">
          <cell r="F4151" t="str">
            <v>DA62-01586A</v>
          </cell>
          <cell r="G4151" t="str">
            <v>SEAL-CASE-OPTICAL</v>
          </cell>
          <cell r="H4151" t="str">
            <v>SPG0109</v>
          </cell>
        </row>
        <row r="4152">
          <cell r="F4152" t="str">
            <v>5X30X170F</v>
          </cell>
          <cell r="G4152" t="str">
            <v>FOAM-PE</v>
          </cell>
          <cell r="H4152" t="str">
            <v>SPG0108</v>
          </cell>
        </row>
        <row r="4153">
          <cell r="F4153" t="str">
            <v>3X40X110</v>
          </cell>
          <cell r="G4153" t="str">
            <v>SPONGE</v>
          </cell>
          <cell r="H4153" t="str">
            <v>SPG0105</v>
          </cell>
        </row>
        <row r="4154">
          <cell r="F4154" t="str">
            <v>25X35X20</v>
          </cell>
          <cell r="G4154" t="str">
            <v>SPONGE</v>
          </cell>
          <cell r="H4154" t="str">
            <v>SPG0104</v>
          </cell>
        </row>
        <row r="4155">
          <cell r="F4155" t="str">
            <v>5X30X180F</v>
          </cell>
          <cell r="G4155" t="str">
            <v>FOAM-PE</v>
          </cell>
          <cell r="H4155" t="str">
            <v>SPG0103</v>
          </cell>
        </row>
        <row r="4156">
          <cell r="F4156" t="str">
            <v>25X35X80</v>
          </cell>
          <cell r="G4156" t="str">
            <v>SPONGE</v>
          </cell>
          <cell r="H4156" t="str">
            <v>SPG0102</v>
          </cell>
        </row>
        <row r="4157">
          <cell r="F4157" t="str">
            <v>3X20X40</v>
          </cell>
          <cell r="G4157" t="str">
            <v>SPONGE</v>
          </cell>
          <cell r="H4157" t="str">
            <v>SPG0099</v>
          </cell>
        </row>
        <row r="4158">
          <cell r="F4158" t="str">
            <v>3X30X50</v>
          </cell>
          <cell r="G4158" t="str">
            <v>SPONGE</v>
          </cell>
          <cell r="H4158" t="str">
            <v>SPG0098</v>
          </cell>
        </row>
        <row r="4159">
          <cell r="F4159" t="str">
            <v>5X40X250</v>
          </cell>
          <cell r="G4159" t="str">
            <v>SPONGE</v>
          </cell>
          <cell r="H4159" t="str">
            <v>SPG0097</v>
          </cell>
        </row>
        <row r="4160">
          <cell r="F4160" t="str">
            <v>3X30X30</v>
          </cell>
          <cell r="G4160" t="str">
            <v>SPONGE</v>
          </cell>
          <cell r="H4160" t="str">
            <v>SPG0096</v>
          </cell>
        </row>
        <row r="4161">
          <cell r="F4161" t="str">
            <v>5X40X400F</v>
          </cell>
          <cell r="G4161" t="str">
            <v>FOAM-PE</v>
          </cell>
          <cell r="H4161" t="str">
            <v>SPG0094</v>
          </cell>
        </row>
        <row r="4162">
          <cell r="F4162" t="str">
            <v>5X40X150F</v>
          </cell>
          <cell r="G4162" t="str">
            <v>FOAM-PE</v>
          </cell>
          <cell r="H4162" t="str">
            <v>SPG0089</v>
          </cell>
        </row>
        <row r="4163">
          <cell r="F4163" t="str">
            <v>5X10X100</v>
          </cell>
          <cell r="G4163" t="str">
            <v>SEAL-SPONGE</v>
          </cell>
          <cell r="H4163" t="str">
            <v>SPG0088</v>
          </cell>
        </row>
        <row r="4164">
          <cell r="F4164" t="str">
            <v>5X40X450F</v>
          </cell>
          <cell r="G4164" t="str">
            <v>FOAM-PE</v>
          </cell>
          <cell r="H4164" t="str">
            <v>SPG0087</v>
          </cell>
        </row>
        <row r="4165">
          <cell r="F4165" t="str">
            <v>5X40X160</v>
          </cell>
          <cell r="G4165" t="str">
            <v>SPONGE</v>
          </cell>
          <cell r="H4165" t="str">
            <v>SPG0086</v>
          </cell>
        </row>
        <row r="4166">
          <cell r="F4166" t="str">
            <v>10X40X80</v>
          </cell>
          <cell r="G4166" t="str">
            <v>SPONGE</v>
          </cell>
          <cell r="H4166" t="str">
            <v>SPG0085</v>
          </cell>
        </row>
        <row r="4167">
          <cell r="F4167" t="str">
            <v>5X30X300F</v>
          </cell>
          <cell r="G4167" t="str">
            <v>FOAM-PE</v>
          </cell>
          <cell r="H4167" t="str">
            <v>SPG0083</v>
          </cell>
        </row>
        <row r="4168">
          <cell r="F4168" t="str">
            <v>5X40X160F</v>
          </cell>
          <cell r="G4168" t="str">
            <v>FOAM-PE</v>
          </cell>
          <cell r="H4168" t="str">
            <v>SPG0080</v>
          </cell>
        </row>
        <row r="4169">
          <cell r="F4169" t="str">
            <v>5X50X150(EPDM)</v>
          </cell>
          <cell r="G4169" t="str">
            <v>EPDM</v>
          </cell>
          <cell r="H4169" t="str">
            <v>SPG0075</v>
          </cell>
        </row>
        <row r="4170">
          <cell r="F4170" t="str">
            <v>5X30X50F</v>
          </cell>
          <cell r="G4170" t="str">
            <v>FOAM-PE</v>
          </cell>
          <cell r="H4170" t="str">
            <v>SPG0074</v>
          </cell>
        </row>
        <row r="4171">
          <cell r="F4171" t="str">
            <v>5X30X200F</v>
          </cell>
          <cell r="G4171" t="str">
            <v>FOAM-PE</v>
          </cell>
          <cell r="H4171" t="str">
            <v>SPG0073</v>
          </cell>
        </row>
        <row r="4172">
          <cell r="F4172" t="str">
            <v>5X50X260F</v>
          </cell>
          <cell r="G4172" t="str">
            <v>FOAM-PE</v>
          </cell>
          <cell r="H4172" t="str">
            <v>SPG0072</v>
          </cell>
        </row>
        <row r="4173">
          <cell r="F4173" t="str">
            <v>5X50X450F</v>
          </cell>
          <cell r="G4173" t="str">
            <v>FOAM-PE</v>
          </cell>
          <cell r="H4173" t="str">
            <v>SPG0070</v>
          </cell>
        </row>
        <row r="4174">
          <cell r="F4174" t="str">
            <v>5X40X300F</v>
          </cell>
          <cell r="G4174" t="str">
            <v>FOAM-PE</v>
          </cell>
          <cell r="H4174" t="str">
            <v>SPG0068</v>
          </cell>
        </row>
        <row r="4175">
          <cell r="F4175" t="str">
            <v>5X30X120</v>
          </cell>
          <cell r="G4175" t="str">
            <v>SPONGE</v>
          </cell>
          <cell r="H4175" t="str">
            <v>SPG0065</v>
          </cell>
        </row>
        <row r="4176">
          <cell r="F4176" t="str">
            <v>5X50X80</v>
          </cell>
          <cell r="G4176" t="str">
            <v>SPONGE</v>
          </cell>
          <cell r="H4176" t="str">
            <v>SPG0062</v>
          </cell>
        </row>
        <row r="4177">
          <cell r="F4177" t="str">
            <v>5X40X150</v>
          </cell>
          <cell r="G4177" t="str">
            <v>SPONGE</v>
          </cell>
          <cell r="H4177" t="str">
            <v>SPG0058</v>
          </cell>
        </row>
        <row r="4178">
          <cell r="F4178" t="str">
            <v>5X60X80</v>
          </cell>
          <cell r="G4178" t="str">
            <v>SPONGE</v>
          </cell>
          <cell r="H4178" t="str">
            <v>SPG0057</v>
          </cell>
        </row>
        <row r="4179">
          <cell r="F4179" t="str">
            <v>10X40X150</v>
          </cell>
          <cell r="G4179" t="str">
            <v>SPONGE</v>
          </cell>
          <cell r="H4179" t="str">
            <v>SPG0055</v>
          </cell>
        </row>
        <row r="4180">
          <cell r="F4180" t="str">
            <v>3X40X50</v>
          </cell>
          <cell r="G4180" t="str">
            <v>SPONGE</v>
          </cell>
          <cell r="H4180" t="str">
            <v>SPG0054</v>
          </cell>
        </row>
        <row r="4181">
          <cell r="F4181" t="str">
            <v>5X80X100</v>
          </cell>
          <cell r="G4181" t="str">
            <v>SPONGE</v>
          </cell>
          <cell r="H4181" t="str">
            <v>SPG0053</v>
          </cell>
        </row>
        <row r="4182">
          <cell r="F4182" t="str">
            <v>10X40X120</v>
          </cell>
          <cell r="G4182" t="str">
            <v>SPONGE</v>
          </cell>
          <cell r="H4182" t="str">
            <v>SPG0050</v>
          </cell>
        </row>
        <row r="4183">
          <cell r="F4183" t="str">
            <v>5X30X60(OJC)</v>
          </cell>
          <cell r="G4183" t="str">
            <v>OJC SEAL-SPONGE</v>
          </cell>
          <cell r="H4183" t="str">
            <v>SPG0047</v>
          </cell>
        </row>
        <row r="4184">
          <cell r="F4184" t="str">
            <v>3X12X60</v>
          </cell>
          <cell r="G4184" t="str">
            <v>FOAM-LEX</v>
          </cell>
          <cell r="H4184" t="str">
            <v>SPG0031</v>
          </cell>
        </row>
        <row r="4185">
          <cell r="F4185" t="str">
            <v>5X40X210F</v>
          </cell>
          <cell r="G4185" t="str">
            <v>FOAM-PE</v>
          </cell>
          <cell r="H4185" t="str">
            <v>SPG0029</v>
          </cell>
        </row>
        <row r="4186">
          <cell r="F4186" t="str">
            <v>5X80X150F</v>
          </cell>
          <cell r="G4186" t="str">
            <v>FOAM-PE</v>
          </cell>
          <cell r="H4186" t="str">
            <v>SPG0028</v>
          </cell>
        </row>
        <row r="4187">
          <cell r="F4187" t="str">
            <v>5X20X250F</v>
          </cell>
          <cell r="G4187" t="str">
            <v>FOAM-PE</v>
          </cell>
          <cell r="H4187" t="str">
            <v>SPG0026</v>
          </cell>
        </row>
        <row r="4188">
          <cell r="F4188" t="str">
            <v>5X50X150F</v>
          </cell>
          <cell r="G4188" t="str">
            <v>FOAM-PE</v>
          </cell>
          <cell r="H4188" t="str">
            <v>SPG0025</v>
          </cell>
        </row>
        <row r="4189">
          <cell r="F4189" t="str">
            <v>5X15X40F</v>
          </cell>
          <cell r="G4189" t="str">
            <v>FOAM-PE</v>
          </cell>
          <cell r="H4189" t="str">
            <v>SPG0024</v>
          </cell>
        </row>
        <row r="4190">
          <cell r="F4190" t="str">
            <v>5X120X150F</v>
          </cell>
          <cell r="G4190" t="str">
            <v>FOAM-PE</v>
          </cell>
          <cell r="H4190" t="str">
            <v>SPG0023</v>
          </cell>
        </row>
        <row r="4191">
          <cell r="F4191" t="str">
            <v>5X40X80</v>
          </cell>
          <cell r="G4191" t="str">
            <v>SPONGE</v>
          </cell>
          <cell r="H4191" t="str">
            <v>SPG0017</v>
          </cell>
        </row>
        <row r="4192">
          <cell r="F4192" t="str">
            <v>5X25X50F</v>
          </cell>
          <cell r="G4192" t="str">
            <v>FOAM-PE</v>
          </cell>
          <cell r="H4192" t="str">
            <v>SPG0016</v>
          </cell>
        </row>
        <row r="4193">
          <cell r="F4193" t="str">
            <v>5X10X210</v>
          </cell>
          <cell r="G4193" t="str">
            <v>SPONGE</v>
          </cell>
          <cell r="H4193" t="str">
            <v>SPG0012</v>
          </cell>
        </row>
        <row r="4194">
          <cell r="F4194" t="str">
            <v>5X40X120</v>
          </cell>
          <cell r="G4194" t="str">
            <v>SPONGE</v>
          </cell>
          <cell r="H4194" t="str">
            <v>SPG0011</v>
          </cell>
        </row>
        <row r="4195">
          <cell r="F4195" t="str">
            <v>5X20X110</v>
          </cell>
          <cell r="G4195" t="str">
            <v>SPONGE</v>
          </cell>
          <cell r="H4195" t="str">
            <v>SPG0010</v>
          </cell>
        </row>
        <row r="4196">
          <cell r="F4196" t="str">
            <v>10X40X160</v>
          </cell>
          <cell r="G4196" t="str">
            <v>SPONGE</v>
          </cell>
          <cell r="H4196" t="str">
            <v>SPG0007</v>
          </cell>
        </row>
        <row r="4197">
          <cell r="F4197" t="str">
            <v>5X15X40</v>
          </cell>
          <cell r="G4197" t="str">
            <v>SPONGE</v>
          </cell>
          <cell r="H4197" t="str">
            <v>SPG0004</v>
          </cell>
        </row>
        <row r="4198">
          <cell r="F4198" t="str">
            <v>5X30X80</v>
          </cell>
          <cell r="G4198" t="str">
            <v>SPONGE</v>
          </cell>
          <cell r="H4198" t="str">
            <v>SPG0003</v>
          </cell>
        </row>
        <row r="4199">
          <cell r="F4199" t="str">
            <v>10X40X190</v>
          </cell>
          <cell r="G4199" t="str">
            <v>SPONGE</v>
          </cell>
          <cell r="H4199" t="str">
            <v>SPG0002</v>
          </cell>
        </row>
        <row r="4200">
          <cell r="F4200" t="str">
            <v>DA61-02161A</v>
          </cell>
          <cell r="G4200" t="str">
            <v>SPONGE</v>
          </cell>
          <cell r="H4200" t="str">
            <v>SPG0001</v>
          </cell>
        </row>
        <row r="4201">
          <cell r="F4201" t="str">
            <v>물류비</v>
          </cell>
          <cell r="G4201" t="str">
            <v>물류비</v>
          </cell>
          <cell r="H4201" t="str">
            <v>SJOB002</v>
          </cell>
        </row>
        <row r="4202">
          <cell r="F4202" t="str">
            <v>SURCHARGE</v>
          </cell>
          <cell r="G4202" t="str">
            <v>SURCHARGE</v>
          </cell>
          <cell r="H4202" t="str">
            <v>SJOB001</v>
          </cell>
        </row>
        <row r="4203">
          <cell r="F4203" t="str">
            <v>35180-3609 / DEM2-00184</v>
          </cell>
          <cell r="G4203" t="str">
            <v>HOUSING</v>
          </cell>
          <cell r="H4203" t="str">
            <v>SHOU0099</v>
          </cell>
        </row>
        <row r="4204">
          <cell r="F4204" t="str">
            <v>35180-3409 / DEM2-00194</v>
          </cell>
          <cell r="G4204" t="str">
            <v>HOUSING</v>
          </cell>
          <cell r="H4204" t="str">
            <v>SHOU0098</v>
          </cell>
        </row>
        <row r="4205">
          <cell r="F4205" t="str">
            <v>35180-0400 / DEM2-03191</v>
          </cell>
          <cell r="G4205" t="str">
            <v>HOUSING</v>
          </cell>
          <cell r="H4205" t="str">
            <v>SHOU0097</v>
          </cell>
        </row>
        <row r="4206">
          <cell r="F4206" t="str">
            <v>35151-0210 / DEM2-03341</v>
          </cell>
          <cell r="G4206" t="str">
            <v>HOUSING</v>
          </cell>
          <cell r="H4206" t="str">
            <v>SHOU0096</v>
          </cell>
        </row>
        <row r="4207">
          <cell r="F4207" t="str">
            <v>35150-0610 / DEM2-03201</v>
          </cell>
          <cell r="G4207" t="str">
            <v>HOUSING</v>
          </cell>
          <cell r="H4207" t="str">
            <v>SHOU0095</v>
          </cell>
        </row>
        <row r="4208">
          <cell r="F4208" t="str">
            <v>35150-0412 / DEM2-03212</v>
          </cell>
          <cell r="G4208" t="str">
            <v>HOUSING</v>
          </cell>
          <cell r="H4208" t="str">
            <v>SHOU0094</v>
          </cell>
        </row>
        <row r="4209">
          <cell r="F4209" t="str">
            <v>35150-0410 / DEM2-03211</v>
          </cell>
          <cell r="G4209" t="str">
            <v>HOUSING</v>
          </cell>
          <cell r="H4209" t="str">
            <v>SHOU0093</v>
          </cell>
        </row>
        <row r="4210">
          <cell r="F4210" t="str">
            <v>35150-0210 / DEM1-03361</v>
          </cell>
          <cell r="G4210" t="str">
            <v>HOUSING</v>
          </cell>
          <cell r="H4210" t="str">
            <v>SHOU0092</v>
          </cell>
        </row>
        <row r="4211">
          <cell r="F4211" t="str">
            <v>35150-0204 / DEM1-03353</v>
          </cell>
          <cell r="G4211" t="str">
            <v>HOUSING</v>
          </cell>
          <cell r="H4211" t="str">
            <v>SHOU0091</v>
          </cell>
        </row>
        <row r="4212">
          <cell r="F4212" t="str">
            <v>35150-0200 / DEM1-03351</v>
          </cell>
          <cell r="G4212" t="str">
            <v>HOUSING</v>
          </cell>
          <cell r="H4212" t="str">
            <v>SHOU0090</v>
          </cell>
        </row>
        <row r="4213">
          <cell r="F4213" t="str">
            <v>25045HP-03AZ(YEL) / DEM2-E0031(GWIT)</v>
          </cell>
          <cell r="G4213" t="str">
            <v>HOUSING</v>
          </cell>
          <cell r="H4213" t="str">
            <v>SHOU0089</v>
          </cell>
        </row>
        <row r="4214">
          <cell r="F4214" t="str">
            <v>35150-0319 / MG625308T</v>
          </cell>
          <cell r="G4214" t="str">
            <v>HOUSING</v>
          </cell>
          <cell r="H4214" t="str">
            <v>SHOU0088</v>
          </cell>
        </row>
        <row r="4215">
          <cell r="F4215" t="str">
            <v>20003HS-28 / WB20M-028-411</v>
          </cell>
          <cell r="G4215" t="str">
            <v>HOUSING</v>
          </cell>
          <cell r="H4215" t="str">
            <v>SHOU0087</v>
          </cell>
        </row>
        <row r="4216">
          <cell r="F4216" t="str">
            <v>20003HS-26 / WB20M-026-411</v>
          </cell>
          <cell r="G4216" t="str">
            <v>HOUSING</v>
          </cell>
          <cell r="H4216" t="str">
            <v>SHOU0086</v>
          </cell>
        </row>
        <row r="4217">
          <cell r="F4217" t="str">
            <v>20003HS-24 / WB20M-024-411</v>
          </cell>
          <cell r="G4217" t="str">
            <v>HOUSING</v>
          </cell>
          <cell r="H4217" t="str">
            <v>SHOU0085</v>
          </cell>
        </row>
        <row r="4218">
          <cell r="F4218" t="str">
            <v>35150-4219 / DEM1-00363</v>
          </cell>
          <cell r="G4218" t="str">
            <v>HOUSING</v>
          </cell>
          <cell r="H4218" t="str">
            <v>SHOU0084</v>
          </cell>
        </row>
        <row r="4219">
          <cell r="F4219" t="str">
            <v>35151-0319 / DEM2-00321</v>
          </cell>
          <cell r="G4219" t="str">
            <v>HOUSING</v>
          </cell>
          <cell r="H4219" t="str">
            <v>SHOU0083</v>
          </cell>
        </row>
        <row r="4220">
          <cell r="F4220" t="str">
            <v>YLP-03V-WGL1-Y / WW45A-003-271</v>
          </cell>
          <cell r="G4220" t="str">
            <v>HOUSING</v>
          </cell>
          <cell r="H4220" t="str">
            <v>SHOU0082</v>
          </cell>
        </row>
        <row r="4221">
          <cell r="F4221" t="str">
            <v>35150-0419 / DEM2-00211</v>
          </cell>
          <cell r="G4221" t="str">
            <v>HOUSING</v>
          </cell>
          <cell r="H4221" t="str">
            <v>SHOU0081</v>
          </cell>
        </row>
        <row r="4222">
          <cell r="F4222" t="str">
            <v>YH396-03VR(BK) / SC51101-031A(BK)</v>
          </cell>
          <cell r="G4222" t="str">
            <v>HOUSING</v>
          </cell>
          <cell r="H4222" t="str">
            <v>SHOU0080</v>
          </cell>
        </row>
        <row r="4223">
          <cell r="F4223" t="str">
            <v>YLP-12VA-WGL1-Y / WW45A-012-273</v>
          </cell>
          <cell r="G4223" t="str">
            <v>HOUSING</v>
          </cell>
          <cell r="H4223" t="str">
            <v>SHOU0079</v>
          </cell>
        </row>
        <row r="4224">
          <cell r="F4224" t="str">
            <v>YLP-20V-WGL1-Y / WW45A-020-273</v>
          </cell>
          <cell r="G4224" t="str">
            <v>HOUSING</v>
          </cell>
          <cell r="H4224" t="str">
            <v>SHOU0078</v>
          </cell>
        </row>
        <row r="4225">
          <cell r="F4225" t="str">
            <v>YLR-20V-WGL1-Y / WW45A-020-173</v>
          </cell>
          <cell r="G4225" t="str">
            <v>HOUSING</v>
          </cell>
          <cell r="H4225" t="str">
            <v>SHOU0077</v>
          </cell>
        </row>
        <row r="4226">
          <cell r="F4226" t="str">
            <v>35965-0220 / MG615697-002</v>
          </cell>
          <cell r="G4226" t="str">
            <v>HOUSING</v>
          </cell>
          <cell r="H4226" t="str">
            <v>SHOU0076</v>
          </cell>
        </row>
        <row r="4227">
          <cell r="F4227" t="str">
            <v>YLP-08V-WGL1-Y / WW45A-008-273</v>
          </cell>
          <cell r="G4227" t="str">
            <v>HOUSING</v>
          </cell>
          <cell r="H4227" t="str">
            <v>SHOU0075</v>
          </cell>
        </row>
        <row r="4228">
          <cell r="F4228" t="str">
            <v>YLR-08V-WGL1-Y / WW45A-008-173</v>
          </cell>
          <cell r="G4228" t="str">
            <v>HOUSING</v>
          </cell>
          <cell r="H4228" t="str">
            <v>SHOU0074</v>
          </cell>
        </row>
        <row r="4229">
          <cell r="F4229" t="str">
            <v>YH396-03VR(BL) / SC51101-031A(BL)</v>
          </cell>
          <cell r="G4229" t="str">
            <v>HOUSING</v>
          </cell>
          <cell r="H4229" t="str">
            <v>SHOU0073</v>
          </cell>
        </row>
        <row r="4230">
          <cell r="F4230" t="str">
            <v>YLR-12VA-WGL1-Y / WW45A-012-173</v>
          </cell>
          <cell r="G4230" t="str">
            <v>HOUSING</v>
          </cell>
          <cell r="H4230" t="str">
            <v>SHOU0072</v>
          </cell>
        </row>
        <row r="4231">
          <cell r="F4231" t="str">
            <v>YLR-04V-WGL1-Y / WW45A-004-173</v>
          </cell>
          <cell r="G4231" t="str">
            <v>HOUSING</v>
          </cell>
          <cell r="H4231" t="str">
            <v>SHOU0071</v>
          </cell>
        </row>
        <row r="4232">
          <cell r="F4232" t="str">
            <v>YLR-04VF / WW45A-004-174</v>
          </cell>
          <cell r="G4232" t="str">
            <v>HOUSING</v>
          </cell>
          <cell r="H4232" t="str">
            <v>SHOU0070</v>
          </cell>
        </row>
        <row r="4233">
          <cell r="F4233" t="str">
            <v>YH396-07VR(BL) / SC51101-071A(BL)</v>
          </cell>
          <cell r="G4233" t="str">
            <v>HOUSING</v>
          </cell>
          <cell r="H4233" t="str">
            <v>SHOU0069</v>
          </cell>
        </row>
        <row r="4234">
          <cell r="F4234" t="str">
            <v>YLR-10VA-3-WGL1-Y / WW45A-010-176</v>
          </cell>
          <cell r="G4234" t="str">
            <v>HOUSING</v>
          </cell>
          <cell r="H4234" t="str">
            <v>SHOU0068</v>
          </cell>
        </row>
        <row r="4235">
          <cell r="F4235" t="str">
            <v>YLP-10VA-3-WGL1-Y / WW45A-010-276</v>
          </cell>
          <cell r="G4235" t="str">
            <v>HOUSING</v>
          </cell>
          <cell r="H4235" t="str">
            <v>SHOU0067</v>
          </cell>
        </row>
        <row r="4236">
          <cell r="F4236" t="str">
            <v>SMH250-09L(RE) / WB25B-009-416</v>
          </cell>
          <cell r="G4236" t="str">
            <v>HOUSING</v>
          </cell>
          <cell r="H4236" t="str">
            <v>SHOU0066</v>
          </cell>
        </row>
        <row r="4237">
          <cell r="F4237" t="str">
            <v>YH396-05VR(RED) / SC51101-051A(RE)</v>
          </cell>
          <cell r="G4237" t="str">
            <v>HOUSING</v>
          </cell>
          <cell r="H4237" t="str">
            <v>SHOU0065</v>
          </cell>
        </row>
        <row r="4238">
          <cell r="F4238" t="str">
            <v>YH396-03VR(RE) / SC51101-031A(RE)</v>
          </cell>
          <cell r="G4238" t="str">
            <v>HOUSING</v>
          </cell>
          <cell r="H4238" t="str">
            <v>SHOU0064</v>
          </cell>
        </row>
        <row r="4239">
          <cell r="F4239" t="str">
            <v>35151-3219 / DEM2-00344</v>
          </cell>
          <cell r="G4239" t="str">
            <v>HOUSING</v>
          </cell>
          <cell r="H4239" t="str">
            <v>SHOU0063</v>
          </cell>
        </row>
        <row r="4240">
          <cell r="F4240" t="str">
            <v>YH396-03VR(YEL) / SC51101-031A(YE)</v>
          </cell>
          <cell r="G4240" t="str">
            <v>HOUSING</v>
          </cell>
          <cell r="H4240" t="str">
            <v>SHOU0062</v>
          </cell>
        </row>
        <row r="4241">
          <cell r="F4241" t="str">
            <v>YLR-16V-3-WGL1-Y / WW45A-016-176</v>
          </cell>
          <cell r="G4241" t="str">
            <v>HOUSING</v>
          </cell>
          <cell r="H4241" t="str">
            <v>SHOU0061</v>
          </cell>
        </row>
        <row r="4242">
          <cell r="F4242" t="str">
            <v>YLP-16V-3-WGL1-Y / WW45A-016-276</v>
          </cell>
          <cell r="G4242" t="str">
            <v>HOUSING</v>
          </cell>
          <cell r="H4242" t="str">
            <v>SHOU0060</v>
          </cell>
        </row>
        <row r="4243">
          <cell r="F4243" t="str">
            <v>YH396-15VR / SC51101-151A</v>
          </cell>
          <cell r="G4243" t="str">
            <v>HOUSING</v>
          </cell>
          <cell r="H4243" t="str">
            <v>SHOU0059</v>
          </cell>
        </row>
        <row r="4244">
          <cell r="F4244" t="str">
            <v>YH396-13VR / SC51101-131A</v>
          </cell>
          <cell r="G4244" t="str">
            <v>HOUSING</v>
          </cell>
          <cell r="H4244" t="str">
            <v>SHOU0058</v>
          </cell>
        </row>
        <row r="4245">
          <cell r="F4245" t="str">
            <v>YH396-11VR / SC51101-111A</v>
          </cell>
          <cell r="G4245" t="str">
            <v>HOUSING</v>
          </cell>
          <cell r="H4245" t="str">
            <v>SHOU0057</v>
          </cell>
        </row>
        <row r="4246">
          <cell r="F4246" t="str">
            <v>YH396-09VR / SC51101-091A</v>
          </cell>
          <cell r="G4246" t="str">
            <v>HOUSING</v>
          </cell>
          <cell r="H4246" t="str">
            <v>SHOU0056</v>
          </cell>
        </row>
        <row r="4247">
          <cell r="F4247" t="str">
            <v>YH396-07VR / SC51101-071A</v>
          </cell>
          <cell r="G4247" t="str">
            <v>HOUSING</v>
          </cell>
          <cell r="H4247" t="str">
            <v>SHOU0055</v>
          </cell>
        </row>
        <row r="4248">
          <cell r="F4248" t="str">
            <v>YH396-05VR / SC51101-051A</v>
          </cell>
          <cell r="G4248" t="str">
            <v>HOUSING</v>
          </cell>
          <cell r="H4248" t="str">
            <v>SHOU0054</v>
          </cell>
        </row>
        <row r="4249">
          <cell r="F4249" t="str">
            <v>YH396-03VR / SC51101-031A</v>
          </cell>
          <cell r="G4249" t="str">
            <v>HOUSING</v>
          </cell>
          <cell r="H4249" t="str">
            <v>SHOU0053</v>
          </cell>
        </row>
        <row r="4250">
          <cell r="F4250" t="str">
            <v>35150-4619 / DEM2-00203(BLU)</v>
          </cell>
          <cell r="G4250" t="str">
            <v>HOUSING</v>
          </cell>
          <cell r="H4250" t="str">
            <v>SHOU0052</v>
          </cell>
        </row>
        <row r="4251">
          <cell r="F4251" t="str">
            <v>35150-0619 / DEM2-00201</v>
          </cell>
          <cell r="G4251" t="str">
            <v>HOUSING</v>
          </cell>
          <cell r="H4251" t="str">
            <v>SHOU0051</v>
          </cell>
        </row>
        <row r="4252">
          <cell r="F4252" t="str">
            <v>35180-3609 / DEM2-00184 / MG625502-306</v>
          </cell>
          <cell r="G4252" t="str">
            <v>HOUSING</v>
          </cell>
          <cell r="H4252" t="str">
            <v>SHOU0050</v>
          </cell>
        </row>
        <row r="4253">
          <cell r="F4253" t="str">
            <v>35150-3219 / DEM1-00364</v>
          </cell>
          <cell r="G4253" t="str">
            <v>HOUSING</v>
          </cell>
          <cell r="H4253" t="str">
            <v>SHOU0049</v>
          </cell>
        </row>
        <row r="4254">
          <cell r="F4254" t="str">
            <v>35150-4209 / DEM1-00353</v>
          </cell>
          <cell r="G4254" t="str">
            <v>HOUSING</v>
          </cell>
          <cell r="H4254" t="str">
            <v>SHOU0048</v>
          </cell>
        </row>
        <row r="4255">
          <cell r="F4255" t="str">
            <v>35150-3209 / DEM1-00354</v>
          </cell>
          <cell r="G4255" t="str">
            <v>HOUSING</v>
          </cell>
          <cell r="H4255" t="str">
            <v>SHOU0047</v>
          </cell>
        </row>
        <row r="4256">
          <cell r="F4256" t="str">
            <v>35180-3409 / DEM2-00194 / MG625501-304</v>
          </cell>
          <cell r="G4256" t="str">
            <v>HOUSING</v>
          </cell>
          <cell r="H4256" t="str">
            <v>SHOU0046</v>
          </cell>
        </row>
        <row r="4257">
          <cell r="F4257" t="str">
            <v>35150-0209 / DEM1-00351</v>
          </cell>
          <cell r="G4257" t="str">
            <v>HOUSING</v>
          </cell>
          <cell r="H4257" t="str">
            <v>SHOU0045</v>
          </cell>
        </row>
        <row r="4258">
          <cell r="F4258" t="str">
            <v>35180-0409 / DEM2-00191 / MG625501-004</v>
          </cell>
          <cell r="G4258" t="str">
            <v>HOUSING</v>
          </cell>
          <cell r="H4258" t="str">
            <v>SHOU0044</v>
          </cell>
        </row>
        <row r="4259">
          <cell r="F4259" t="str">
            <v>SMH250-08L(RE) / WB25B-008-416</v>
          </cell>
          <cell r="G4259" t="str">
            <v>HOUSING</v>
          </cell>
          <cell r="H4259" t="str">
            <v>SHOU0043</v>
          </cell>
        </row>
        <row r="4260">
          <cell r="F4260" t="str">
            <v>35965-0210 / MG615696-002</v>
          </cell>
          <cell r="G4260" t="str">
            <v>HOUSING</v>
          </cell>
          <cell r="H4260" t="str">
            <v>SHOU0042</v>
          </cell>
        </row>
        <row r="4261">
          <cell r="F4261" t="str">
            <v>SMH250-02L / WB25B-002-411</v>
          </cell>
          <cell r="G4261" t="str">
            <v>HOUSING</v>
          </cell>
          <cell r="H4261" t="str">
            <v>SHOU0041</v>
          </cell>
        </row>
        <row r="4262">
          <cell r="F4262" t="str">
            <v>35151-0219 / DEM2-00341</v>
          </cell>
          <cell r="G4262" t="str">
            <v>HOUSING</v>
          </cell>
          <cell r="H4262" t="str">
            <v>SHOU0040</v>
          </cell>
        </row>
        <row r="4263">
          <cell r="F4263" t="str">
            <v>35965-0214 / MG615696-202</v>
          </cell>
          <cell r="G4263" t="str">
            <v>HOUSING</v>
          </cell>
          <cell r="H4263" t="str">
            <v>SHOU0039</v>
          </cell>
        </row>
        <row r="4264">
          <cell r="F4264" t="str">
            <v>35150-0214 / DEM1-03363</v>
          </cell>
          <cell r="G4264" t="str">
            <v>HOUSING</v>
          </cell>
          <cell r="H4264" t="str">
            <v>SHOU0038</v>
          </cell>
        </row>
        <row r="4265">
          <cell r="F4265" t="str">
            <v>YLR-06V-3-WGL1-Y / WW45A-006-176</v>
          </cell>
          <cell r="G4265" t="str">
            <v>HOUSING</v>
          </cell>
          <cell r="H4265" t="str">
            <v>SHOU0037</v>
          </cell>
        </row>
        <row r="4266">
          <cell r="F4266" t="str">
            <v>YLP-04V-WGL1-Y / WW45A-004-273</v>
          </cell>
          <cell r="G4266" t="str">
            <v>HOUSING</v>
          </cell>
          <cell r="H4266" t="str">
            <v>SHOU0036</v>
          </cell>
        </row>
        <row r="4267">
          <cell r="F4267" t="str">
            <v>35150-0219 / DEM1-00361</v>
          </cell>
          <cell r="G4267" t="str">
            <v>HOUSING</v>
          </cell>
          <cell r="H4267" t="str">
            <v>SHOU0035</v>
          </cell>
        </row>
        <row r="4268">
          <cell r="F4268" t="str">
            <v>35965-0200 / MG615695-002</v>
          </cell>
          <cell r="G4268" t="str">
            <v>HOUSING</v>
          </cell>
          <cell r="H4268" t="str">
            <v>SHOU0034</v>
          </cell>
        </row>
        <row r="4269">
          <cell r="F4269" t="str">
            <v>SMH250-15L / WB25B-015-411</v>
          </cell>
          <cell r="G4269" t="str">
            <v>HOUSING</v>
          </cell>
          <cell r="H4269" t="str">
            <v>SHOU0033</v>
          </cell>
        </row>
        <row r="4270">
          <cell r="F4270" t="str">
            <v>SMH250-12L / WB25B-012-411</v>
          </cell>
          <cell r="G4270" t="str">
            <v>HOUSING</v>
          </cell>
          <cell r="H4270" t="str">
            <v>SHOU0032</v>
          </cell>
        </row>
        <row r="4271">
          <cell r="F4271" t="str">
            <v>SMH250-13L / WB25B-013-411</v>
          </cell>
          <cell r="G4271" t="str">
            <v>HOUSING</v>
          </cell>
          <cell r="H4271" t="str">
            <v>SHOU0031</v>
          </cell>
        </row>
        <row r="4272">
          <cell r="F4272" t="str">
            <v>SMH250-11L / WB25B-011-411</v>
          </cell>
          <cell r="G4272" t="str">
            <v>HOUSING</v>
          </cell>
          <cell r="H4272" t="str">
            <v>SHOU0030</v>
          </cell>
        </row>
        <row r="4273">
          <cell r="F4273" t="str">
            <v>SMH250-10L / WB25B-010-411</v>
          </cell>
          <cell r="G4273" t="str">
            <v>HOUSING</v>
          </cell>
          <cell r="H4273" t="str">
            <v>SHOU0029</v>
          </cell>
        </row>
        <row r="4274">
          <cell r="F4274" t="str">
            <v>SMH250-09L / WB25B-009-411</v>
          </cell>
          <cell r="G4274" t="str">
            <v>HOUSING</v>
          </cell>
          <cell r="H4274" t="str">
            <v>SHOU0028</v>
          </cell>
        </row>
        <row r="4275">
          <cell r="F4275" t="str">
            <v>SMH250-08L / WB25B-008-411</v>
          </cell>
          <cell r="G4275" t="str">
            <v>HOUSING</v>
          </cell>
          <cell r="H4275" t="str">
            <v>SHOU0027</v>
          </cell>
        </row>
        <row r="4276">
          <cell r="F4276" t="str">
            <v>SMH250-07L / WB25B-007-411</v>
          </cell>
          <cell r="G4276" t="str">
            <v>HOUSING</v>
          </cell>
          <cell r="H4276" t="str">
            <v>SHOU0026</v>
          </cell>
        </row>
        <row r="4277">
          <cell r="F4277" t="str">
            <v>SMH250-06L / WB25B-006-411</v>
          </cell>
          <cell r="G4277" t="str">
            <v>HOUSING</v>
          </cell>
          <cell r="H4277" t="str">
            <v>SHOU0025</v>
          </cell>
        </row>
        <row r="4278">
          <cell r="F4278" t="str">
            <v>SMH250-05L / WB25B-005-411</v>
          </cell>
          <cell r="G4278" t="str">
            <v>HOUSING</v>
          </cell>
          <cell r="H4278" t="str">
            <v>SHOU0024</v>
          </cell>
        </row>
        <row r="4279">
          <cell r="F4279" t="str">
            <v>SMH250-04L / WB25B-004-411</v>
          </cell>
          <cell r="G4279" t="str">
            <v>HOUSING</v>
          </cell>
          <cell r="H4279" t="str">
            <v>SHOU0023</v>
          </cell>
        </row>
        <row r="4280">
          <cell r="F4280" t="str">
            <v>SMH250-03L / WB25B-003-411</v>
          </cell>
          <cell r="G4280" t="str">
            <v>HOUSING</v>
          </cell>
          <cell r="H4280" t="str">
            <v>SHOU0022</v>
          </cell>
        </row>
        <row r="4281">
          <cell r="F4281" t="str">
            <v>SMH250-06L(BL) / WB25B-006-414</v>
          </cell>
          <cell r="G4281" t="str">
            <v>HOUSING</v>
          </cell>
          <cell r="H4281" t="str">
            <v>SHOU0021</v>
          </cell>
        </row>
        <row r="4282">
          <cell r="F4282" t="str">
            <v>35151-0214 / MG615304-2</v>
          </cell>
          <cell r="G4282" t="str">
            <v>HOUSING</v>
          </cell>
          <cell r="H4282" t="str">
            <v>SHOU0020</v>
          </cell>
        </row>
        <row r="4283">
          <cell r="F4283" t="str">
            <v>SMH250-14L / WB25B-014-411</v>
          </cell>
          <cell r="G4283" t="str">
            <v>HOUSING</v>
          </cell>
          <cell r="H4283" t="str">
            <v>SHOU0019</v>
          </cell>
        </row>
        <row r="4284">
          <cell r="F4284" t="str">
            <v>35180-0609 / MG625502-006</v>
          </cell>
          <cell r="G4284" t="str">
            <v>HOUSING</v>
          </cell>
          <cell r="H4284" t="str">
            <v>SHOU0018</v>
          </cell>
        </row>
        <row r="4285">
          <cell r="F4285" t="str">
            <v>35180-0400</v>
          </cell>
          <cell r="G4285" t="str">
            <v>HOUSING</v>
          </cell>
          <cell r="H4285" t="str">
            <v>SHOU0017</v>
          </cell>
        </row>
        <row r="4286">
          <cell r="F4286" t="str">
            <v>35151-0610 / MG615313</v>
          </cell>
          <cell r="G4286" t="str">
            <v>HOUSING</v>
          </cell>
          <cell r="H4286" t="str">
            <v>SHOU0016</v>
          </cell>
        </row>
        <row r="4287">
          <cell r="F4287" t="str">
            <v>35151-0410 / MG615310</v>
          </cell>
          <cell r="G4287" t="str">
            <v>HOUSING</v>
          </cell>
          <cell r="H4287" t="str">
            <v>SHOU0015</v>
          </cell>
        </row>
        <row r="4288">
          <cell r="F4288" t="str">
            <v>35151-0310 / MG615307</v>
          </cell>
          <cell r="G4288" t="str">
            <v>HOUSING</v>
          </cell>
          <cell r="H4288" t="str">
            <v>SHOU0014</v>
          </cell>
        </row>
        <row r="4289">
          <cell r="F4289" t="str">
            <v>35151-0210 / DEM2-03341 / MG615304</v>
          </cell>
          <cell r="G4289" t="str">
            <v>HOUSING</v>
          </cell>
          <cell r="H4289" t="str">
            <v>SHOU0013</v>
          </cell>
        </row>
        <row r="4290">
          <cell r="F4290" t="str">
            <v>35150-0614 / MG625314-2</v>
          </cell>
          <cell r="G4290" t="str">
            <v>HOUSING</v>
          </cell>
          <cell r="H4290" t="str">
            <v>SHOU0012</v>
          </cell>
        </row>
        <row r="4291">
          <cell r="F4291" t="str">
            <v>35150-0610 / DEM2-03201 / MG625314</v>
          </cell>
          <cell r="G4291" t="str">
            <v>HOUSING</v>
          </cell>
          <cell r="H4291" t="str">
            <v>SHOU0011</v>
          </cell>
        </row>
        <row r="4292">
          <cell r="F4292" t="str">
            <v>35150-0412 / DEM2-03212 / MG625311-1</v>
          </cell>
          <cell r="G4292" t="str">
            <v>HOUSING</v>
          </cell>
          <cell r="H4292" t="str">
            <v>SHOU0010</v>
          </cell>
        </row>
        <row r="4293">
          <cell r="F4293" t="str">
            <v>35150-0410 / DEM2-03211 / MG625311</v>
          </cell>
          <cell r="G4293" t="str">
            <v>HOUSING</v>
          </cell>
          <cell r="H4293" t="str">
            <v>SHOU0009</v>
          </cell>
        </row>
        <row r="4294">
          <cell r="F4294" t="str">
            <v>35150-0400 / MG625312</v>
          </cell>
          <cell r="G4294" t="str">
            <v>HOUSING</v>
          </cell>
          <cell r="H4294" t="str">
            <v>SHOU0008</v>
          </cell>
        </row>
        <row r="4295">
          <cell r="F4295" t="str">
            <v>35150-0310 / MG625308</v>
          </cell>
          <cell r="G4295" t="str">
            <v>HOUSING</v>
          </cell>
          <cell r="H4295" t="str">
            <v>SHOU0007</v>
          </cell>
        </row>
        <row r="4296">
          <cell r="F4296" t="str">
            <v>35150-0300 / MG625309</v>
          </cell>
          <cell r="G4296" t="str">
            <v>HOUSING</v>
          </cell>
          <cell r="H4296" t="str">
            <v>SHOU0006</v>
          </cell>
        </row>
        <row r="4297">
          <cell r="F4297" t="str">
            <v>35150-0210 / DEM1-03361 / MG625305</v>
          </cell>
          <cell r="G4297" t="str">
            <v>HOUSING</v>
          </cell>
          <cell r="H4297" t="str">
            <v>SHOU0005</v>
          </cell>
        </row>
        <row r="4298">
          <cell r="F4298" t="str">
            <v>35150-0204 / DEM1-03353 / MG625306-2</v>
          </cell>
          <cell r="G4298" t="str">
            <v>HOUSING</v>
          </cell>
          <cell r="H4298" t="str">
            <v>SHOU0004</v>
          </cell>
        </row>
        <row r="4299">
          <cell r="F4299" t="str">
            <v>35150-0200 / DEM1-03351 / MG625306</v>
          </cell>
          <cell r="G4299" t="str">
            <v>HOUSING</v>
          </cell>
          <cell r="H4299" t="str">
            <v>SHOU0003</v>
          </cell>
        </row>
        <row r="4300">
          <cell r="F4300" t="str">
            <v>YLP-02V / WW45A-002-271</v>
          </cell>
          <cell r="G4300" t="str">
            <v>HOUSING</v>
          </cell>
          <cell r="H4300" t="str">
            <v>SHOU0002</v>
          </cell>
        </row>
        <row r="4301">
          <cell r="F4301" t="str">
            <v>YLP-06V-3-WGL1-Y / WW45A-006-276</v>
          </cell>
          <cell r="G4301" t="str">
            <v>HOUSING</v>
          </cell>
          <cell r="H4301" t="str">
            <v>SHOU0001</v>
          </cell>
        </row>
        <row r="4302">
          <cell r="F4302" t="str">
            <v>RH1423(14.3X8.2X23.5) / OP14A</v>
          </cell>
          <cell r="G4302" t="str">
            <v>FERRITE CORE</v>
          </cell>
          <cell r="H4302" t="str">
            <v>SFRC0001</v>
          </cell>
        </row>
        <row r="4303">
          <cell r="F4303" t="str">
            <v>260641-GR</v>
          </cell>
          <cell r="G4303" t="str">
            <v>RETAINER</v>
          </cell>
          <cell r="H4303" t="str">
            <v>RYR60HYB00GR</v>
          </cell>
        </row>
        <row r="4304">
          <cell r="F4304" t="str">
            <v>260237-BK</v>
          </cell>
          <cell r="G4304" t="str">
            <v>RETAINER</v>
          </cell>
          <cell r="H4304" t="str">
            <v>RYR32025J2B0</v>
          </cell>
        </row>
        <row r="4305">
          <cell r="F4305" t="str">
            <v>280405-GR</v>
          </cell>
          <cell r="G4305" t="str">
            <v>RETAINER</v>
          </cell>
          <cell r="H4305" t="str">
            <v>RYR1506F02GR</v>
          </cell>
        </row>
        <row r="4306">
          <cell r="F4306" t="str">
            <v>260236-BK</v>
          </cell>
          <cell r="G4306" t="str">
            <v>REAR HOLDER</v>
          </cell>
          <cell r="H4306" t="str">
            <v>RYR14025J2B0</v>
          </cell>
        </row>
        <row r="4307">
          <cell r="F4307" t="str">
            <v>260386-BK</v>
          </cell>
          <cell r="G4307" t="str">
            <v>RETAINER</v>
          </cell>
          <cell r="H4307" t="str">
            <v>RYR0806J32B0</v>
          </cell>
        </row>
        <row r="4308">
          <cell r="F4308" t="str">
            <v>260540-GR</v>
          </cell>
          <cell r="G4308" t="str">
            <v>REAR HOLDER</v>
          </cell>
          <cell r="H4308" t="str">
            <v>RYR08025J2GR</v>
          </cell>
        </row>
        <row r="4309">
          <cell r="F4309" t="str">
            <v>260540-BK</v>
          </cell>
          <cell r="G4309" t="str">
            <v>RETAINER</v>
          </cell>
          <cell r="H4309" t="str">
            <v>RYR08025J2B0</v>
          </cell>
        </row>
        <row r="4310">
          <cell r="F4310" t="str">
            <v>260036-NA</v>
          </cell>
          <cell r="G4310" t="str">
            <v>RETAINER</v>
          </cell>
          <cell r="H4310" t="str">
            <v>RYR02060W1W0</v>
          </cell>
        </row>
        <row r="4311">
          <cell r="F4311" t="str">
            <v>RKC08-12202</v>
          </cell>
          <cell r="G4311" t="str">
            <v>TPA</v>
          </cell>
          <cell r="H4311" t="str">
            <v>RKY0805002W0</v>
          </cell>
        </row>
        <row r="4312">
          <cell r="F4312" t="str">
            <v>RKC06-12722</v>
          </cell>
          <cell r="G4312" t="str">
            <v>TPA</v>
          </cell>
          <cell r="H4312" t="str">
            <v>RKY0602502W0</v>
          </cell>
        </row>
        <row r="4313">
          <cell r="F4313" t="str">
            <v>RKC06-12712</v>
          </cell>
          <cell r="G4313" t="str">
            <v>RETAINER</v>
          </cell>
          <cell r="H4313" t="str">
            <v>RKY0602501W0</v>
          </cell>
        </row>
        <row r="4314">
          <cell r="F4314" t="str">
            <v>HP651-36100</v>
          </cell>
          <cell r="G4314" t="str">
            <v>RETAINER</v>
          </cell>
          <cell r="H4314" t="str">
            <v>RKU3606111OR</v>
          </cell>
        </row>
        <row r="4315">
          <cell r="F4315" t="str">
            <v>HP525-16100</v>
          </cell>
          <cell r="G4315" t="str">
            <v>RETAINER</v>
          </cell>
          <cell r="H4315" t="str">
            <v>RKU1625112OR</v>
          </cell>
        </row>
        <row r="4316">
          <cell r="F4316" t="str">
            <v>HP521-16100</v>
          </cell>
          <cell r="G4316" t="str">
            <v>RETAINER ETC</v>
          </cell>
          <cell r="H4316" t="str">
            <v>RKU1625111OR</v>
          </cell>
        </row>
        <row r="4317">
          <cell r="F4317" t="str">
            <v>GL302-14030</v>
          </cell>
          <cell r="G4317" t="str">
            <v>RETAINER ETC</v>
          </cell>
          <cell r="H4317" t="str">
            <v>RKU1425062G0</v>
          </cell>
        </row>
        <row r="4318">
          <cell r="F4318" t="str">
            <v>GL292-14030</v>
          </cell>
          <cell r="G4318" t="str">
            <v>RETAINER ETC</v>
          </cell>
          <cell r="H4318" t="str">
            <v>RKU1425061G0</v>
          </cell>
        </row>
        <row r="4319">
          <cell r="F4319" t="str">
            <v>HP525-12100</v>
          </cell>
          <cell r="G4319" t="str">
            <v>RETAINER</v>
          </cell>
          <cell r="H4319" t="str">
            <v>RKU1225112OR</v>
          </cell>
        </row>
        <row r="4320">
          <cell r="F4320" t="str">
            <v>HP075-08030</v>
          </cell>
          <cell r="G4320" t="str">
            <v>RETAINER</v>
          </cell>
          <cell r="H4320" t="str">
            <v>RKU08XWP02G0</v>
          </cell>
        </row>
        <row r="4321">
          <cell r="F4321" t="str">
            <v>HP291-08100</v>
          </cell>
          <cell r="G4321" t="str">
            <v>RETAINER</v>
          </cell>
          <cell r="H4321" t="str">
            <v>RKU08TWP01OR</v>
          </cell>
        </row>
        <row r="4322">
          <cell r="F4322" t="str">
            <v>3535-0646</v>
          </cell>
          <cell r="G4322" t="str">
            <v>RETAINER ETC</v>
          </cell>
          <cell r="H4322" t="str">
            <v>RKU06TWPJ2OR</v>
          </cell>
        </row>
        <row r="4323">
          <cell r="F4323" t="str">
            <v>PB875-06880</v>
          </cell>
          <cell r="G4323" t="str">
            <v>RETAINER</v>
          </cell>
          <cell r="H4323" t="str">
            <v>RKU06NMWP2LG</v>
          </cell>
        </row>
        <row r="4324">
          <cell r="F4324" t="str">
            <v>PB871-06880</v>
          </cell>
          <cell r="G4324" t="str">
            <v>TPA</v>
          </cell>
          <cell r="H4324" t="str">
            <v>RKU06NMWP1LG</v>
          </cell>
        </row>
        <row r="4325">
          <cell r="F4325" t="str">
            <v>PB051-04840</v>
          </cell>
          <cell r="G4325" t="str">
            <v>TPA</v>
          </cell>
          <cell r="H4325" t="str">
            <v>RKU04WWP01S0</v>
          </cell>
        </row>
        <row r="4326">
          <cell r="F4326" t="str">
            <v>PB871-04900</v>
          </cell>
          <cell r="G4326" t="str">
            <v>TPA</v>
          </cell>
          <cell r="H4326" t="str">
            <v>RKU04NMWP1OR</v>
          </cell>
        </row>
        <row r="4327">
          <cell r="F4327" t="str">
            <v>PB875-03880</v>
          </cell>
          <cell r="G4327" t="str">
            <v>RETAINER</v>
          </cell>
          <cell r="H4327" t="str">
            <v>RKU03NMWP2LG</v>
          </cell>
        </row>
        <row r="4328">
          <cell r="F4328" t="str">
            <v>HP295-02040</v>
          </cell>
          <cell r="G4328" t="str">
            <v>RETAINER</v>
          </cell>
          <cell r="H4328" t="str">
            <v>RKU02TWP02L0</v>
          </cell>
        </row>
        <row r="4329">
          <cell r="F4329" t="str">
            <v>HP291-02040</v>
          </cell>
          <cell r="G4329" t="str">
            <v>SIDE RETAINER</v>
          </cell>
          <cell r="H4329" t="str">
            <v>RKU02TWP01L0</v>
          </cell>
        </row>
        <row r="4330">
          <cell r="F4330" t="str">
            <v>PB875-02900</v>
          </cell>
          <cell r="G4330" t="str">
            <v>RETAINER ETC</v>
          </cell>
          <cell r="H4330" t="str">
            <v>RKU02NMWP2OR</v>
          </cell>
        </row>
        <row r="4331">
          <cell r="F4331" t="str">
            <v>PB871-02900</v>
          </cell>
          <cell r="G4331" t="str">
            <v>RETAINER</v>
          </cell>
          <cell r="H4331" t="str">
            <v>RKU02NMWP1OR</v>
          </cell>
        </row>
        <row r="4332">
          <cell r="F4332" t="str">
            <v>HK270-02030</v>
          </cell>
          <cell r="G4332" t="str">
            <v>RETAINER</v>
          </cell>
          <cell r="H4332" t="str">
            <v>RKU02NICS2G0</v>
          </cell>
        </row>
        <row r="4333">
          <cell r="F4333" t="str">
            <v>PU475-02630</v>
          </cell>
          <cell r="G4333" t="str">
            <v>RETAINER</v>
          </cell>
          <cell r="H4333" t="str">
            <v>RKU02NDWP2G0</v>
          </cell>
        </row>
        <row r="4334">
          <cell r="F4334" t="str">
            <v>HK336-02100</v>
          </cell>
          <cell r="G4334" t="str">
            <v>RETAINER</v>
          </cell>
          <cell r="H4334" t="str">
            <v>RKU02MMC02OR</v>
          </cell>
        </row>
        <row r="4335">
          <cell r="F4335" t="str">
            <v>PB875-01880</v>
          </cell>
          <cell r="G4335" t="str">
            <v>RETAINER ETC</v>
          </cell>
          <cell r="H4335" t="str">
            <v>RKU01NMWP2LG</v>
          </cell>
        </row>
        <row r="4336">
          <cell r="F4336" t="str">
            <v>632236-5</v>
          </cell>
          <cell r="G4336" t="str">
            <v>RETAINER</v>
          </cell>
          <cell r="H4336" t="str">
            <v>RKT1009030B0</v>
          </cell>
        </row>
        <row r="4337">
          <cell r="F4337" t="str">
            <v>MG635585-1</v>
          </cell>
          <cell r="G4337" t="str">
            <v>RETAINER</v>
          </cell>
          <cell r="H4337" t="str">
            <v>RKT0806402R0</v>
          </cell>
        </row>
        <row r="4338">
          <cell r="F4338" t="str">
            <v>MG635740-40</v>
          </cell>
          <cell r="G4338" t="str">
            <v>RETAINER</v>
          </cell>
          <cell r="H4338" t="str">
            <v>RKT0725F02DG</v>
          </cell>
        </row>
        <row r="4339">
          <cell r="F4339" t="str">
            <v>MG635662-41</v>
          </cell>
          <cell r="G4339" t="str">
            <v>CONNECTOR COVER</v>
          </cell>
          <cell r="H4339" t="str">
            <v>RKT0706371GR</v>
          </cell>
        </row>
        <row r="4340">
          <cell r="F4340" t="str">
            <v>MG631626-7</v>
          </cell>
          <cell r="G4340" t="str">
            <v>RETAINER</v>
          </cell>
          <cell r="H4340" t="str">
            <v>RKT06SSD00BR</v>
          </cell>
        </row>
        <row r="4341">
          <cell r="F4341" t="str">
            <v>MG632230-1</v>
          </cell>
          <cell r="G4341" t="str">
            <v>RETAINER</v>
          </cell>
          <cell r="H4341" t="str">
            <v>RKT0609030R0</v>
          </cell>
        </row>
        <row r="4342">
          <cell r="F4342" t="str">
            <v>632613-7</v>
          </cell>
          <cell r="G4342" t="str">
            <v>RETAINER</v>
          </cell>
          <cell r="H4342" t="str">
            <v>RKT0604WP2BR</v>
          </cell>
        </row>
        <row r="4343">
          <cell r="F4343" t="str">
            <v>MG630334-7</v>
          </cell>
          <cell r="G4343" t="str">
            <v>RETAINER ETC</v>
          </cell>
          <cell r="H4343" t="str">
            <v>RKT04SWP00BR</v>
          </cell>
        </row>
        <row r="4344">
          <cell r="F4344" t="str">
            <v>630369-3</v>
          </cell>
          <cell r="G4344" t="str">
            <v>RETAINER</v>
          </cell>
          <cell r="H4344" t="str">
            <v>RKT04SP040Y0</v>
          </cell>
        </row>
        <row r="4345">
          <cell r="F4345" t="str">
            <v>MG632036-3</v>
          </cell>
          <cell r="G4345" t="str">
            <v>RETAINER</v>
          </cell>
          <cell r="H4345" t="str">
            <v>RKT0309032Y0</v>
          </cell>
        </row>
        <row r="4346">
          <cell r="F4346" t="str">
            <v>632606-40</v>
          </cell>
          <cell r="G4346" t="str">
            <v>RETAINER</v>
          </cell>
          <cell r="H4346" t="str">
            <v>RKT0304WP2DG</v>
          </cell>
        </row>
        <row r="4347">
          <cell r="F4347" t="str">
            <v>MG630326-7</v>
          </cell>
          <cell r="G4347" t="str">
            <v>RETAINER</v>
          </cell>
          <cell r="H4347" t="str">
            <v>RKT02SWP00BR</v>
          </cell>
        </row>
        <row r="4348">
          <cell r="F4348" t="str">
            <v>630708-40</v>
          </cell>
          <cell r="G4348" t="str">
            <v>LOW VOLTAGE HOUSING</v>
          </cell>
          <cell r="H4348" t="str">
            <v>RKT02SSD00DG</v>
          </cell>
        </row>
        <row r="4349">
          <cell r="F4349" t="str">
            <v>MG630660-4</v>
          </cell>
          <cell r="G4349" t="str">
            <v>RETAINER</v>
          </cell>
          <cell r="H4349" t="str">
            <v>RKT0158L02GR</v>
          </cell>
        </row>
        <row r="4350">
          <cell r="F4350" t="str">
            <v>MG630661-7</v>
          </cell>
          <cell r="G4350" t="str">
            <v>RETAINER ETC</v>
          </cell>
          <cell r="H4350" t="str">
            <v>RKT0158L01BR</v>
          </cell>
        </row>
        <row r="4351">
          <cell r="F4351" t="str">
            <v>635763-40</v>
          </cell>
          <cell r="G4351" t="str">
            <v>REAR HOLDER</v>
          </cell>
          <cell r="H4351" t="str">
            <v>RKT0137500DG</v>
          </cell>
        </row>
        <row r="4352">
          <cell r="F4352" t="str">
            <v>BARCODE RIBBON</v>
          </cell>
          <cell r="G4352" t="str">
            <v>BARCODE RIBBON</v>
          </cell>
          <cell r="H4352" t="str">
            <v>RIBBON-1</v>
          </cell>
        </row>
        <row r="4353">
          <cell r="F4353" t="str">
            <v>6446-0006-2-000</v>
          </cell>
          <cell r="G4353" t="str">
            <v>RETAINER</v>
          </cell>
          <cell r="H4353" t="str">
            <v>RHR36KM392DG</v>
          </cell>
        </row>
        <row r="4354">
          <cell r="F4354" t="str">
            <v>BI318-E0122</v>
          </cell>
          <cell r="G4354" t="str">
            <v>RETAINER-MICRO RELAY</v>
          </cell>
          <cell r="H4354" t="str">
            <v>RDT00E0120Y0</v>
          </cell>
        </row>
        <row r="4355">
          <cell r="F4355" t="str">
            <v>RDT05-16565</v>
          </cell>
          <cell r="G4355" t="str">
            <v>RETAINER</v>
          </cell>
          <cell r="H4355" t="str">
            <v>RDT0065650Y0</v>
          </cell>
        </row>
        <row r="4356">
          <cell r="F4356" t="str">
            <v>1367-8636</v>
          </cell>
          <cell r="G4356" t="str">
            <v>RETAINER ETC</v>
          </cell>
          <cell r="H4356" t="str">
            <v>RDP12HVTW2W0</v>
          </cell>
        </row>
        <row r="4357">
          <cell r="F4357" t="str">
            <v>3515-5494</v>
          </cell>
          <cell r="G4357" t="str">
            <v>RETAINER ETC</v>
          </cell>
          <cell r="H4357" t="str">
            <v>RDP00ETHN0B0</v>
          </cell>
        </row>
        <row r="4358">
          <cell r="F4358" t="str">
            <v>RBL04-02465</v>
          </cell>
          <cell r="G4358" t="str">
            <v>RETAINER</v>
          </cell>
          <cell r="H4358" t="str">
            <v>RBL0402465Y0</v>
          </cell>
        </row>
        <row r="4359">
          <cell r="F4359" t="str">
            <v>1-1355134-1</v>
          </cell>
          <cell r="G4359" t="str">
            <v>RETAINER ETC</v>
          </cell>
          <cell r="H4359" t="str">
            <v>RAP88ECU02PP</v>
          </cell>
        </row>
        <row r="4360">
          <cell r="F4360" t="str">
            <v>0-0368388-1</v>
          </cell>
          <cell r="G4360" t="str">
            <v>RETAINER ETC</v>
          </cell>
          <cell r="H4360" t="str">
            <v>RAP40MQSW2Y0</v>
          </cell>
        </row>
        <row r="4361">
          <cell r="F4361" t="str">
            <v>1-1355135-1</v>
          </cell>
          <cell r="G4361" t="str">
            <v>REAR RETAINER</v>
          </cell>
          <cell r="H4361" t="str">
            <v>RAP06ECU02PP</v>
          </cell>
        </row>
        <row r="4362">
          <cell r="F4362" t="str">
            <v>174353-7</v>
          </cell>
          <cell r="G4362" t="str">
            <v>RETAINER</v>
          </cell>
          <cell r="H4362" t="str">
            <v>RAP02MSWD2Y0</v>
          </cell>
        </row>
        <row r="4363">
          <cell r="F4363" t="str">
            <v>91961-GX422-1</v>
          </cell>
          <cell r="G4363" t="str">
            <v>3D COVER</v>
          </cell>
          <cell r="H4363" t="str">
            <v>P00B0-2344</v>
          </cell>
        </row>
        <row r="4364">
          <cell r="F4364" t="str">
            <v>91961-GX421-1</v>
          </cell>
          <cell r="G4364" t="str">
            <v>3D BODY</v>
          </cell>
          <cell r="H4364" t="str">
            <v>P00B0-2343</v>
          </cell>
        </row>
        <row r="4365">
          <cell r="F4365" t="str">
            <v>91961-GX402-1</v>
          </cell>
          <cell r="G4365" t="str">
            <v>3D BODY</v>
          </cell>
          <cell r="H4365" t="str">
            <v>P00B0-2245</v>
          </cell>
        </row>
        <row r="4366">
          <cell r="F4366" t="str">
            <v>91961-GX401-1</v>
          </cell>
          <cell r="G4366" t="str">
            <v>3D BODY</v>
          </cell>
          <cell r="H4366" t="str">
            <v>P00B0-2244</v>
          </cell>
        </row>
        <row r="4367">
          <cell r="F4367" t="str">
            <v>91961-S1262</v>
          </cell>
          <cell r="G4367" t="str">
            <v>3D COVER</v>
          </cell>
          <cell r="H4367" t="str">
            <v>P00B0-2062</v>
          </cell>
        </row>
        <row r="4368">
          <cell r="F4368" t="str">
            <v>91961-S1261</v>
          </cell>
          <cell r="G4368" t="str">
            <v>3D BODY</v>
          </cell>
          <cell r="H4368" t="str">
            <v>P00B0-2061</v>
          </cell>
        </row>
        <row r="4369">
          <cell r="F4369" t="str">
            <v>91961-S1250</v>
          </cell>
          <cell r="G4369" t="str">
            <v>PROTECTOR ETC</v>
          </cell>
          <cell r="H4369" t="str">
            <v>P00B0-2060</v>
          </cell>
        </row>
        <row r="4370">
          <cell r="F4370" t="str">
            <v>91961-P1122</v>
          </cell>
          <cell r="G4370" t="str">
            <v>3D COVER</v>
          </cell>
          <cell r="H4370" t="str">
            <v>P00B0-1943</v>
          </cell>
        </row>
        <row r="4371">
          <cell r="F4371" t="str">
            <v>91961-P1121</v>
          </cell>
          <cell r="G4371" t="str">
            <v>3D BODY</v>
          </cell>
          <cell r="H4371" t="str">
            <v>P00B0-1942</v>
          </cell>
        </row>
        <row r="4372">
          <cell r="F4372" t="str">
            <v>91981-N9052</v>
          </cell>
          <cell r="G4372" t="str">
            <v>3D BODY</v>
          </cell>
          <cell r="H4372" t="str">
            <v>P00B0-1585</v>
          </cell>
        </row>
        <row r="4373">
          <cell r="F4373" t="str">
            <v>91961-N9031</v>
          </cell>
          <cell r="G4373" t="str">
            <v>PROTECTOR-SIDE_MBR_LH_BODY</v>
          </cell>
          <cell r="H4373" t="str">
            <v>P00B0-1421</v>
          </cell>
        </row>
        <row r="4374">
          <cell r="F4374" t="str">
            <v>91961-N9032</v>
          </cell>
          <cell r="G4374" t="str">
            <v>PROTECTOR-SIDE_MBR_LH_COVER</v>
          </cell>
          <cell r="H4374" t="str">
            <v>P00B0-1420</v>
          </cell>
        </row>
        <row r="4375">
          <cell r="F4375" t="str">
            <v>91961-AR101-1</v>
          </cell>
          <cell r="G4375" t="str">
            <v>3D BODY</v>
          </cell>
          <cell r="H4375" t="str">
            <v>P00B0-1371</v>
          </cell>
        </row>
        <row r="4376">
          <cell r="F4376" t="str">
            <v>CS PAD 30×250(G)</v>
          </cell>
          <cell r="G4376" t="str">
            <v>CS PAD</v>
          </cell>
          <cell r="H4376" t="str">
            <v>N53-030250</v>
          </cell>
        </row>
        <row r="4377">
          <cell r="F4377" t="str">
            <v>CS PAD 30×220(G)</v>
          </cell>
          <cell r="G4377" t="str">
            <v>CS PAD</v>
          </cell>
          <cell r="H4377" t="str">
            <v>N53-030220</v>
          </cell>
        </row>
        <row r="4378">
          <cell r="F4378" t="str">
            <v>CS PAD 30×260(W)</v>
          </cell>
          <cell r="G4378" t="str">
            <v>CS PAD</v>
          </cell>
          <cell r="H4378" t="str">
            <v>N43-030260</v>
          </cell>
        </row>
        <row r="4379">
          <cell r="F4379" t="str">
            <v>CS PAD 30×150(W)</v>
          </cell>
          <cell r="G4379" t="str">
            <v>CS PAD</v>
          </cell>
          <cell r="H4379" t="str">
            <v>N43-030150</v>
          </cell>
        </row>
        <row r="4380">
          <cell r="F4380" t="str">
            <v>CS PAD 30×110(W)</v>
          </cell>
          <cell r="G4380" t="str">
            <v>CS PAD</v>
          </cell>
          <cell r="H4380" t="str">
            <v>N43-030110</v>
          </cell>
        </row>
        <row r="4381">
          <cell r="F4381" t="str">
            <v>BUS 30x120</v>
          </cell>
          <cell r="G4381" t="str">
            <v>SPONGE PAD</v>
          </cell>
          <cell r="H4381" t="str">
            <v>N05-030120</v>
          </cell>
        </row>
        <row r="4382">
          <cell r="F4382" t="str">
            <v>CS PAD 40×60(Or)</v>
          </cell>
          <cell r="G4382" t="str">
            <v>CS PAD</v>
          </cell>
          <cell r="H4382" t="str">
            <v>N04-040060</v>
          </cell>
        </row>
        <row r="4383">
          <cell r="F4383" t="str">
            <v>CS PAD 40×50(Or)</v>
          </cell>
          <cell r="G4383" t="str">
            <v>CS PAD</v>
          </cell>
          <cell r="H4383" t="str">
            <v>N04-040050</v>
          </cell>
        </row>
        <row r="4384">
          <cell r="F4384" t="str">
            <v>CS PAD 40×40(Or)</v>
          </cell>
          <cell r="G4384" t="str">
            <v>CS PAD</v>
          </cell>
          <cell r="H4384" t="str">
            <v>N04-040040</v>
          </cell>
        </row>
        <row r="4385">
          <cell r="F4385" t="str">
            <v>CS PAD 20×80(Or)</v>
          </cell>
          <cell r="G4385" t="str">
            <v>CS PAD</v>
          </cell>
          <cell r="H4385" t="str">
            <v>N04-020080</v>
          </cell>
        </row>
        <row r="4386">
          <cell r="F4386" t="str">
            <v>CS PAD 20×70(Or)</v>
          </cell>
          <cell r="G4386" t="str">
            <v>CS PAD</v>
          </cell>
          <cell r="H4386" t="str">
            <v>N04-020070</v>
          </cell>
        </row>
        <row r="4387">
          <cell r="F4387" t="str">
            <v>CS PAD 130X150</v>
          </cell>
          <cell r="G4387" t="str">
            <v>CS PAD</v>
          </cell>
          <cell r="H4387" t="str">
            <v>N03-130150</v>
          </cell>
        </row>
        <row r="4388">
          <cell r="F4388" t="str">
            <v>CS PAD 130X130</v>
          </cell>
          <cell r="G4388" t="str">
            <v>CS PAD</v>
          </cell>
          <cell r="H4388" t="str">
            <v>N03-130130</v>
          </cell>
        </row>
        <row r="4389">
          <cell r="F4389" t="str">
            <v>CS PAD 120X70</v>
          </cell>
          <cell r="G4389" t="str">
            <v>CS PAD</v>
          </cell>
          <cell r="H4389" t="str">
            <v>N03-120070</v>
          </cell>
        </row>
        <row r="4390">
          <cell r="F4390" t="str">
            <v>CS PAD 110X260</v>
          </cell>
          <cell r="G4390" t="str">
            <v>CS PAD</v>
          </cell>
          <cell r="H4390" t="str">
            <v>N03-110260</v>
          </cell>
        </row>
        <row r="4391">
          <cell r="F4391" t="str">
            <v>CS PAD 100X260</v>
          </cell>
          <cell r="G4391" t="str">
            <v>CS PAD</v>
          </cell>
          <cell r="H4391" t="str">
            <v>N03-100260</v>
          </cell>
        </row>
        <row r="4392">
          <cell r="F4392" t="str">
            <v>CS PAD 100X150</v>
          </cell>
          <cell r="G4392" t="str">
            <v>CS PAD</v>
          </cell>
          <cell r="H4392" t="str">
            <v>N03-100150</v>
          </cell>
        </row>
        <row r="4393">
          <cell r="F4393" t="str">
            <v>CS PAD 100X120</v>
          </cell>
          <cell r="G4393" t="str">
            <v>CS PAD</v>
          </cell>
          <cell r="H4393" t="str">
            <v>N03-100120</v>
          </cell>
        </row>
        <row r="4394">
          <cell r="F4394" t="str">
            <v>CS PAD 100×110</v>
          </cell>
          <cell r="G4394" t="str">
            <v>CS PAD</v>
          </cell>
          <cell r="H4394" t="str">
            <v>N03-100110</v>
          </cell>
        </row>
        <row r="4395">
          <cell r="F4395" t="str">
            <v>CS PAD 100X100</v>
          </cell>
          <cell r="G4395" t="str">
            <v>CS PAD</v>
          </cell>
          <cell r="H4395" t="str">
            <v>N03-100100</v>
          </cell>
        </row>
        <row r="4396">
          <cell r="F4396" t="str">
            <v>CS PAD 100X60</v>
          </cell>
          <cell r="G4396" t="str">
            <v>CS PAD</v>
          </cell>
          <cell r="H4396" t="str">
            <v>N03-100060</v>
          </cell>
        </row>
        <row r="4397">
          <cell r="F4397" t="str">
            <v>CS PAD 90X260</v>
          </cell>
          <cell r="G4397" t="str">
            <v>CS PAD</v>
          </cell>
          <cell r="H4397" t="str">
            <v>N03-090260</v>
          </cell>
        </row>
        <row r="4398">
          <cell r="F4398" t="str">
            <v>CS PAD 90X160</v>
          </cell>
          <cell r="G4398" t="str">
            <v>CS PAD</v>
          </cell>
          <cell r="H4398" t="str">
            <v>N03-090160</v>
          </cell>
        </row>
        <row r="4399">
          <cell r="F4399" t="str">
            <v>CS PAD 90X100</v>
          </cell>
          <cell r="G4399" t="str">
            <v>CS PAD</v>
          </cell>
          <cell r="H4399" t="str">
            <v>N03-090100</v>
          </cell>
        </row>
        <row r="4400">
          <cell r="F4400" t="str">
            <v>CS PAD 90X90</v>
          </cell>
          <cell r="G4400" t="str">
            <v>CS PAD</v>
          </cell>
          <cell r="H4400" t="str">
            <v>N03-090090</v>
          </cell>
        </row>
        <row r="4401">
          <cell r="F4401" t="str">
            <v>CS PAD 80X260</v>
          </cell>
          <cell r="G4401" t="str">
            <v>CS PAD</v>
          </cell>
          <cell r="H4401" t="str">
            <v>N03-080260</v>
          </cell>
        </row>
        <row r="4402">
          <cell r="F4402" t="str">
            <v>CS PAD 80X235</v>
          </cell>
          <cell r="G4402" t="str">
            <v>CS PAD</v>
          </cell>
          <cell r="H4402" t="str">
            <v>N03-080235</v>
          </cell>
        </row>
        <row r="4403">
          <cell r="F4403" t="str">
            <v>CS PAD 80X190</v>
          </cell>
          <cell r="G4403" t="str">
            <v>CS PAD</v>
          </cell>
          <cell r="H4403" t="str">
            <v>N03-080190</v>
          </cell>
        </row>
        <row r="4404">
          <cell r="F4404" t="str">
            <v>CS PAD 80X180</v>
          </cell>
          <cell r="G4404" t="str">
            <v>CS PAD</v>
          </cell>
          <cell r="H4404" t="str">
            <v>N03-080180</v>
          </cell>
        </row>
        <row r="4405">
          <cell r="F4405" t="str">
            <v>CS PAD 80X170</v>
          </cell>
          <cell r="G4405" t="str">
            <v>CS PAD</v>
          </cell>
          <cell r="H4405" t="str">
            <v>N03-080170</v>
          </cell>
        </row>
        <row r="4406">
          <cell r="F4406" t="str">
            <v>CS PAD 80X150</v>
          </cell>
          <cell r="G4406" t="str">
            <v>CS PAD</v>
          </cell>
          <cell r="H4406" t="str">
            <v>N03-080150</v>
          </cell>
        </row>
        <row r="4407">
          <cell r="F4407" t="str">
            <v>CS PAD 80X100</v>
          </cell>
          <cell r="G4407" t="str">
            <v>CS PAD</v>
          </cell>
          <cell r="H4407" t="str">
            <v>N03-080100</v>
          </cell>
        </row>
        <row r="4408">
          <cell r="F4408" t="str">
            <v>CS PAD 80X90</v>
          </cell>
          <cell r="G4408" t="str">
            <v>CS PAD</v>
          </cell>
          <cell r="H4408" t="str">
            <v>N03-080090</v>
          </cell>
        </row>
        <row r="4409">
          <cell r="F4409" t="str">
            <v>CS PAD 80X80</v>
          </cell>
          <cell r="G4409" t="str">
            <v>CS PAD</v>
          </cell>
          <cell r="H4409" t="str">
            <v>N03-080080</v>
          </cell>
        </row>
        <row r="4410">
          <cell r="F4410" t="str">
            <v>CS PAD 80X70</v>
          </cell>
          <cell r="G4410" t="str">
            <v>CS PAD</v>
          </cell>
          <cell r="H4410" t="str">
            <v>N03-080070</v>
          </cell>
        </row>
        <row r="4411">
          <cell r="F4411" t="str">
            <v>CS PAD 70×390</v>
          </cell>
          <cell r="G4411" t="str">
            <v>CS PAD</v>
          </cell>
          <cell r="H4411" t="str">
            <v>N03-070390</v>
          </cell>
        </row>
        <row r="4412">
          <cell r="F4412" t="str">
            <v>CS PAD 70×180</v>
          </cell>
          <cell r="G4412" t="str">
            <v>CS PAD</v>
          </cell>
          <cell r="H4412" t="str">
            <v>N03-070180</v>
          </cell>
        </row>
        <row r="4413">
          <cell r="F4413" t="str">
            <v>CS PAD 70×170</v>
          </cell>
          <cell r="G4413" t="str">
            <v>CS PAD</v>
          </cell>
          <cell r="H4413" t="str">
            <v>N03-070170</v>
          </cell>
        </row>
        <row r="4414">
          <cell r="F4414" t="str">
            <v>CS PAD 70×150</v>
          </cell>
          <cell r="G4414" t="str">
            <v>CS PAD</v>
          </cell>
          <cell r="H4414" t="str">
            <v>N03-070150</v>
          </cell>
        </row>
        <row r="4415">
          <cell r="F4415" t="str">
            <v>CS PAD 70X120</v>
          </cell>
          <cell r="G4415" t="str">
            <v>CS PAD</v>
          </cell>
          <cell r="H4415" t="str">
            <v>N03-070120</v>
          </cell>
        </row>
        <row r="4416">
          <cell r="F4416" t="str">
            <v>CS PAD 70X110</v>
          </cell>
          <cell r="G4416" t="str">
            <v>CS PAD</v>
          </cell>
          <cell r="H4416" t="str">
            <v>N03-070110</v>
          </cell>
        </row>
        <row r="4417">
          <cell r="F4417" t="str">
            <v>CS PAD 70×100</v>
          </cell>
          <cell r="G4417" t="str">
            <v>CS PAD</v>
          </cell>
          <cell r="H4417" t="str">
            <v>N03-070100</v>
          </cell>
        </row>
        <row r="4418">
          <cell r="F4418" t="str">
            <v>CS PAD 70X90</v>
          </cell>
          <cell r="G4418" t="str">
            <v>CS PAD</v>
          </cell>
          <cell r="H4418" t="str">
            <v>N03-070090</v>
          </cell>
        </row>
        <row r="4419">
          <cell r="F4419" t="str">
            <v>CS PAD 70X80</v>
          </cell>
          <cell r="G4419" t="str">
            <v>CS PAD</v>
          </cell>
          <cell r="H4419" t="str">
            <v>N03-070080</v>
          </cell>
        </row>
        <row r="4420">
          <cell r="F4420" t="str">
            <v>CS PAD 70X60</v>
          </cell>
          <cell r="G4420" t="str">
            <v>CS PAD</v>
          </cell>
          <cell r="H4420" t="str">
            <v>N03-070060</v>
          </cell>
        </row>
        <row r="4421">
          <cell r="F4421" t="str">
            <v>CS PAD 60X650</v>
          </cell>
          <cell r="G4421" t="str">
            <v>CS PAD</v>
          </cell>
          <cell r="H4421" t="str">
            <v>N03-060650</v>
          </cell>
        </row>
        <row r="4422">
          <cell r="F4422" t="str">
            <v>CS PAD 60×570</v>
          </cell>
          <cell r="G4422" t="str">
            <v>CS PAD</v>
          </cell>
          <cell r="H4422" t="str">
            <v>N03-060570</v>
          </cell>
        </row>
        <row r="4423">
          <cell r="F4423" t="str">
            <v>CS PAD 60×370</v>
          </cell>
          <cell r="G4423" t="str">
            <v>CS PAD</v>
          </cell>
          <cell r="H4423" t="str">
            <v>N03-060370</v>
          </cell>
        </row>
        <row r="4424">
          <cell r="F4424" t="str">
            <v>CS PAD 60×355</v>
          </cell>
          <cell r="G4424" t="str">
            <v>CS PAD</v>
          </cell>
          <cell r="H4424" t="str">
            <v>N03-060355</v>
          </cell>
        </row>
        <row r="4425">
          <cell r="F4425" t="str">
            <v>CS PAD 60×330</v>
          </cell>
          <cell r="G4425" t="str">
            <v>CS PAD</v>
          </cell>
          <cell r="H4425" t="str">
            <v>N03-060330</v>
          </cell>
        </row>
        <row r="4426">
          <cell r="F4426" t="str">
            <v>CS PAD 60×325</v>
          </cell>
          <cell r="G4426" t="str">
            <v>CS PAD</v>
          </cell>
          <cell r="H4426" t="str">
            <v>N03-060325</v>
          </cell>
        </row>
        <row r="4427">
          <cell r="F4427" t="str">
            <v>CS PAD 60×320</v>
          </cell>
          <cell r="G4427" t="str">
            <v>CS PAD</v>
          </cell>
          <cell r="H4427" t="str">
            <v>N03-060320</v>
          </cell>
        </row>
        <row r="4428">
          <cell r="F4428" t="str">
            <v>CS PAD 60×310</v>
          </cell>
          <cell r="G4428" t="str">
            <v>CS PAD</v>
          </cell>
          <cell r="H4428" t="str">
            <v>N03-060310</v>
          </cell>
        </row>
        <row r="4429">
          <cell r="F4429" t="str">
            <v>CS PAD 60×305</v>
          </cell>
          <cell r="G4429" t="str">
            <v>CS PAD</v>
          </cell>
          <cell r="H4429" t="str">
            <v>N03-060305</v>
          </cell>
        </row>
        <row r="4430">
          <cell r="F4430" t="str">
            <v>CS PAD 60×300</v>
          </cell>
          <cell r="G4430" t="str">
            <v>CS PAD</v>
          </cell>
          <cell r="H4430" t="str">
            <v>N03-060300</v>
          </cell>
        </row>
        <row r="4431">
          <cell r="F4431" t="str">
            <v>CS PAD 60×280</v>
          </cell>
          <cell r="G4431" t="str">
            <v>CS PAD</v>
          </cell>
          <cell r="H4431" t="str">
            <v>N03-060280</v>
          </cell>
        </row>
        <row r="4432">
          <cell r="F4432" t="str">
            <v>CS PAD 60×270</v>
          </cell>
          <cell r="G4432" t="str">
            <v>CS PAD</v>
          </cell>
          <cell r="H4432" t="str">
            <v>N03-060270</v>
          </cell>
        </row>
        <row r="4433">
          <cell r="F4433" t="str">
            <v>CS PAD 60×250</v>
          </cell>
          <cell r="G4433" t="str">
            <v>CS PAD</v>
          </cell>
          <cell r="H4433" t="str">
            <v>N03-060250</v>
          </cell>
        </row>
        <row r="4434">
          <cell r="F4434" t="str">
            <v>CS PAD 60×190</v>
          </cell>
          <cell r="G4434" t="str">
            <v>CS PAD</v>
          </cell>
          <cell r="H4434" t="str">
            <v>N03-060190</v>
          </cell>
        </row>
        <row r="4435">
          <cell r="F4435" t="str">
            <v>CS PAD 60×180</v>
          </cell>
          <cell r="G4435" t="str">
            <v>CS PAD</v>
          </cell>
          <cell r="H4435" t="str">
            <v>N03-060180</v>
          </cell>
        </row>
        <row r="4436">
          <cell r="F4436" t="str">
            <v>CS PAD 60x160</v>
          </cell>
          <cell r="G4436" t="str">
            <v>CS PAD</v>
          </cell>
          <cell r="H4436" t="str">
            <v>N03-060160</v>
          </cell>
        </row>
        <row r="4437">
          <cell r="F4437" t="str">
            <v>CS PAD 60×150</v>
          </cell>
          <cell r="G4437" t="str">
            <v>CS PAD</v>
          </cell>
          <cell r="H4437" t="str">
            <v>N03-060150</v>
          </cell>
        </row>
        <row r="4438">
          <cell r="F4438" t="str">
            <v>CS PAD 60×140</v>
          </cell>
          <cell r="G4438" t="str">
            <v>CS PAD</v>
          </cell>
          <cell r="H4438" t="str">
            <v>N03-060140</v>
          </cell>
        </row>
        <row r="4439">
          <cell r="F4439" t="str">
            <v>CS PAD 60x135</v>
          </cell>
          <cell r="G4439" t="str">
            <v>CS PAD</v>
          </cell>
          <cell r="H4439" t="str">
            <v>N03-060135</v>
          </cell>
        </row>
        <row r="4440">
          <cell r="F4440" t="str">
            <v>CS PAD 60x130</v>
          </cell>
          <cell r="G4440" t="str">
            <v>CS PAD</v>
          </cell>
          <cell r="H4440" t="str">
            <v>N03-060130</v>
          </cell>
        </row>
        <row r="4441">
          <cell r="F4441" t="str">
            <v>CS PAD 60×120</v>
          </cell>
          <cell r="G4441" t="str">
            <v>CS PAD</v>
          </cell>
          <cell r="H4441" t="str">
            <v>N03-060120</v>
          </cell>
        </row>
        <row r="4442">
          <cell r="F4442" t="str">
            <v>CS PAD 60×110</v>
          </cell>
          <cell r="G4442" t="str">
            <v>CS PAD</v>
          </cell>
          <cell r="H4442" t="str">
            <v>N03-060110</v>
          </cell>
        </row>
        <row r="4443">
          <cell r="F4443" t="str">
            <v>CS PAD 60×100</v>
          </cell>
          <cell r="G4443" t="str">
            <v>CS PAD</v>
          </cell>
          <cell r="H4443" t="str">
            <v>N03-060100</v>
          </cell>
        </row>
        <row r="4444">
          <cell r="F4444" t="str">
            <v>CS PAD 60×90</v>
          </cell>
          <cell r="G4444" t="str">
            <v>CS PAD</v>
          </cell>
          <cell r="H4444" t="str">
            <v>N03-060090</v>
          </cell>
        </row>
        <row r="4445">
          <cell r="F4445" t="str">
            <v>CS PAD 60×80</v>
          </cell>
          <cell r="G4445" t="str">
            <v>CS PAD</v>
          </cell>
          <cell r="H4445" t="str">
            <v>N03-060080</v>
          </cell>
        </row>
        <row r="4446">
          <cell r="F4446" t="str">
            <v>CS PAD 60X70</v>
          </cell>
          <cell r="G4446" t="str">
            <v>CS PAD</v>
          </cell>
          <cell r="H4446" t="str">
            <v>N03-060070</v>
          </cell>
        </row>
        <row r="4447">
          <cell r="F4447" t="str">
            <v>CS PAD 60X60</v>
          </cell>
          <cell r="G4447" t="str">
            <v>CS PAD</v>
          </cell>
          <cell r="H4447" t="str">
            <v>N03-060060</v>
          </cell>
        </row>
        <row r="4448">
          <cell r="F4448" t="str">
            <v>CS PAD 50X650</v>
          </cell>
          <cell r="G4448" t="str">
            <v>CS PAD</v>
          </cell>
          <cell r="H4448" t="str">
            <v>N03-050650</v>
          </cell>
        </row>
        <row r="4449">
          <cell r="F4449" t="str">
            <v>CS PAD 50X590</v>
          </cell>
          <cell r="G4449" t="str">
            <v>CS PAD</v>
          </cell>
          <cell r="H4449" t="str">
            <v>N03-050590</v>
          </cell>
        </row>
        <row r="4450">
          <cell r="F4450" t="str">
            <v>CS PAD 50X570</v>
          </cell>
          <cell r="G4450" t="str">
            <v>CS PAD</v>
          </cell>
          <cell r="H4450" t="str">
            <v>N03-050570</v>
          </cell>
        </row>
        <row r="4451">
          <cell r="F4451" t="str">
            <v>CS PAD 50x390</v>
          </cell>
          <cell r="G4451" t="str">
            <v>CS PAD</v>
          </cell>
          <cell r="H4451" t="str">
            <v>N03-050390</v>
          </cell>
        </row>
        <row r="4452">
          <cell r="F4452" t="str">
            <v>CS PAD 50x385</v>
          </cell>
          <cell r="G4452" t="str">
            <v>CS PAD</v>
          </cell>
          <cell r="H4452" t="str">
            <v>N03-050385</v>
          </cell>
        </row>
        <row r="4453">
          <cell r="F4453" t="str">
            <v>CS PAD 50×370</v>
          </cell>
          <cell r="G4453" t="str">
            <v>CS PAD</v>
          </cell>
          <cell r="H4453" t="str">
            <v>N03-050370</v>
          </cell>
        </row>
        <row r="4454">
          <cell r="F4454" t="str">
            <v>CS PAD 50×355</v>
          </cell>
          <cell r="G4454" t="str">
            <v>CS PAD</v>
          </cell>
          <cell r="H4454" t="str">
            <v>N03-050355</v>
          </cell>
        </row>
        <row r="4455">
          <cell r="F4455" t="str">
            <v>CS PAD 50×330</v>
          </cell>
          <cell r="G4455" t="str">
            <v>CS PAD</v>
          </cell>
          <cell r="H4455" t="str">
            <v>N03-050330</v>
          </cell>
        </row>
        <row r="4456">
          <cell r="F4456" t="str">
            <v>CS PAD 50x325</v>
          </cell>
          <cell r="G4456" t="str">
            <v>CS PAD</v>
          </cell>
          <cell r="H4456" t="str">
            <v>N03-050325</v>
          </cell>
        </row>
        <row r="4457">
          <cell r="F4457" t="str">
            <v>CS PAD 50x320</v>
          </cell>
          <cell r="G4457" t="str">
            <v>CS PAD</v>
          </cell>
          <cell r="H4457" t="str">
            <v>N03-050320</v>
          </cell>
        </row>
        <row r="4458">
          <cell r="F4458" t="str">
            <v>CS PAD 50x315</v>
          </cell>
          <cell r="G4458" t="str">
            <v>CS PAD</v>
          </cell>
          <cell r="H4458" t="str">
            <v>N03-050315</v>
          </cell>
        </row>
        <row r="4459">
          <cell r="F4459" t="str">
            <v>CS PAD 50×310</v>
          </cell>
          <cell r="G4459" t="str">
            <v>CS PAD</v>
          </cell>
          <cell r="H4459" t="str">
            <v>N03-050310</v>
          </cell>
        </row>
        <row r="4460">
          <cell r="F4460" t="str">
            <v>CS PAD 50×305</v>
          </cell>
          <cell r="G4460" t="str">
            <v>CS PAD</v>
          </cell>
          <cell r="H4460" t="str">
            <v>N03-050305</v>
          </cell>
        </row>
        <row r="4461">
          <cell r="F4461" t="str">
            <v>CS PAD 50×300</v>
          </cell>
          <cell r="G4461" t="str">
            <v>CS PAD</v>
          </cell>
          <cell r="H4461" t="str">
            <v>N03-050300</v>
          </cell>
        </row>
        <row r="4462">
          <cell r="F4462" t="str">
            <v>CS PAD 50×290</v>
          </cell>
          <cell r="G4462" t="str">
            <v>CS PAD</v>
          </cell>
          <cell r="H4462" t="str">
            <v>N03-050290</v>
          </cell>
        </row>
        <row r="4463">
          <cell r="F4463" t="str">
            <v>CS PAD 50X285</v>
          </cell>
          <cell r="G4463" t="str">
            <v>CS PAD</v>
          </cell>
          <cell r="H4463" t="str">
            <v>N03-050285</v>
          </cell>
        </row>
        <row r="4464">
          <cell r="F4464" t="str">
            <v>CS PAD 50x280</v>
          </cell>
          <cell r="G4464" t="str">
            <v>CS PAD</v>
          </cell>
          <cell r="H4464" t="str">
            <v>N03-050280</v>
          </cell>
        </row>
        <row r="4465">
          <cell r="F4465" t="str">
            <v>CS PAD 50×270</v>
          </cell>
          <cell r="G4465" t="str">
            <v>CS PAD</v>
          </cell>
          <cell r="H4465" t="str">
            <v>N03-050270</v>
          </cell>
        </row>
        <row r="4466">
          <cell r="F4466" t="str">
            <v>CS PAD 50×260</v>
          </cell>
          <cell r="G4466" t="str">
            <v>CS PAD</v>
          </cell>
          <cell r="H4466" t="str">
            <v>N03-050260</v>
          </cell>
        </row>
        <row r="4467">
          <cell r="F4467" t="str">
            <v>CS PAD 50×250</v>
          </cell>
          <cell r="G4467" t="str">
            <v>CS PAD</v>
          </cell>
          <cell r="H4467" t="str">
            <v>N03-050250</v>
          </cell>
        </row>
        <row r="4468">
          <cell r="F4468" t="str">
            <v>CS PAD 50×230</v>
          </cell>
          <cell r="G4468" t="str">
            <v>CS PAD</v>
          </cell>
          <cell r="H4468" t="str">
            <v>N03-050230</v>
          </cell>
        </row>
        <row r="4469">
          <cell r="F4469" t="str">
            <v>CS PAD 50×210</v>
          </cell>
          <cell r="G4469" t="str">
            <v>CS PAD</v>
          </cell>
          <cell r="H4469" t="str">
            <v>N03-050210</v>
          </cell>
        </row>
        <row r="4470">
          <cell r="F4470" t="str">
            <v>CS PAD 50×200</v>
          </cell>
          <cell r="G4470" t="str">
            <v>CS PAD</v>
          </cell>
          <cell r="H4470" t="str">
            <v>N03-050200</v>
          </cell>
        </row>
        <row r="4471">
          <cell r="F4471" t="str">
            <v>CS PAD 50×195</v>
          </cell>
          <cell r="G4471" t="str">
            <v>CS PAD</v>
          </cell>
          <cell r="H4471" t="str">
            <v>N03-050195</v>
          </cell>
        </row>
        <row r="4472">
          <cell r="F4472" t="str">
            <v>CS PAD 50×190</v>
          </cell>
          <cell r="G4472" t="str">
            <v>CS PAD</v>
          </cell>
          <cell r="H4472" t="str">
            <v>N03-050190</v>
          </cell>
        </row>
        <row r="4473">
          <cell r="F4473" t="str">
            <v>CS PAD 50×185</v>
          </cell>
          <cell r="G4473" t="str">
            <v>CS PAD</v>
          </cell>
          <cell r="H4473" t="str">
            <v>N03-050185</v>
          </cell>
        </row>
        <row r="4474">
          <cell r="F4474" t="str">
            <v>CS PAD 50×180</v>
          </cell>
          <cell r="G4474" t="str">
            <v>CS PAD</v>
          </cell>
          <cell r="H4474" t="str">
            <v>N03-050180</v>
          </cell>
        </row>
        <row r="4475">
          <cell r="F4475" t="str">
            <v>CS PAD 50×175</v>
          </cell>
          <cell r="G4475" t="str">
            <v>CS PAD</v>
          </cell>
          <cell r="H4475" t="str">
            <v>N03-050175</v>
          </cell>
        </row>
        <row r="4476">
          <cell r="F4476" t="str">
            <v>CS PAD 50x160</v>
          </cell>
          <cell r="G4476" t="str">
            <v>CS PAD</v>
          </cell>
          <cell r="H4476" t="str">
            <v>N03-050160</v>
          </cell>
        </row>
        <row r="4477">
          <cell r="F4477" t="str">
            <v>CS PAD 50×150</v>
          </cell>
          <cell r="G4477" t="str">
            <v>CS PAD</v>
          </cell>
          <cell r="H4477" t="str">
            <v>N03-050150</v>
          </cell>
        </row>
        <row r="4478">
          <cell r="F4478" t="str">
            <v>CS PAD 50×140</v>
          </cell>
          <cell r="G4478" t="str">
            <v>CS PAD</v>
          </cell>
          <cell r="H4478" t="str">
            <v>N03-050140</v>
          </cell>
        </row>
        <row r="4479">
          <cell r="F4479" t="str">
            <v>CS PAD 50x135</v>
          </cell>
          <cell r="G4479" t="str">
            <v>CS PAD</v>
          </cell>
          <cell r="H4479" t="str">
            <v>N03-050135</v>
          </cell>
        </row>
        <row r="4480">
          <cell r="F4480" t="str">
            <v>CS PAD 50x130</v>
          </cell>
          <cell r="G4480" t="str">
            <v>CS PAD</v>
          </cell>
          <cell r="H4480" t="str">
            <v>N03-050130</v>
          </cell>
        </row>
        <row r="4481">
          <cell r="F4481" t="str">
            <v>CS PAD 50×120</v>
          </cell>
          <cell r="G4481" t="str">
            <v>CS PAD</v>
          </cell>
          <cell r="H4481" t="str">
            <v>N03-050120</v>
          </cell>
        </row>
        <row r="4482">
          <cell r="F4482" t="str">
            <v>CS PAD 50×110</v>
          </cell>
          <cell r="G4482" t="str">
            <v>CS PAD</v>
          </cell>
          <cell r="H4482" t="str">
            <v>N03-050110</v>
          </cell>
        </row>
        <row r="4483">
          <cell r="F4483" t="str">
            <v>CS PAD 50×100</v>
          </cell>
          <cell r="G4483" t="str">
            <v>CS PAD</v>
          </cell>
          <cell r="H4483" t="str">
            <v>N03-050100</v>
          </cell>
        </row>
        <row r="4484">
          <cell r="F4484" t="str">
            <v>CS PAD 50×95</v>
          </cell>
          <cell r="G4484" t="str">
            <v>CS PAD</v>
          </cell>
          <cell r="H4484" t="str">
            <v>N03-050095</v>
          </cell>
        </row>
        <row r="4485">
          <cell r="F4485" t="str">
            <v>CS PAD 50×90</v>
          </cell>
          <cell r="G4485" t="str">
            <v>CS PAD</v>
          </cell>
          <cell r="H4485" t="str">
            <v>N03-050090</v>
          </cell>
        </row>
        <row r="4486">
          <cell r="F4486" t="str">
            <v>CS PAD 50x85</v>
          </cell>
          <cell r="G4486" t="str">
            <v>CS PAD</v>
          </cell>
          <cell r="H4486" t="str">
            <v>N03-050085</v>
          </cell>
        </row>
        <row r="4487">
          <cell r="F4487" t="str">
            <v>CS PAD 50×80</v>
          </cell>
          <cell r="G4487" t="str">
            <v>CS PAD</v>
          </cell>
          <cell r="H4487" t="str">
            <v>N03-050080</v>
          </cell>
        </row>
        <row r="4488">
          <cell r="F4488" t="str">
            <v>CS PAD 50×70</v>
          </cell>
          <cell r="G4488" t="str">
            <v>CS PAD</v>
          </cell>
          <cell r="H4488" t="str">
            <v>N03-050070</v>
          </cell>
        </row>
        <row r="4489">
          <cell r="F4489" t="str">
            <v>CS PAD 50×60</v>
          </cell>
          <cell r="G4489" t="str">
            <v>CS PAD</v>
          </cell>
          <cell r="H4489" t="str">
            <v>N03-050060</v>
          </cell>
        </row>
        <row r="4490">
          <cell r="F4490" t="str">
            <v>CS PAD 50×50</v>
          </cell>
          <cell r="G4490" t="str">
            <v>CS PAD</v>
          </cell>
          <cell r="H4490" t="str">
            <v>N03-050050</v>
          </cell>
        </row>
        <row r="4491">
          <cell r="F4491" t="str">
            <v>CS PAD 45×300</v>
          </cell>
          <cell r="G4491" t="str">
            <v>CS PAD</v>
          </cell>
          <cell r="H4491" t="str">
            <v>N03-045300</v>
          </cell>
        </row>
        <row r="4492">
          <cell r="F4492" t="str">
            <v>CS PAD 45×290</v>
          </cell>
          <cell r="G4492" t="str">
            <v>CS PAD</v>
          </cell>
          <cell r="H4492" t="str">
            <v>N03-045290</v>
          </cell>
        </row>
        <row r="4493">
          <cell r="F4493" t="str">
            <v>CS PAD 45×140</v>
          </cell>
          <cell r="G4493" t="str">
            <v>CS PAD</v>
          </cell>
          <cell r="H4493" t="str">
            <v>N03-045130</v>
          </cell>
        </row>
        <row r="4494">
          <cell r="F4494" t="str">
            <v>CS PAD 40x885</v>
          </cell>
          <cell r="G4494" t="str">
            <v>CS PAD</v>
          </cell>
          <cell r="H4494" t="str">
            <v>N03-040885</v>
          </cell>
        </row>
        <row r="4495">
          <cell r="F4495" t="str">
            <v>CS PAD 40×735</v>
          </cell>
          <cell r="G4495" t="str">
            <v>CS PAD</v>
          </cell>
          <cell r="H4495" t="str">
            <v>N03-040735</v>
          </cell>
        </row>
        <row r="4496">
          <cell r="F4496" t="str">
            <v>CS PAD 40×715</v>
          </cell>
          <cell r="G4496" t="str">
            <v>CS PAD</v>
          </cell>
          <cell r="H4496" t="str">
            <v>N03-040715</v>
          </cell>
        </row>
        <row r="4497">
          <cell r="F4497" t="str">
            <v>CS PAD 40X695</v>
          </cell>
          <cell r="G4497" t="str">
            <v>CS PAD</v>
          </cell>
          <cell r="H4497" t="str">
            <v>N03-040695</v>
          </cell>
        </row>
        <row r="4498">
          <cell r="F4498" t="str">
            <v>CS PAD 40×690</v>
          </cell>
          <cell r="G4498" t="str">
            <v>CS PAD</v>
          </cell>
          <cell r="H4498" t="str">
            <v>N03-040690</v>
          </cell>
        </row>
        <row r="4499">
          <cell r="F4499" t="str">
            <v>CS PAD 40×650</v>
          </cell>
          <cell r="G4499" t="str">
            <v>CS PAD</v>
          </cell>
          <cell r="H4499" t="str">
            <v>N03-040650</v>
          </cell>
        </row>
        <row r="4500">
          <cell r="F4500" t="str">
            <v>CS PAD 40×610</v>
          </cell>
          <cell r="G4500" t="str">
            <v>CS PAD</v>
          </cell>
          <cell r="H4500" t="str">
            <v>N03-040610</v>
          </cell>
        </row>
        <row r="4501">
          <cell r="F4501" t="str">
            <v>CS PAD 40×600</v>
          </cell>
          <cell r="G4501" t="str">
            <v>CS PAD</v>
          </cell>
          <cell r="H4501" t="str">
            <v>N03-040600</v>
          </cell>
        </row>
        <row r="4502">
          <cell r="F4502" t="str">
            <v>CS PAD 40×580</v>
          </cell>
          <cell r="G4502" t="str">
            <v>CS PAD</v>
          </cell>
          <cell r="H4502" t="str">
            <v>N03-040580</v>
          </cell>
        </row>
        <row r="4503">
          <cell r="F4503" t="str">
            <v>CS PAD 40×470</v>
          </cell>
          <cell r="G4503" t="str">
            <v>CS PAD</v>
          </cell>
          <cell r="H4503" t="str">
            <v>N03-040470</v>
          </cell>
        </row>
        <row r="4504">
          <cell r="F4504" t="str">
            <v>CS PAD 40×460</v>
          </cell>
          <cell r="G4504" t="str">
            <v>CS PAD</v>
          </cell>
          <cell r="H4504" t="str">
            <v>N03-040460</v>
          </cell>
        </row>
        <row r="4505">
          <cell r="F4505" t="str">
            <v>CS PAD 40X440</v>
          </cell>
          <cell r="G4505" t="str">
            <v>CS PAD</v>
          </cell>
          <cell r="H4505" t="str">
            <v>N03-040440</v>
          </cell>
        </row>
        <row r="4506">
          <cell r="F4506" t="str">
            <v>CS PAD 40X435</v>
          </cell>
          <cell r="G4506" t="str">
            <v>CS PAD</v>
          </cell>
          <cell r="H4506" t="str">
            <v>N03-040435</v>
          </cell>
        </row>
        <row r="4507">
          <cell r="F4507" t="str">
            <v>CS PAD 40×420</v>
          </cell>
          <cell r="G4507" t="str">
            <v>CS PAD</v>
          </cell>
          <cell r="H4507" t="str">
            <v>N03-040420</v>
          </cell>
        </row>
        <row r="4508">
          <cell r="F4508" t="str">
            <v>CS PAD 40×400</v>
          </cell>
          <cell r="G4508" t="str">
            <v>CS PAD</v>
          </cell>
          <cell r="H4508" t="str">
            <v>N03-040400</v>
          </cell>
        </row>
        <row r="4509">
          <cell r="F4509" t="str">
            <v>CS PAD 40X385</v>
          </cell>
          <cell r="G4509" t="str">
            <v>CS PAD</v>
          </cell>
          <cell r="H4509" t="str">
            <v>N03-040385</v>
          </cell>
        </row>
        <row r="4510">
          <cell r="F4510" t="str">
            <v>CS PAD 40X380</v>
          </cell>
          <cell r="G4510" t="str">
            <v>CS PAD</v>
          </cell>
          <cell r="H4510" t="str">
            <v>N03-040380</v>
          </cell>
        </row>
        <row r="4511">
          <cell r="F4511" t="str">
            <v>CS PAD 40X370</v>
          </cell>
          <cell r="G4511" t="str">
            <v>CS PAD</v>
          </cell>
          <cell r="H4511" t="str">
            <v>N03-040370</v>
          </cell>
        </row>
        <row r="4512">
          <cell r="F4512" t="str">
            <v>CS PAD 40×340</v>
          </cell>
          <cell r="G4512" t="str">
            <v>CS PAD</v>
          </cell>
          <cell r="H4512" t="str">
            <v>N03-040340</v>
          </cell>
        </row>
        <row r="4513">
          <cell r="F4513" t="str">
            <v>CS PAD 40X330</v>
          </cell>
          <cell r="G4513" t="str">
            <v>CS PAD</v>
          </cell>
          <cell r="H4513" t="str">
            <v>N03-040330</v>
          </cell>
        </row>
        <row r="4514">
          <cell r="F4514" t="str">
            <v>CS PAD 40x320</v>
          </cell>
          <cell r="G4514" t="str">
            <v>CS PAD</v>
          </cell>
          <cell r="H4514" t="str">
            <v>N03-040320</v>
          </cell>
        </row>
        <row r="4515">
          <cell r="F4515" t="str">
            <v>CS PAD 40×310</v>
          </cell>
          <cell r="G4515" t="str">
            <v>CS PAD</v>
          </cell>
          <cell r="H4515" t="str">
            <v>N03-040310</v>
          </cell>
        </row>
        <row r="4516">
          <cell r="F4516" t="str">
            <v>CS PAD 40X305</v>
          </cell>
          <cell r="G4516" t="str">
            <v>CS PAD</v>
          </cell>
          <cell r="H4516" t="str">
            <v>N03-040305</v>
          </cell>
        </row>
        <row r="4517">
          <cell r="F4517" t="str">
            <v>CS PAD 40×300</v>
          </cell>
          <cell r="G4517" t="str">
            <v>CS PAD</v>
          </cell>
          <cell r="H4517" t="str">
            <v>N03-040300</v>
          </cell>
        </row>
        <row r="4518">
          <cell r="F4518" t="str">
            <v>CS PAD 40X290</v>
          </cell>
          <cell r="G4518" t="str">
            <v>CS PAD</v>
          </cell>
          <cell r="H4518" t="str">
            <v>N03-040290</v>
          </cell>
        </row>
        <row r="4519">
          <cell r="F4519" t="str">
            <v>CS PAD 40X285</v>
          </cell>
          <cell r="G4519" t="str">
            <v>CS PAD</v>
          </cell>
          <cell r="H4519" t="str">
            <v>N03-040285</v>
          </cell>
        </row>
        <row r="4520">
          <cell r="F4520" t="str">
            <v>CS PAD 40×280</v>
          </cell>
          <cell r="G4520" t="str">
            <v>CS PAD</v>
          </cell>
          <cell r="H4520" t="str">
            <v>N03-040280</v>
          </cell>
        </row>
        <row r="4521">
          <cell r="F4521" t="str">
            <v>CS PAD 40×270</v>
          </cell>
          <cell r="G4521" t="str">
            <v>CS PAD</v>
          </cell>
          <cell r="H4521" t="str">
            <v>N03-040270</v>
          </cell>
        </row>
        <row r="4522">
          <cell r="F4522" t="str">
            <v>CS PAD 40X260</v>
          </cell>
          <cell r="G4522" t="str">
            <v>CS PAD</v>
          </cell>
          <cell r="H4522" t="str">
            <v>N03-040260</v>
          </cell>
        </row>
        <row r="4523">
          <cell r="F4523" t="str">
            <v>CS PAD 40X250</v>
          </cell>
          <cell r="G4523" t="str">
            <v>CS PAD</v>
          </cell>
          <cell r="H4523" t="str">
            <v>N03-040250</v>
          </cell>
        </row>
        <row r="4524">
          <cell r="F4524" t="str">
            <v>CS PAD 40X240</v>
          </cell>
          <cell r="G4524" t="str">
            <v>CS PAD</v>
          </cell>
          <cell r="H4524" t="str">
            <v>N03-040240</v>
          </cell>
        </row>
        <row r="4525">
          <cell r="F4525" t="str">
            <v>CS PAD 40×230</v>
          </cell>
          <cell r="G4525" t="str">
            <v>CS PAD</v>
          </cell>
          <cell r="H4525" t="str">
            <v>N03-040230</v>
          </cell>
        </row>
        <row r="4526">
          <cell r="F4526" t="str">
            <v>CS PAD 40X220</v>
          </cell>
          <cell r="G4526" t="str">
            <v>CS PAD</v>
          </cell>
          <cell r="H4526" t="str">
            <v>N03-040220</v>
          </cell>
        </row>
        <row r="4527">
          <cell r="F4527" t="str">
            <v>CS PAD 40×210</v>
          </cell>
          <cell r="G4527" t="str">
            <v>CS PAD</v>
          </cell>
          <cell r="H4527" t="str">
            <v>N03-040210</v>
          </cell>
        </row>
        <row r="4528">
          <cell r="F4528" t="str">
            <v>CS PAD 40×205</v>
          </cell>
          <cell r="G4528" t="str">
            <v>CS PAD</v>
          </cell>
          <cell r="H4528" t="str">
            <v>N03-040205</v>
          </cell>
        </row>
        <row r="4529">
          <cell r="F4529" t="str">
            <v>CS PAD 40×200</v>
          </cell>
          <cell r="G4529" t="str">
            <v>CS PAD</v>
          </cell>
          <cell r="H4529" t="str">
            <v>N03-040200</v>
          </cell>
        </row>
        <row r="4530">
          <cell r="F4530" t="str">
            <v>CS PAD 40X195</v>
          </cell>
          <cell r="G4530" t="str">
            <v>CS PAD</v>
          </cell>
          <cell r="H4530" t="str">
            <v>N03-040195</v>
          </cell>
        </row>
        <row r="4531">
          <cell r="F4531" t="str">
            <v>CS PAD 40×190</v>
          </cell>
          <cell r="G4531" t="str">
            <v>CS PAD</v>
          </cell>
          <cell r="H4531" t="str">
            <v>N03-040190</v>
          </cell>
        </row>
        <row r="4532">
          <cell r="F4532" t="str">
            <v>CS PAD 40×185</v>
          </cell>
          <cell r="G4532" t="str">
            <v>CS PAD</v>
          </cell>
          <cell r="H4532" t="str">
            <v>N03-040185</v>
          </cell>
        </row>
        <row r="4533">
          <cell r="F4533" t="str">
            <v>CS PAD 40×180</v>
          </cell>
          <cell r="G4533" t="str">
            <v>CS PAD</v>
          </cell>
          <cell r="H4533" t="str">
            <v>N03-040180</v>
          </cell>
        </row>
        <row r="4534">
          <cell r="F4534" t="str">
            <v>CS PAD 40×175</v>
          </cell>
          <cell r="G4534" t="str">
            <v>CS PAD</v>
          </cell>
          <cell r="H4534" t="str">
            <v>N03-040175</v>
          </cell>
        </row>
        <row r="4535">
          <cell r="F4535" t="str">
            <v>CS PAD 40×170</v>
          </cell>
          <cell r="G4535" t="str">
            <v>CS PAD</v>
          </cell>
          <cell r="H4535" t="str">
            <v>N03-040170</v>
          </cell>
        </row>
        <row r="4536">
          <cell r="F4536" t="str">
            <v>CS PAD 40×160</v>
          </cell>
          <cell r="G4536" t="str">
            <v>CS PAD</v>
          </cell>
          <cell r="H4536" t="str">
            <v>N03-040160</v>
          </cell>
        </row>
        <row r="4537">
          <cell r="F4537" t="str">
            <v>CS PAD 40×155</v>
          </cell>
          <cell r="G4537" t="str">
            <v>CS PAD</v>
          </cell>
          <cell r="H4537" t="str">
            <v>N03-040155</v>
          </cell>
        </row>
        <row r="4538">
          <cell r="F4538" t="str">
            <v>CS PAD 40×150</v>
          </cell>
          <cell r="G4538" t="str">
            <v>CS PAD</v>
          </cell>
          <cell r="H4538" t="str">
            <v>N03-040150</v>
          </cell>
        </row>
        <row r="4539">
          <cell r="F4539" t="str">
            <v>CS PAD 40×145</v>
          </cell>
          <cell r="G4539" t="str">
            <v>CS PAD</v>
          </cell>
          <cell r="H4539" t="str">
            <v>N03-040145</v>
          </cell>
        </row>
        <row r="4540">
          <cell r="F4540" t="str">
            <v>CS PAD 40×140</v>
          </cell>
          <cell r="G4540" t="str">
            <v>CS PAD</v>
          </cell>
          <cell r="H4540" t="str">
            <v>N03-040140</v>
          </cell>
        </row>
        <row r="4541">
          <cell r="F4541" t="str">
            <v>CS PAD 40×135</v>
          </cell>
          <cell r="G4541" t="str">
            <v>CS PAD</v>
          </cell>
          <cell r="H4541" t="str">
            <v>N03-040135</v>
          </cell>
        </row>
        <row r="4542">
          <cell r="F4542" t="str">
            <v>CS PAD 40×130</v>
          </cell>
          <cell r="G4542" t="str">
            <v>CS PAD</v>
          </cell>
          <cell r="H4542" t="str">
            <v>N03-040130</v>
          </cell>
        </row>
        <row r="4543">
          <cell r="F4543" t="str">
            <v>CS PAD 40×120</v>
          </cell>
          <cell r="G4543" t="str">
            <v>CS PAD</v>
          </cell>
          <cell r="H4543" t="str">
            <v>N03-040120</v>
          </cell>
        </row>
        <row r="4544">
          <cell r="F4544" t="str">
            <v>CS PAD 40X115</v>
          </cell>
          <cell r="G4544" t="str">
            <v>CS PAD</v>
          </cell>
          <cell r="H4544" t="str">
            <v>N03-040115</v>
          </cell>
        </row>
        <row r="4545">
          <cell r="F4545" t="str">
            <v>CS PAD 40×110</v>
          </cell>
          <cell r="G4545" t="str">
            <v>CS PAD</v>
          </cell>
          <cell r="H4545" t="str">
            <v>N03-040110</v>
          </cell>
        </row>
        <row r="4546">
          <cell r="F4546" t="str">
            <v>CS PAD 40x105</v>
          </cell>
          <cell r="G4546" t="str">
            <v>CS PAD</v>
          </cell>
          <cell r="H4546" t="str">
            <v>N03-040105</v>
          </cell>
        </row>
        <row r="4547">
          <cell r="F4547" t="str">
            <v>CS PAD 40x100</v>
          </cell>
          <cell r="G4547" t="str">
            <v>CS PAD</v>
          </cell>
          <cell r="H4547" t="str">
            <v>N03-040100</v>
          </cell>
        </row>
        <row r="4548">
          <cell r="F4548" t="str">
            <v>CS PAD 40×90</v>
          </cell>
          <cell r="G4548" t="str">
            <v>CS PAD</v>
          </cell>
          <cell r="H4548" t="str">
            <v>N03-040090</v>
          </cell>
        </row>
        <row r="4549">
          <cell r="F4549" t="str">
            <v>CS PAD 40x85</v>
          </cell>
          <cell r="G4549" t="str">
            <v>CS PAD</v>
          </cell>
          <cell r="H4549" t="str">
            <v>N03-040085</v>
          </cell>
        </row>
        <row r="4550">
          <cell r="F4550" t="str">
            <v>CS PAD 40x80</v>
          </cell>
          <cell r="G4550" t="str">
            <v>CS PAD</v>
          </cell>
          <cell r="H4550" t="str">
            <v>N03-040080</v>
          </cell>
        </row>
        <row r="4551">
          <cell r="F4551" t="str">
            <v>CS PAD 40×75</v>
          </cell>
          <cell r="G4551" t="str">
            <v>CS PAD</v>
          </cell>
          <cell r="H4551" t="str">
            <v>N03-040075</v>
          </cell>
        </row>
        <row r="4552">
          <cell r="F4552" t="str">
            <v>CS PAD 40×70</v>
          </cell>
          <cell r="G4552" t="str">
            <v>CS PAD</v>
          </cell>
          <cell r="H4552" t="str">
            <v>N03-040070</v>
          </cell>
        </row>
        <row r="4553">
          <cell r="F4553" t="str">
            <v>CS PAD 40x65</v>
          </cell>
          <cell r="G4553" t="str">
            <v>CS PAD</v>
          </cell>
          <cell r="H4553" t="str">
            <v>N03-040065</v>
          </cell>
        </row>
        <row r="4554">
          <cell r="F4554" t="str">
            <v>CS PAD 40x60</v>
          </cell>
          <cell r="G4554" t="str">
            <v>CS PAD</v>
          </cell>
          <cell r="H4554" t="str">
            <v>N03-040060</v>
          </cell>
        </row>
        <row r="4555">
          <cell r="F4555" t="str">
            <v>CS PAD 40×50</v>
          </cell>
          <cell r="G4555" t="str">
            <v>CS PAD</v>
          </cell>
          <cell r="H4555" t="str">
            <v>N03-040050</v>
          </cell>
        </row>
        <row r="4556">
          <cell r="F4556" t="str">
            <v>CS PAD 40×40</v>
          </cell>
          <cell r="G4556" t="str">
            <v>CS PAD</v>
          </cell>
          <cell r="H4556" t="str">
            <v>N03-040040</v>
          </cell>
        </row>
        <row r="4557">
          <cell r="F4557" t="str">
            <v>CS PAD 35×40</v>
          </cell>
          <cell r="G4557" t="str">
            <v>CS PAD</v>
          </cell>
          <cell r="H4557" t="str">
            <v>N03-035040</v>
          </cell>
        </row>
        <row r="4558">
          <cell r="F4558" t="str">
            <v>CS PAD 30×905</v>
          </cell>
          <cell r="G4558" t="str">
            <v>CS PAD</v>
          </cell>
          <cell r="H4558" t="str">
            <v>N03-030905</v>
          </cell>
        </row>
        <row r="4559">
          <cell r="F4559" t="str">
            <v>CS PAD 30×885</v>
          </cell>
          <cell r="G4559" t="str">
            <v>CS PAD</v>
          </cell>
          <cell r="H4559" t="str">
            <v>N03-030885</v>
          </cell>
        </row>
        <row r="4560">
          <cell r="F4560" t="str">
            <v>CS PAD 30×735</v>
          </cell>
          <cell r="G4560" t="str">
            <v>CS PAD</v>
          </cell>
          <cell r="H4560" t="str">
            <v>N03-030735</v>
          </cell>
        </row>
        <row r="4561">
          <cell r="F4561" t="str">
            <v>CS PAD 30x715</v>
          </cell>
          <cell r="G4561" t="str">
            <v>CS PAD</v>
          </cell>
          <cell r="H4561" t="str">
            <v>N03-030715</v>
          </cell>
        </row>
        <row r="4562">
          <cell r="F4562" t="str">
            <v>CS PAD 30x705</v>
          </cell>
          <cell r="G4562" t="str">
            <v>CS PAD</v>
          </cell>
          <cell r="H4562" t="str">
            <v>N03-030705</v>
          </cell>
        </row>
        <row r="4563">
          <cell r="F4563" t="str">
            <v>CS PAD 30X695</v>
          </cell>
          <cell r="G4563" t="str">
            <v>CS PAD</v>
          </cell>
          <cell r="H4563" t="str">
            <v>N03-030695</v>
          </cell>
        </row>
        <row r="4564">
          <cell r="F4564" t="str">
            <v>CS PAD 30×570</v>
          </cell>
          <cell r="G4564" t="str">
            <v>CS PAD</v>
          </cell>
          <cell r="H4564" t="str">
            <v>N03-030570</v>
          </cell>
        </row>
        <row r="4565">
          <cell r="F4565" t="str">
            <v>CS PAD 30×550</v>
          </cell>
          <cell r="G4565" t="str">
            <v>CS PAD</v>
          </cell>
          <cell r="H4565" t="str">
            <v>N03-030550</v>
          </cell>
        </row>
        <row r="4566">
          <cell r="F4566" t="str">
            <v>CS PAD 30x435</v>
          </cell>
          <cell r="G4566" t="str">
            <v>CS PAD</v>
          </cell>
          <cell r="H4566" t="str">
            <v>N03-030435</v>
          </cell>
        </row>
        <row r="4567">
          <cell r="F4567" t="str">
            <v>CS PAD 30x430</v>
          </cell>
          <cell r="G4567" t="str">
            <v>CS PAD</v>
          </cell>
          <cell r="H4567" t="str">
            <v>N03-030430</v>
          </cell>
        </row>
        <row r="4568">
          <cell r="F4568" t="str">
            <v>CS PAD 30×420</v>
          </cell>
          <cell r="G4568" t="str">
            <v>CS PAD</v>
          </cell>
          <cell r="H4568" t="str">
            <v>N03-030420</v>
          </cell>
        </row>
        <row r="4569">
          <cell r="F4569" t="str">
            <v>CS PAD 30×400</v>
          </cell>
          <cell r="G4569" t="str">
            <v>CS PAD</v>
          </cell>
          <cell r="H4569" t="str">
            <v>N03-030400</v>
          </cell>
        </row>
        <row r="4570">
          <cell r="F4570" t="str">
            <v>CS PAD 30×385</v>
          </cell>
          <cell r="G4570" t="str">
            <v>CS PAD</v>
          </cell>
          <cell r="H4570" t="str">
            <v>N03-030385</v>
          </cell>
        </row>
        <row r="4571">
          <cell r="F4571" t="str">
            <v>CS PAD 30×380</v>
          </cell>
          <cell r="G4571" t="str">
            <v>CS PAD</v>
          </cell>
          <cell r="H4571" t="str">
            <v>N03-030380</v>
          </cell>
        </row>
        <row r="4572">
          <cell r="F4572" t="str">
            <v>CS PAD 30×370</v>
          </cell>
          <cell r="G4572" t="str">
            <v>CS PAD</v>
          </cell>
          <cell r="H4572" t="str">
            <v>N03-030370</v>
          </cell>
        </row>
        <row r="4573">
          <cell r="F4573" t="str">
            <v>CS PAD 30×365</v>
          </cell>
          <cell r="G4573" t="str">
            <v>CS PAD</v>
          </cell>
          <cell r="H4573" t="str">
            <v>N03-030365</v>
          </cell>
        </row>
        <row r="4574">
          <cell r="F4574" t="str">
            <v>CS PAD 30×350</v>
          </cell>
          <cell r="G4574" t="str">
            <v>CS PAD</v>
          </cell>
          <cell r="H4574" t="str">
            <v>N03-030350</v>
          </cell>
        </row>
        <row r="4575">
          <cell r="F4575" t="str">
            <v>CS PAD 30x330</v>
          </cell>
          <cell r="G4575" t="str">
            <v>CS PAD</v>
          </cell>
          <cell r="H4575" t="str">
            <v>N03-030330</v>
          </cell>
        </row>
        <row r="4576">
          <cell r="F4576" t="str">
            <v>CS PAD 30×320</v>
          </cell>
          <cell r="G4576" t="str">
            <v>CS PAD</v>
          </cell>
          <cell r="H4576" t="str">
            <v>N03-030320</v>
          </cell>
        </row>
        <row r="4577">
          <cell r="F4577" t="str">
            <v>CS PAD 30x310</v>
          </cell>
          <cell r="G4577" t="str">
            <v>CS PAD</v>
          </cell>
          <cell r="H4577" t="str">
            <v>N03-030310</v>
          </cell>
        </row>
        <row r="4578">
          <cell r="F4578" t="str">
            <v>CS PAD 30x305</v>
          </cell>
          <cell r="G4578" t="str">
            <v>CS PAD</v>
          </cell>
          <cell r="H4578" t="str">
            <v>N03-030305</v>
          </cell>
        </row>
        <row r="4579">
          <cell r="F4579" t="str">
            <v>CS PAD 30X300</v>
          </cell>
          <cell r="G4579" t="str">
            <v>CS PAD</v>
          </cell>
          <cell r="H4579" t="str">
            <v>N03-030300</v>
          </cell>
        </row>
        <row r="4580">
          <cell r="F4580" t="str">
            <v>CS PAD 30×295</v>
          </cell>
          <cell r="G4580" t="str">
            <v>CS PAD</v>
          </cell>
          <cell r="H4580" t="str">
            <v>N03-030295</v>
          </cell>
        </row>
        <row r="4581">
          <cell r="F4581" t="str">
            <v>CS PAD 30×290</v>
          </cell>
          <cell r="G4581" t="str">
            <v>CS PAD</v>
          </cell>
          <cell r="H4581" t="str">
            <v>N03-030290</v>
          </cell>
        </row>
        <row r="4582">
          <cell r="F4582" t="str">
            <v>CS PAD 30×280</v>
          </cell>
          <cell r="G4582" t="str">
            <v>CS PAD</v>
          </cell>
          <cell r="H4582" t="str">
            <v>N03-030280</v>
          </cell>
        </row>
        <row r="4583">
          <cell r="F4583" t="str">
            <v>CS PAD 30×275</v>
          </cell>
          <cell r="G4583" t="str">
            <v>CS PAD</v>
          </cell>
          <cell r="H4583" t="str">
            <v>N03-030275</v>
          </cell>
        </row>
        <row r="4584">
          <cell r="F4584" t="str">
            <v>CS PAD 30×270</v>
          </cell>
          <cell r="G4584" t="str">
            <v>CS PAD</v>
          </cell>
          <cell r="H4584" t="str">
            <v>N03-030270</v>
          </cell>
        </row>
        <row r="4585">
          <cell r="F4585" t="str">
            <v>CS PAD 30×260</v>
          </cell>
          <cell r="G4585" t="str">
            <v>CS PAD</v>
          </cell>
          <cell r="H4585" t="str">
            <v>N03-030260</v>
          </cell>
        </row>
        <row r="4586">
          <cell r="F4586" t="str">
            <v>CS PAD 30×255</v>
          </cell>
          <cell r="G4586" t="str">
            <v>CS PAD</v>
          </cell>
          <cell r="H4586" t="str">
            <v>N03-030255</v>
          </cell>
        </row>
        <row r="4587">
          <cell r="F4587" t="str">
            <v>CS PAD 30×250</v>
          </cell>
          <cell r="G4587" t="str">
            <v>CS PAD</v>
          </cell>
          <cell r="H4587" t="str">
            <v>N03-030250</v>
          </cell>
        </row>
        <row r="4588">
          <cell r="F4588" t="str">
            <v>CS PAD 30×240</v>
          </cell>
          <cell r="G4588" t="str">
            <v>CS PAD</v>
          </cell>
          <cell r="H4588" t="str">
            <v>N03-030240</v>
          </cell>
        </row>
        <row r="4589">
          <cell r="F4589" t="str">
            <v>CS PAD 30X235</v>
          </cell>
          <cell r="G4589" t="str">
            <v>CS PAD</v>
          </cell>
          <cell r="H4589" t="str">
            <v>N03-030235</v>
          </cell>
        </row>
        <row r="4590">
          <cell r="F4590" t="str">
            <v>CS PAD 30×230</v>
          </cell>
          <cell r="G4590" t="str">
            <v>CS PAD</v>
          </cell>
          <cell r="H4590" t="str">
            <v>N03-030230</v>
          </cell>
        </row>
        <row r="4591">
          <cell r="F4591" t="str">
            <v>CS PAD 30×220</v>
          </cell>
          <cell r="G4591" t="str">
            <v>CS PAD</v>
          </cell>
          <cell r="H4591" t="str">
            <v>N03-030220</v>
          </cell>
        </row>
        <row r="4592">
          <cell r="F4592" t="str">
            <v>CS PAD 30×215</v>
          </cell>
          <cell r="G4592" t="str">
            <v>CS PAD</v>
          </cell>
          <cell r="H4592" t="str">
            <v>N03-030215</v>
          </cell>
        </row>
        <row r="4593">
          <cell r="F4593" t="str">
            <v>CS PAD 30×210</v>
          </cell>
          <cell r="G4593" t="str">
            <v>CS PAD</v>
          </cell>
          <cell r="H4593" t="str">
            <v>N03-030210</v>
          </cell>
        </row>
        <row r="4594">
          <cell r="F4594" t="str">
            <v>CS PAD 30x205</v>
          </cell>
          <cell r="G4594" t="str">
            <v>CS PAD</v>
          </cell>
          <cell r="H4594" t="str">
            <v>N03-030205</v>
          </cell>
        </row>
        <row r="4595">
          <cell r="F4595" t="str">
            <v>CS PAD 30×200</v>
          </cell>
          <cell r="G4595" t="str">
            <v>CS PAD</v>
          </cell>
          <cell r="H4595" t="str">
            <v>N03-030200</v>
          </cell>
        </row>
        <row r="4596">
          <cell r="F4596" t="str">
            <v>CS PAD 30×195</v>
          </cell>
          <cell r="G4596" t="str">
            <v>CS PAD</v>
          </cell>
          <cell r="H4596" t="str">
            <v>N03-030195</v>
          </cell>
        </row>
        <row r="4597">
          <cell r="F4597" t="str">
            <v>CS PAD 30×190</v>
          </cell>
          <cell r="G4597" t="str">
            <v>CS PAD</v>
          </cell>
          <cell r="H4597" t="str">
            <v>N03-030190</v>
          </cell>
        </row>
        <row r="4598">
          <cell r="F4598" t="str">
            <v>CS PAD 30×185</v>
          </cell>
          <cell r="G4598" t="str">
            <v>CS PAD</v>
          </cell>
          <cell r="H4598" t="str">
            <v>N03-030185</v>
          </cell>
        </row>
        <row r="4599">
          <cell r="F4599" t="str">
            <v>CS PAD 30×180</v>
          </cell>
          <cell r="G4599" t="str">
            <v>CS PAD</v>
          </cell>
          <cell r="H4599" t="str">
            <v>N03-030180</v>
          </cell>
        </row>
        <row r="4600">
          <cell r="F4600" t="str">
            <v>CS PAD 30×170</v>
          </cell>
          <cell r="G4600" t="str">
            <v>CS PAD</v>
          </cell>
          <cell r="H4600" t="str">
            <v>N03-030170</v>
          </cell>
        </row>
        <row r="4601">
          <cell r="F4601" t="str">
            <v>CS PAD 30×165</v>
          </cell>
          <cell r="G4601" t="str">
            <v>CS PAD</v>
          </cell>
          <cell r="H4601" t="str">
            <v>N03-030165</v>
          </cell>
        </row>
        <row r="4602">
          <cell r="F4602" t="str">
            <v>CS PAD 30×160</v>
          </cell>
          <cell r="G4602" t="str">
            <v>CS PAD</v>
          </cell>
          <cell r="H4602" t="str">
            <v>N03-030160</v>
          </cell>
        </row>
        <row r="4603">
          <cell r="F4603" t="str">
            <v>CS PAD 30×155</v>
          </cell>
          <cell r="G4603" t="str">
            <v>CS PAD</v>
          </cell>
          <cell r="H4603" t="str">
            <v>N03-030155</v>
          </cell>
        </row>
        <row r="4604">
          <cell r="F4604" t="str">
            <v>CS PAD 30×150</v>
          </cell>
          <cell r="G4604" t="str">
            <v>CS PAD</v>
          </cell>
          <cell r="H4604" t="str">
            <v>N03-030150</v>
          </cell>
        </row>
        <row r="4605">
          <cell r="F4605" t="str">
            <v>CS PAD 30×145</v>
          </cell>
          <cell r="G4605" t="str">
            <v>CS PAD</v>
          </cell>
          <cell r="H4605" t="str">
            <v>N03-030145</v>
          </cell>
        </row>
        <row r="4606">
          <cell r="F4606" t="str">
            <v>CS PAD 30×140</v>
          </cell>
          <cell r="G4606" t="str">
            <v>CS PAD</v>
          </cell>
          <cell r="H4606" t="str">
            <v>N03-030140</v>
          </cell>
        </row>
        <row r="4607">
          <cell r="F4607" t="str">
            <v>CS PAD 30×130</v>
          </cell>
          <cell r="G4607" t="str">
            <v>CS PAD</v>
          </cell>
          <cell r="H4607" t="str">
            <v>N03-030130</v>
          </cell>
        </row>
        <row r="4608">
          <cell r="F4608" t="str">
            <v>CS PAD 30×120</v>
          </cell>
          <cell r="G4608" t="str">
            <v>CS PAD</v>
          </cell>
          <cell r="H4608" t="str">
            <v>N03-030120</v>
          </cell>
        </row>
        <row r="4609">
          <cell r="F4609" t="str">
            <v>CS PAD 30×115</v>
          </cell>
          <cell r="G4609" t="str">
            <v>CS PAD</v>
          </cell>
          <cell r="H4609" t="str">
            <v>N03-030115</v>
          </cell>
        </row>
        <row r="4610">
          <cell r="F4610" t="str">
            <v>CS PAD 30×110</v>
          </cell>
          <cell r="G4610" t="str">
            <v>CS PAD</v>
          </cell>
          <cell r="H4610" t="str">
            <v>N03-030110</v>
          </cell>
        </row>
        <row r="4611">
          <cell r="F4611" t="str">
            <v>CS PAD 30x105</v>
          </cell>
          <cell r="G4611" t="str">
            <v>CS PAD</v>
          </cell>
          <cell r="H4611" t="str">
            <v>N03-030105</v>
          </cell>
        </row>
        <row r="4612">
          <cell r="F4612" t="str">
            <v>CS PAD 30×100</v>
          </cell>
          <cell r="G4612" t="str">
            <v>CS PAD</v>
          </cell>
          <cell r="H4612" t="str">
            <v>N03-030100</v>
          </cell>
        </row>
        <row r="4613">
          <cell r="F4613" t="str">
            <v>CS PAD 30×90</v>
          </cell>
          <cell r="G4613" t="str">
            <v>CS PAD</v>
          </cell>
          <cell r="H4613" t="str">
            <v>N03-030090</v>
          </cell>
        </row>
        <row r="4614">
          <cell r="F4614" t="str">
            <v>CS PAD 30×85</v>
          </cell>
          <cell r="G4614" t="str">
            <v>CS PAD</v>
          </cell>
          <cell r="H4614" t="str">
            <v>N03-030085</v>
          </cell>
        </row>
        <row r="4615">
          <cell r="F4615" t="str">
            <v>CS PAD 30×80</v>
          </cell>
          <cell r="G4615" t="str">
            <v>CS PAD</v>
          </cell>
          <cell r="H4615" t="str">
            <v>N03-030080</v>
          </cell>
        </row>
        <row r="4616">
          <cell r="F4616" t="str">
            <v>CS PAD 30x75</v>
          </cell>
          <cell r="G4616" t="str">
            <v>CS PAD</v>
          </cell>
          <cell r="H4616" t="str">
            <v>N03-030075</v>
          </cell>
        </row>
        <row r="4617">
          <cell r="F4617" t="str">
            <v>CS PAD 30×70</v>
          </cell>
          <cell r="G4617" t="str">
            <v>CS PAD</v>
          </cell>
          <cell r="H4617" t="str">
            <v>N03-030070</v>
          </cell>
        </row>
        <row r="4618">
          <cell r="F4618" t="str">
            <v>CS PAD 30×65</v>
          </cell>
          <cell r="G4618" t="str">
            <v>CS PAD</v>
          </cell>
          <cell r="H4618" t="str">
            <v>N03-030065</v>
          </cell>
        </row>
        <row r="4619">
          <cell r="F4619" t="str">
            <v>CS PAD 30×60</v>
          </cell>
          <cell r="G4619" t="str">
            <v>CS PAD</v>
          </cell>
          <cell r="H4619" t="str">
            <v>N03-030060</v>
          </cell>
        </row>
        <row r="4620">
          <cell r="F4620" t="str">
            <v>CS PAD 30×55</v>
          </cell>
          <cell r="G4620" t="str">
            <v>CS PAD</v>
          </cell>
          <cell r="H4620" t="str">
            <v>N03-030055</v>
          </cell>
        </row>
        <row r="4621">
          <cell r="F4621" t="str">
            <v>CS PAD 30×50</v>
          </cell>
          <cell r="G4621" t="str">
            <v>CS PAD</v>
          </cell>
          <cell r="H4621" t="str">
            <v>N03-030050</v>
          </cell>
        </row>
        <row r="4622">
          <cell r="F4622" t="str">
            <v>CS PAD 30x45</v>
          </cell>
          <cell r="G4622" t="str">
            <v>CS PAD</v>
          </cell>
          <cell r="H4622" t="str">
            <v>N03-030045</v>
          </cell>
        </row>
        <row r="4623">
          <cell r="F4623" t="str">
            <v>CS PAD 30×40</v>
          </cell>
          <cell r="G4623" t="str">
            <v>CS PAD</v>
          </cell>
          <cell r="H4623" t="str">
            <v>N03-030040</v>
          </cell>
        </row>
        <row r="4624">
          <cell r="F4624" t="str">
            <v>CS PAD 30x35</v>
          </cell>
          <cell r="G4624" t="str">
            <v>CS PAD</v>
          </cell>
          <cell r="H4624" t="str">
            <v>N03-030035</v>
          </cell>
        </row>
        <row r="4625">
          <cell r="F4625" t="str">
            <v>CS PAD 30×30</v>
          </cell>
          <cell r="G4625" t="str">
            <v>CS PAD</v>
          </cell>
          <cell r="H4625" t="str">
            <v>N03-030030</v>
          </cell>
        </row>
        <row r="4626">
          <cell r="F4626" t="str">
            <v>CS PAD 25×55</v>
          </cell>
          <cell r="G4626" t="str">
            <v>CS PAD</v>
          </cell>
          <cell r="H4626" t="str">
            <v>N03-025055</v>
          </cell>
        </row>
        <row r="4627">
          <cell r="F4627" t="str">
            <v>CS PAD 25×40</v>
          </cell>
          <cell r="G4627" t="str">
            <v>CS PAD</v>
          </cell>
          <cell r="H4627" t="str">
            <v>N03-025040</v>
          </cell>
        </row>
        <row r="4628">
          <cell r="F4628" t="str">
            <v>CS PAD 20×170</v>
          </cell>
          <cell r="G4628" t="str">
            <v>CS PAD</v>
          </cell>
          <cell r="H4628" t="str">
            <v>N03-020170</v>
          </cell>
        </row>
        <row r="4629">
          <cell r="F4629" t="str">
            <v>CS PAD 20×140</v>
          </cell>
          <cell r="G4629" t="str">
            <v>CS PAD</v>
          </cell>
          <cell r="H4629" t="str">
            <v>N03-020140</v>
          </cell>
        </row>
        <row r="4630">
          <cell r="F4630" t="str">
            <v>CS PAD 20×50</v>
          </cell>
          <cell r="G4630" t="str">
            <v>CS PAD</v>
          </cell>
          <cell r="H4630" t="str">
            <v>N03-020050</v>
          </cell>
        </row>
        <row r="4631">
          <cell r="F4631" t="str">
            <v>이중각선 6000M</v>
          </cell>
          <cell r="G4631" t="str">
            <v>각선</v>
          </cell>
          <cell r="H4631" t="str">
            <v>M1140001760</v>
          </cell>
        </row>
        <row r="4632">
          <cell r="F4632" t="str">
            <v>일반각선 9000M</v>
          </cell>
          <cell r="G4632" t="str">
            <v>각선</v>
          </cell>
          <cell r="H4632" t="str">
            <v>M1140001750</v>
          </cell>
        </row>
        <row r="4633">
          <cell r="F4633" t="str">
            <v>DC93-00749F(QR)</v>
          </cell>
          <cell r="G4633" t="str">
            <v>LABEL</v>
          </cell>
          <cell r="H4633" t="str">
            <v>LAB2670</v>
          </cell>
        </row>
        <row r="4634">
          <cell r="F4634" t="str">
            <v>DC93-01034L(QR)</v>
          </cell>
          <cell r="G4634" t="str">
            <v>LABEL</v>
          </cell>
          <cell r="H4634" t="str">
            <v>LAB2669</v>
          </cell>
        </row>
        <row r="4635">
          <cell r="F4635" t="str">
            <v>DC93-01034K(QR)</v>
          </cell>
          <cell r="G4635" t="str">
            <v>LABEL</v>
          </cell>
          <cell r="H4635" t="str">
            <v>LAB2668</v>
          </cell>
        </row>
        <row r="4636">
          <cell r="F4636" t="str">
            <v>DC93-01034J(QR)</v>
          </cell>
          <cell r="G4636" t="str">
            <v>LABEL</v>
          </cell>
          <cell r="H4636" t="str">
            <v>LAB2667</v>
          </cell>
        </row>
        <row r="4637">
          <cell r="F4637" t="str">
            <v>DC93-01034H(QR)</v>
          </cell>
          <cell r="G4637" t="str">
            <v>LABEL</v>
          </cell>
          <cell r="H4637" t="str">
            <v>LAB2666</v>
          </cell>
        </row>
        <row r="4638">
          <cell r="F4638" t="str">
            <v>DC93-01034G(QR)</v>
          </cell>
          <cell r="G4638" t="str">
            <v>LABEL</v>
          </cell>
          <cell r="H4638" t="str">
            <v>LAB2665</v>
          </cell>
        </row>
        <row r="4639">
          <cell r="F4639" t="str">
            <v>DC93-01034F(QR)</v>
          </cell>
          <cell r="G4639" t="str">
            <v>LABEL</v>
          </cell>
          <cell r="H4639" t="str">
            <v>LAB2664</v>
          </cell>
        </row>
        <row r="4640">
          <cell r="F4640" t="str">
            <v>DC93-01034E(QR)</v>
          </cell>
          <cell r="G4640" t="str">
            <v>LABEL</v>
          </cell>
          <cell r="H4640" t="str">
            <v>LAB2663</v>
          </cell>
        </row>
        <row r="4641">
          <cell r="F4641" t="str">
            <v>DC93-01034D(QR)</v>
          </cell>
          <cell r="G4641" t="str">
            <v>LABEL</v>
          </cell>
          <cell r="H4641" t="str">
            <v>LAB2662</v>
          </cell>
        </row>
        <row r="4642">
          <cell r="F4642" t="str">
            <v>DC93-01034C(QR)</v>
          </cell>
          <cell r="G4642" t="str">
            <v>LABEL</v>
          </cell>
          <cell r="H4642" t="str">
            <v>LAB2661</v>
          </cell>
        </row>
        <row r="4643">
          <cell r="F4643" t="str">
            <v>DC93-01034B(QR)</v>
          </cell>
          <cell r="G4643" t="str">
            <v>LABEL</v>
          </cell>
          <cell r="H4643" t="str">
            <v>LAB2660</v>
          </cell>
        </row>
        <row r="4644">
          <cell r="F4644" t="str">
            <v>DC93-01034A(QR)</v>
          </cell>
          <cell r="G4644" t="str">
            <v>LABEL</v>
          </cell>
          <cell r="H4644" t="str">
            <v>LAB2659</v>
          </cell>
        </row>
        <row r="4645">
          <cell r="F4645" t="str">
            <v>DC93-00748N(QR)</v>
          </cell>
          <cell r="G4645" t="str">
            <v>LABEL</v>
          </cell>
          <cell r="H4645" t="str">
            <v>LAB2658</v>
          </cell>
        </row>
        <row r="4646">
          <cell r="F4646" t="str">
            <v>DC93-00748M(QR)</v>
          </cell>
          <cell r="G4646" t="str">
            <v>LABEL</v>
          </cell>
          <cell r="H4646" t="str">
            <v>LAB2657</v>
          </cell>
        </row>
        <row r="4647">
          <cell r="F4647" t="str">
            <v>DC93-00748Q(QR)</v>
          </cell>
          <cell r="G4647" t="str">
            <v>LABEL</v>
          </cell>
          <cell r="H4647" t="str">
            <v>LAB2656</v>
          </cell>
        </row>
        <row r="4648">
          <cell r="F4648" t="str">
            <v>DC93-01089E(QR)</v>
          </cell>
          <cell r="G4648" t="str">
            <v>LABEL</v>
          </cell>
          <cell r="H4648" t="str">
            <v>LAB2655</v>
          </cell>
        </row>
        <row r="4649">
          <cell r="F4649" t="str">
            <v>LABEL 17X14</v>
          </cell>
          <cell r="G4649" t="str">
            <v>LABEL</v>
          </cell>
          <cell r="H4649" t="str">
            <v>LAB2654</v>
          </cell>
        </row>
        <row r="4650">
          <cell r="F4650" t="str">
            <v>DC93-01089M(QR)</v>
          </cell>
          <cell r="G4650" t="str">
            <v>LABEL</v>
          </cell>
          <cell r="H4650" t="str">
            <v>LAB2653</v>
          </cell>
        </row>
        <row r="4651">
          <cell r="F4651" t="str">
            <v>DC93-00748P(QR)</v>
          </cell>
          <cell r="G4651" t="str">
            <v>LABEL</v>
          </cell>
          <cell r="H4651" t="str">
            <v>LAB2652</v>
          </cell>
        </row>
        <row r="4652">
          <cell r="F4652" t="str">
            <v>DC93-00749E(QR)</v>
          </cell>
          <cell r="G4652" t="str">
            <v>LABEL</v>
          </cell>
          <cell r="H4652" t="str">
            <v>LAB2651</v>
          </cell>
        </row>
        <row r="4653">
          <cell r="F4653" t="str">
            <v>DC93-01089H(QR)</v>
          </cell>
          <cell r="G4653" t="str">
            <v>LABEL</v>
          </cell>
          <cell r="H4653" t="str">
            <v>LAB2650</v>
          </cell>
        </row>
        <row r="4654">
          <cell r="F4654" t="str">
            <v>DC93-01089G(QR)</v>
          </cell>
          <cell r="G4654" t="str">
            <v>LABEL</v>
          </cell>
          <cell r="H4654" t="str">
            <v>LAB2649</v>
          </cell>
        </row>
        <row r="4655">
          <cell r="F4655" t="str">
            <v>DC93-01100B(QR)</v>
          </cell>
          <cell r="G4655" t="str">
            <v>LABEL</v>
          </cell>
          <cell r="H4655" t="str">
            <v>LAB2648</v>
          </cell>
        </row>
        <row r="4656">
          <cell r="F4656" t="str">
            <v>DC93-01100A(QR)</v>
          </cell>
          <cell r="G4656" t="str">
            <v>LABEL</v>
          </cell>
          <cell r="H4656" t="str">
            <v>LAB2647</v>
          </cell>
        </row>
        <row r="4657">
          <cell r="F4657" t="str">
            <v>DC93-00983Z(QR)</v>
          </cell>
          <cell r="G4657" t="str">
            <v>LABEL</v>
          </cell>
          <cell r="H4657" t="str">
            <v>LAB2646</v>
          </cell>
        </row>
        <row r="4658">
          <cell r="F4658" t="str">
            <v>DC93-00983Y(QR)</v>
          </cell>
          <cell r="G4658" t="str">
            <v>LABEL</v>
          </cell>
          <cell r="H4658" t="str">
            <v>LAB2645</v>
          </cell>
        </row>
        <row r="4659">
          <cell r="F4659" t="str">
            <v>DC93-00983X(QR)</v>
          </cell>
          <cell r="G4659" t="str">
            <v>LABEL</v>
          </cell>
          <cell r="H4659" t="str">
            <v>LAB2644</v>
          </cell>
        </row>
        <row r="4660">
          <cell r="F4660" t="str">
            <v>DC93-00983W(QR)</v>
          </cell>
          <cell r="G4660" t="str">
            <v>LABEL</v>
          </cell>
          <cell r="H4660" t="str">
            <v>LAB2643</v>
          </cell>
        </row>
        <row r="4661">
          <cell r="F4661" t="str">
            <v>DC93-00983V(QR)</v>
          </cell>
          <cell r="G4661" t="str">
            <v>LABEL</v>
          </cell>
          <cell r="H4661" t="str">
            <v>LAB2642</v>
          </cell>
        </row>
        <row r="4662">
          <cell r="F4662" t="str">
            <v>DC93-01076G(QR)</v>
          </cell>
          <cell r="G4662" t="str">
            <v>LABEL</v>
          </cell>
          <cell r="H4662" t="str">
            <v>LAB2641</v>
          </cell>
        </row>
        <row r="4663">
          <cell r="F4663" t="str">
            <v>DC93-01060E(QR)</v>
          </cell>
          <cell r="G4663" t="str">
            <v>LABEL</v>
          </cell>
          <cell r="H4663" t="str">
            <v>LAB2640</v>
          </cell>
        </row>
        <row r="4664">
          <cell r="F4664" t="str">
            <v>DA96-01722S(QR)</v>
          </cell>
          <cell r="G4664" t="str">
            <v>LABEL</v>
          </cell>
          <cell r="H4664" t="str">
            <v>LAB2639</v>
          </cell>
        </row>
        <row r="4665">
          <cell r="F4665" t="str">
            <v>DA96-01722R(QR)</v>
          </cell>
          <cell r="G4665" t="str">
            <v>LABEL</v>
          </cell>
          <cell r="H4665" t="str">
            <v>LAB2638</v>
          </cell>
        </row>
        <row r="4666">
          <cell r="F4666" t="str">
            <v>DA96-01722Q(QR)</v>
          </cell>
          <cell r="G4666" t="str">
            <v>LABEL</v>
          </cell>
          <cell r="H4666" t="str">
            <v>LAB2637</v>
          </cell>
        </row>
        <row r="4667">
          <cell r="F4667" t="str">
            <v>DA96-01722P(QR)</v>
          </cell>
          <cell r="G4667" t="str">
            <v>LABEL</v>
          </cell>
          <cell r="H4667" t="str">
            <v>LAB2636</v>
          </cell>
        </row>
        <row r="4668">
          <cell r="F4668" t="str">
            <v>DA96-01722N(QR)</v>
          </cell>
          <cell r="G4668" t="str">
            <v>LABEL</v>
          </cell>
          <cell r="H4668" t="str">
            <v>LAB2635</v>
          </cell>
        </row>
        <row r="4669">
          <cell r="F4669" t="str">
            <v>DA96-01722M(QR)</v>
          </cell>
          <cell r="G4669" t="str">
            <v>LABEL</v>
          </cell>
          <cell r="H4669" t="str">
            <v>LAB2634</v>
          </cell>
        </row>
        <row r="4670">
          <cell r="F4670" t="str">
            <v>DA96-01722L(QR)</v>
          </cell>
          <cell r="G4670" t="str">
            <v>LABEL</v>
          </cell>
          <cell r="H4670" t="str">
            <v>LAB2633</v>
          </cell>
        </row>
        <row r="4671">
          <cell r="F4671" t="str">
            <v>DA96-01722K(QR)</v>
          </cell>
          <cell r="G4671" t="str">
            <v>LABEL</v>
          </cell>
          <cell r="H4671" t="str">
            <v>LAB2632</v>
          </cell>
        </row>
        <row r="4672">
          <cell r="F4672" t="str">
            <v>DA96-01722J(QR)</v>
          </cell>
          <cell r="G4672" t="str">
            <v>LABEL</v>
          </cell>
          <cell r="H4672" t="str">
            <v>LAB2631</v>
          </cell>
        </row>
        <row r="4673">
          <cell r="F4673" t="str">
            <v>DA96-01722H(QR)</v>
          </cell>
          <cell r="G4673" t="str">
            <v>LABEL</v>
          </cell>
          <cell r="H4673" t="str">
            <v>LAB2630</v>
          </cell>
        </row>
        <row r="4674">
          <cell r="F4674" t="str">
            <v>DA96-01722G(QR)</v>
          </cell>
          <cell r="G4674" t="str">
            <v>LABEL</v>
          </cell>
          <cell r="H4674" t="str">
            <v>LAB2629</v>
          </cell>
        </row>
        <row r="4675">
          <cell r="F4675" t="str">
            <v>DA96-01722F(QR)</v>
          </cell>
          <cell r="G4675" t="str">
            <v>LABEL</v>
          </cell>
          <cell r="H4675" t="str">
            <v>LAB2628</v>
          </cell>
        </row>
        <row r="4676">
          <cell r="F4676" t="str">
            <v>DA96-01722E(QR)</v>
          </cell>
          <cell r="G4676" t="str">
            <v>LABEL</v>
          </cell>
          <cell r="H4676" t="str">
            <v>LAB2627</v>
          </cell>
        </row>
        <row r="4677">
          <cell r="F4677" t="str">
            <v>DA96-01722D(QR)</v>
          </cell>
          <cell r="G4677" t="str">
            <v>LABEL</v>
          </cell>
          <cell r="H4677" t="str">
            <v>LAB2626</v>
          </cell>
        </row>
        <row r="4678">
          <cell r="F4678" t="str">
            <v>DA96-01722C(QR)</v>
          </cell>
          <cell r="G4678" t="str">
            <v>LABEL</v>
          </cell>
          <cell r="H4678" t="str">
            <v>LAB2625</v>
          </cell>
        </row>
        <row r="4679">
          <cell r="F4679" t="str">
            <v>DA96-01722B(QR)</v>
          </cell>
          <cell r="G4679" t="str">
            <v>LABEL</v>
          </cell>
          <cell r="H4679" t="str">
            <v>LAB2624</v>
          </cell>
        </row>
        <row r="4680">
          <cell r="F4680" t="str">
            <v>DA96-01722S</v>
          </cell>
          <cell r="G4680" t="str">
            <v>LABEL</v>
          </cell>
          <cell r="H4680" t="str">
            <v>LAB2623</v>
          </cell>
        </row>
        <row r="4681">
          <cell r="F4681" t="str">
            <v>DA96-01722R</v>
          </cell>
          <cell r="G4681" t="str">
            <v>LABEL</v>
          </cell>
          <cell r="H4681" t="str">
            <v>LAB2622</v>
          </cell>
        </row>
        <row r="4682">
          <cell r="F4682" t="str">
            <v>DA96-01722Q</v>
          </cell>
          <cell r="G4682" t="str">
            <v>LABEL</v>
          </cell>
          <cell r="H4682" t="str">
            <v>LAB2621</v>
          </cell>
        </row>
        <row r="4683">
          <cell r="F4683" t="str">
            <v>DA96-01722P</v>
          </cell>
          <cell r="G4683" t="str">
            <v>LABEL</v>
          </cell>
          <cell r="H4683" t="str">
            <v>LAB2620</v>
          </cell>
        </row>
        <row r="4684">
          <cell r="F4684" t="str">
            <v>DA96-01722N</v>
          </cell>
          <cell r="G4684" t="str">
            <v>LABEL</v>
          </cell>
          <cell r="H4684" t="str">
            <v>LAB2619</v>
          </cell>
        </row>
        <row r="4685">
          <cell r="F4685" t="str">
            <v>DA96-01722M</v>
          </cell>
          <cell r="G4685" t="str">
            <v>LABEL</v>
          </cell>
          <cell r="H4685" t="str">
            <v>LAB2618</v>
          </cell>
        </row>
        <row r="4686">
          <cell r="F4686" t="str">
            <v>DA96-01722L</v>
          </cell>
          <cell r="G4686" t="str">
            <v>LABEL</v>
          </cell>
          <cell r="H4686" t="str">
            <v>LAB2617</v>
          </cell>
        </row>
        <row r="4687">
          <cell r="F4687" t="str">
            <v>DA96-01722K</v>
          </cell>
          <cell r="G4687" t="str">
            <v>LABEL</v>
          </cell>
          <cell r="H4687" t="str">
            <v>LAB2616</v>
          </cell>
        </row>
        <row r="4688">
          <cell r="F4688" t="str">
            <v>DA96-01722J</v>
          </cell>
          <cell r="G4688" t="str">
            <v>LABEL</v>
          </cell>
          <cell r="H4688" t="str">
            <v>LAB2615</v>
          </cell>
        </row>
        <row r="4689">
          <cell r="F4689" t="str">
            <v>DA96-01722H</v>
          </cell>
          <cell r="G4689" t="str">
            <v>LABEL</v>
          </cell>
          <cell r="H4689" t="str">
            <v>LAB2614</v>
          </cell>
        </row>
        <row r="4690">
          <cell r="F4690" t="str">
            <v>DA96-01722G</v>
          </cell>
          <cell r="G4690" t="str">
            <v>LABEL</v>
          </cell>
          <cell r="H4690" t="str">
            <v>LAB2613</v>
          </cell>
        </row>
        <row r="4691">
          <cell r="F4691" t="str">
            <v>DA96-01722F</v>
          </cell>
          <cell r="G4691" t="str">
            <v>LABEL</v>
          </cell>
          <cell r="H4691" t="str">
            <v>LAB2612</v>
          </cell>
        </row>
        <row r="4692">
          <cell r="F4692" t="str">
            <v>DA96-01722E</v>
          </cell>
          <cell r="G4692" t="str">
            <v>LABEL</v>
          </cell>
          <cell r="H4692" t="str">
            <v>LAB2611</v>
          </cell>
        </row>
        <row r="4693">
          <cell r="F4693" t="str">
            <v>DA96-01722D</v>
          </cell>
          <cell r="G4693" t="str">
            <v>LABEL</v>
          </cell>
          <cell r="H4693" t="str">
            <v>LAB2610</v>
          </cell>
        </row>
        <row r="4694">
          <cell r="F4694" t="str">
            <v>DA96-01722C</v>
          </cell>
          <cell r="G4694" t="str">
            <v>LABEL</v>
          </cell>
          <cell r="H4694" t="str">
            <v>LAB2609</v>
          </cell>
        </row>
        <row r="4695">
          <cell r="F4695" t="str">
            <v>DA96-01722B</v>
          </cell>
          <cell r="G4695" t="str">
            <v>LABEL</v>
          </cell>
          <cell r="H4695" t="str">
            <v>LAB2608</v>
          </cell>
        </row>
        <row r="4696">
          <cell r="F4696" t="str">
            <v>DA96-01722A(QR)</v>
          </cell>
          <cell r="G4696" t="str">
            <v>LABEL</v>
          </cell>
          <cell r="H4696" t="str">
            <v>LAB2607</v>
          </cell>
        </row>
        <row r="4697">
          <cell r="F4697" t="str">
            <v>DA96-01722A</v>
          </cell>
          <cell r="G4697" t="str">
            <v>LABEL</v>
          </cell>
          <cell r="H4697" t="str">
            <v>LAB2606</v>
          </cell>
        </row>
        <row r="4698">
          <cell r="F4698" t="str">
            <v>DA96-01731H</v>
          </cell>
          <cell r="G4698" t="str">
            <v>LABEL</v>
          </cell>
          <cell r="H4698" t="str">
            <v>LAB2605</v>
          </cell>
        </row>
        <row r="4699">
          <cell r="F4699" t="str">
            <v>DA96-01731G</v>
          </cell>
          <cell r="G4699" t="str">
            <v>LABEL</v>
          </cell>
          <cell r="H4699" t="str">
            <v>LAB2604</v>
          </cell>
        </row>
        <row r="4700">
          <cell r="F4700" t="str">
            <v>DA96-01731F</v>
          </cell>
          <cell r="G4700" t="str">
            <v>LABEL</v>
          </cell>
          <cell r="H4700" t="str">
            <v>LAB2603</v>
          </cell>
        </row>
        <row r="4701">
          <cell r="F4701" t="str">
            <v>DA96-01731E</v>
          </cell>
          <cell r="G4701" t="str">
            <v>LABEL</v>
          </cell>
          <cell r="H4701" t="str">
            <v>LAB2602</v>
          </cell>
        </row>
        <row r="4702">
          <cell r="F4702" t="str">
            <v>DA96-01731D</v>
          </cell>
          <cell r="G4702" t="str">
            <v>LABEL</v>
          </cell>
          <cell r="H4702" t="str">
            <v>LAB2601</v>
          </cell>
        </row>
        <row r="4703">
          <cell r="F4703" t="str">
            <v>DA96-01731C</v>
          </cell>
          <cell r="G4703" t="str">
            <v>LABEL</v>
          </cell>
          <cell r="H4703" t="str">
            <v>LAB2600</v>
          </cell>
        </row>
        <row r="4704">
          <cell r="F4704" t="str">
            <v>DA96-01731B</v>
          </cell>
          <cell r="G4704" t="str">
            <v>LABEL</v>
          </cell>
          <cell r="H4704" t="str">
            <v>LAB2599</v>
          </cell>
        </row>
        <row r="4705">
          <cell r="F4705" t="str">
            <v>DA96-01731A</v>
          </cell>
          <cell r="G4705" t="str">
            <v>LABEL</v>
          </cell>
          <cell r="H4705" t="str">
            <v>LAB2598</v>
          </cell>
        </row>
        <row r="4706">
          <cell r="F4706" t="str">
            <v>DA96-01732H</v>
          </cell>
          <cell r="G4706" t="str">
            <v>LABEL</v>
          </cell>
          <cell r="H4706" t="str">
            <v>LAB2597</v>
          </cell>
        </row>
        <row r="4707">
          <cell r="F4707" t="str">
            <v>DA96-01732G</v>
          </cell>
          <cell r="G4707" t="str">
            <v>LABEL</v>
          </cell>
          <cell r="H4707" t="str">
            <v>LAB2596</v>
          </cell>
        </row>
        <row r="4708">
          <cell r="F4708" t="str">
            <v>DA96-01732F</v>
          </cell>
          <cell r="G4708" t="str">
            <v>LABEL</v>
          </cell>
          <cell r="H4708" t="str">
            <v>LAB2595</v>
          </cell>
        </row>
        <row r="4709">
          <cell r="F4709" t="str">
            <v>DA96-01732E</v>
          </cell>
          <cell r="G4709" t="str">
            <v>LABEL</v>
          </cell>
          <cell r="H4709" t="str">
            <v>LAB2594</v>
          </cell>
        </row>
        <row r="4710">
          <cell r="F4710" t="str">
            <v>DA96-01732D</v>
          </cell>
          <cell r="G4710" t="str">
            <v>LABEL</v>
          </cell>
          <cell r="H4710" t="str">
            <v>LAB2593</v>
          </cell>
        </row>
        <row r="4711">
          <cell r="F4711" t="str">
            <v>DA96-01732C</v>
          </cell>
          <cell r="G4711" t="str">
            <v>LABEL</v>
          </cell>
          <cell r="H4711" t="str">
            <v>LAB2592</v>
          </cell>
        </row>
        <row r="4712">
          <cell r="F4712" t="str">
            <v>DA96-01732B</v>
          </cell>
          <cell r="G4712" t="str">
            <v>LABEL</v>
          </cell>
          <cell r="H4712" t="str">
            <v>LAB2591</v>
          </cell>
        </row>
        <row r="4713">
          <cell r="F4713" t="str">
            <v>DA96-01732A</v>
          </cell>
          <cell r="G4713" t="str">
            <v>LABEL</v>
          </cell>
          <cell r="H4713" t="str">
            <v>LAB2590</v>
          </cell>
        </row>
        <row r="4714">
          <cell r="F4714" t="str">
            <v>PP FILM(105X30)(YEL)</v>
          </cell>
          <cell r="G4714" t="str">
            <v>LABEL</v>
          </cell>
          <cell r="H4714" t="str">
            <v>LAB2589</v>
          </cell>
        </row>
        <row r="4715">
          <cell r="F4715" t="str">
            <v>DA96-01464H</v>
          </cell>
          <cell r="G4715" t="str">
            <v>LABEL</v>
          </cell>
          <cell r="H4715" t="str">
            <v>LAB2588</v>
          </cell>
        </row>
        <row r="4716">
          <cell r="F4716" t="str">
            <v>DA96-01464G</v>
          </cell>
          <cell r="G4716" t="str">
            <v>LABEL</v>
          </cell>
          <cell r="H4716" t="str">
            <v>LAB2587</v>
          </cell>
        </row>
        <row r="4717">
          <cell r="F4717" t="str">
            <v>DA96-01464F</v>
          </cell>
          <cell r="G4717" t="str">
            <v>LABEL</v>
          </cell>
          <cell r="H4717" t="str">
            <v>LAB2586</v>
          </cell>
        </row>
        <row r="4718">
          <cell r="F4718" t="str">
            <v>Bending Label(HiTRONIC-X,29x270)</v>
          </cell>
          <cell r="G4718" t="str">
            <v>LABEL</v>
          </cell>
          <cell r="H4718" t="str">
            <v>LAB2585</v>
          </cell>
        </row>
        <row r="4719">
          <cell r="F4719" t="str">
            <v>DA96-01732G(QR)</v>
          </cell>
          <cell r="G4719" t="str">
            <v>LABEL</v>
          </cell>
          <cell r="H4719" t="str">
            <v>LAB2584</v>
          </cell>
        </row>
        <row r="4720">
          <cell r="F4720" t="str">
            <v>DA96-01732F(QR)</v>
          </cell>
          <cell r="G4720" t="str">
            <v>LABEL</v>
          </cell>
          <cell r="H4720" t="str">
            <v>LAB2583</v>
          </cell>
        </row>
        <row r="4721">
          <cell r="F4721" t="str">
            <v>DA96-01732E(QR)</v>
          </cell>
          <cell r="G4721" t="str">
            <v>LABEL</v>
          </cell>
          <cell r="H4721" t="str">
            <v>LAB2582</v>
          </cell>
        </row>
        <row r="4722">
          <cell r="F4722" t="str">
            <v>DA96-01732D(QR)</v>
          </cell>
          <cell r="G4722" t="str">
            <v>LABEL</v>
          </cell>
          <cell r="H4722" t="str">
            <v>LAB2581</v>
          </cell>
        </row>
        <row r="4723">
          <cell r="F4723" t="str">
            <v>DA96-01732C(QR)</v>
          </cell>
          <cell r="G4723" t="str">
            <v>LABEL</v>
          </cell>
          <cell r="H4723" t="str">
            <v>LAB2580</v>
          </cell>
        </row>
        <row r="4724">
          <cell r="F4724" t="str">
            <v>DA96-01732B(QR)</v>
          </cell>
          <cell r="G4724" t="str">
            <v>LABEL</v>
          </cell>
          <cell r="H4724" t="str">
            <v>LAB2579</v>
          </cell>
        </row>
        <row r="4725">
          <cell r="F4725" t="str">
            <v>DA96-01732A(QR)</v>
          </cell>
          <cell r="G4725" t="str">
            <v>LABEL</v>
          </cell>
          <cell r="H4725" t="str">
            <v>LAB2578</v>
          </cell>
        </row>
        <row r="4726">
          <cell r="F4726" t="str">
            <v>DC93-01109A(QR)</v>
          </cell>
          <cell r="G4726" t="str">
            <v>LABEL</v>
          </cell>
          <cell r="H4726" t="str">
            <v>LAB2577</v>
          </cell>
        </row>
        <row r="4727">
          <cell r="F4727" t="str">
            <v>DC93-01108A(QR)</v>
          </cell>
          <cell r="G4727" t="str">
            <v>LABEL</v>
          </cell>
          <cell r="H4727" t="str">
            <v>LAB2576</v>
          </cell>
        </row>
        <row r="4728">
          <cell r="F4728" t="str">
            <v>DC93-01110A(QR)</v>
          </cell>
          <cell r="G4728" t="str">
            <v>LABEL</v>
          </cell>
          <cell r="H4728" t="str">
            <v>LAB2575</v>
          </cell>
        </row>
        <row r="4729">
          <cell r="F4729" t="str">
            <v>DC93-01104A(QR)</v>
          </cell>
          <cell r="G4729" t="str">
            <v>LABEL</v>
          </cell>
          <cell r="H4729" t="str">
            <v>LAB2574</v>
          </cell>
        </row>
        <row r="4730">
          <cell r="F4730" t="str">
            <v>DC93-01089B(QR)</v>
          </cell>
          <cell r="G4730" t="str">
            <v>LABEL</v>
          </cell>
          <cell r="H4730" t="str">
            <v>LAB2573</v>
          </cell>
        </row>
        <row r="4731">
          <cell r="F4731" t="str">
            <v>DC93-01076F(QR)</v>
          </cell>
          <cell r="G4731" t="str">
            <v>LABEL</v>
          </cell>
          <cell r="H4731" t="str">
            <v>LAB2572</v>
          </cell>
        </row>
        <row r="4732">
          <cell r="F4732" t="str">
            <v>CE Color length label(18M,HiTRONIC-X,30X50)</v>
          </cell>
          <cell r="G4732" t="str">
            <v>LABEL</v>
          </cell>
          <cell r="H4732" t="str">
            <v>LAB2571</v>
          </cell>
        </row>
        <row r="4733">
          <cell r="F4733" t="str">
            <v>CE Color length label(9M,HiTRONIC-X,30X50)</v>
          </cell>
          <cell r="G4733" t="str">
            <v>LABEL</v>
          </cell>
          <cell r="H4733" t="str">
            <v>LAB2570</v>
          </cell>
        </row>
        <row r="4734">
          <cell r="F4734" t="str">
            <v>CE Color length label(6M,HiTRONIC-X,30X50)</v>
          </cell>
          <cell r="G4734" t="str">
            <v>LABEL</v>
          </cell>
          <cell r="H4734" t="str">
            <v>LAB2569</v>
          </cell>
        </row>
        <row r="4735">
          <cell r="F4735" t="str">
            <v>CE Color length label(15M,HiTRONIC-X,30X50)</v>
          </cell>
          <cell r="G4735" t="str">
            <v>LABEL</v>
          </cell>
          <cell r="H4735" t="str">
            <v>LAB2568</v>
          </cell>
        </row>
        <row r="4736">
          <cell r="F4736" t="str">
            <v>Bending Label(HiTRONIC-X,29x180)</v>
          </cell>
          <cell r="G4736" t="str">
            <v>LABEL</v>
          </cell>
          <cell r="H4736" t="str">
            <v>LAB2567</v>
          </cell>
        </row>
        <row r="4737">
          <cell r="F4737" t="str">
            <v>CE Color length label(12M,HiTRONIC-X,30X50)</v>
          </cell>
          <cell r="G4737" t="str">
            <v>LABEL</v>
          </cell>
          <cell r="H4737" t="str">
            <v>LAB2566</v>
          </cell>
        </row>
        <row r="4738">
          <cell r="F4738" t="str">
            <v>DA96-01716B</v>
          </cell>
          <cell r="G4738" t="str">
            <v>LABEL</v>
          </cell>
          <cell r="H4738" t="str">
            <v>LAB2565</v>
          </cell>
        </row>
        <row r="4739">
          <cell r="F4739" t="str">
            <v>DA96-01716A</v>
          </cell>
          <cell r="G4739" t="str">
            <v>LABEL</v>
          </cell>
          <cell r="H4739" t="str">
            <v>LAB2564</v>
          </cell>
        </row>
        <row r="4740">
          <cell r="F4740" t="str">
            <v>PP FILM(105X30)(BLU)</v>
          </cell>
          <cell r="G4740" t="str">
            <v>LABEL</v>
          </cell>
          <cell r="H4740" t="str">
            <v>LAB2563</v>
          </cell>
        </row>
        <row r="4741">
          <cell r="F4741" t="str">
            <v>PP FILM(105X30)(WHT)</v>
          </cell>
          <cell r="G4741" t="str">
            <v>LABEL</v>
          </cell>
          <cell r="H4741" t="str">
            <v>LAB2562</v>
          </cell>
        </row>
        <row r="4742">
          <cell r="F4742" t="str">
            <v>18X18 ART(QR)-HiTRONIC-X</v>
          </cell>
          <cell r="G4742" t="str">
            <v>LABEL</v>
          </cell>
          <cell r="H4742" t="str">
            <v>LAB2561</v>
          </cell>
        </row>
        <row r="4743">
          <cell r="F4743" t="str">
            <v>DC93-01085F(QR)</v>
          </cell>
          <cell r="G4743" t="str">
            <v>LABEL</v>
          </cell>
          <cell r="H4743" t="str">
            <v>LAB2560</v>
          </cell>
        </row>
        <row r="4744">
          <cell r="F4744" t="str">
            <v>DC93-01085E(QR)</v>
          </cell>
          <cell r="G4744" t="str">
            <v>LABEL</v>
          </cell>
          <cell r="H4744" t="str">
            <v>LAB2559</v>
          </cell>
        </row>
        <row r="4745">
          <cell r="F4745" t="str">
            <v>DC93-01085D(QR)</v>
          </cell>
          <cell r="G4745" t="str">
            <v>LABEL</v>
          </cell>
          <cell r="H4745" t="str">
            <v>LAB2558</v>
          </cell>
        </row>
        <row r="4746">
          <cell r="F4746" t="str">
            <v>30036979A</v>
          </cell>
          <cell r="G4746" t="str">
            <v>LABEL</v>
          </cell>
          <cell r="H4746" t="str">
            <v>LAB2557</v>
          </cell>
        </row>
        <row r="4747">
          <cell r="F4747" t="str">
            <v>30036977A</v>
          </cell>
          <cell r="G4747" t="str">
            <v>LABEL</v>
          </cell>
          <cell r="H4747" t="str">
            <v>LAB2556</v>
          </cell>
        </row>
        <row r="4748">
          <cell r="F4748" t="str">
            <v>30035666A</v>
          </cell>
          <cell r="G4748" t="str">
            <v>LABEL</v>
          </cell>
          <cell r="H4748" t="str">
            <v>LAB2555</v>
          </cell>
        </row>
        <row r="4749">
          <cell r="F4749" t="str">
            <v>30035665A</v>
          </cell>
          <cell r="G4749" t="str">
            <v>LABEL</v>
          </cell>
          <cell r="H4749" t="str">
            <v>LAB2554</v>
          </cell>
        </row>
        <row r="4750">
          <cell r="F4750" t="str">
            <v>30035179A</v>
          </cell>
          <cell r="G4750" t="str">
            <v>LABEL</v>
          </cell>
          <cell r="H4750" t="str">
            <v>LAB2553</v>
          </cell>
        </row>
        <row r="4751">
          <cell r="F4751" t="str">
            <v>30035106A</v>
          </cell>
          <cell r="G4751" t="str">
            <v>LABEL</v>
          </cell>
          <cell r="H4751" t="str">
            <v>LAB2552</v>
          </cell>
        </row>
        <row r="4752">
          <cell r="F4752" t="str">
            <v>DA96-01518Q</v>
          </cell>
          <cell r="G4752" t="str">
            <v>LABEL</v>
          </cell>
          <cell r="H4752" t="str">
            <v>LAB2551</v>
          </cell>
        </row>
        <row r="4753">
          <cell r="F4753" t="str">
            <v>DA96-01518R</v>
          </cell>
          <cell r="G4753" t="str">
            <v>LABEL</v>
          </cell>
          <cell r="H4753" t="str">
            <v>LAB2550</v>
          </cell>
        </row>
        <row r="4754">
          <cell r="F4754" t="str">
            <v>DA96-01518N</v>
          </cell>
          <cell r="G4754" t="str">
            <v>LABEL</v>
          </cell>
          <cell r="H4754" t="str">
            <v>LAB2549</v>
          </cell>
        </row>
        <row r="4755">
          <cell r="F4755" t="str">
            <v>DA96-01518M</v>
          </cell>
          <cell r="G4755" t="str">
            <v>LABEL</v>
          </cell>
          <cell r="H4755" t="str">
            <v>LAB2548</v>
          </cell>
        </row>
        <row r="4756">
          <cell r="F4756" t="str">
            <v>30035841A</v>
          </cell>
          <cell r="G4756" t="str">
            <v>LABEL</v>
          </cell>
          <cell r="H4756" t="str">
            <v>LAB2547</v>
          </cell>
        </row>
        <row r="4757">
          <cell r="F4757" t="str">
            <v>30035840A</v>
          </cell>
          <cell r="G4757" t="str">
            <v>LABEL</v>
          </cell>
          <cell r="H4757" t="str">
            <v>LAB2546</v>
          </cell>
        </row>
        <row r="4758">
          <cell r="F4758" t="str">
            <v>30035322A</v>
          </cell>
          <cell r="G4758" t="str">
            <v>LABEL</v>
          </cell>
          <cell r="H4758" t="str">
            <v>LAB2545</v>
          </cell>
        </row>
        <row r="4759">
          <cell r="F4759" t="str">
            <v>30035320A</v>
          </cell>
          <cell r="G4759" t="str">
            <v>LABEL</v>
          </cell>
          <cell r="H4759" t="str">
            <v>LAB2544</v>
          </cell>
        </row>
        <row r="4760">
          <cell r="F4760" t="str">
            <v>DA96-01639M(QR)</v>
          </cell>
          <cell r="G4760" t="str">
            <v>LABEL</v>
          </cell>
          <cell r="H4760" t="str">
            <v>LAB2543</v>
          </cell>
        </row>
        <row r="4761">
          <cell r="F4761" t="str">
            <v>DA96-01639L(QR)</v>
          </cell>
          <cell r="G4761" t="str">
            <v>LABEL</v>
          </cell>
          <cell r="H4761" t="str">
            <v>LAB2542</v>
          </cell>
        </row>
        <row r="4762">
          <cell r="F4762" t="str">
            <v>DA96-01506N(QR)</v>
          </cell>
          <cell r="G4762" t="str">
            <v>LABEL</v>
          </cell>
          <cell r="H4762" t="str">
            <v>LAB2541</v>
          </cell>
        </row>
        <row r="4763">
          <cell r="F4763" t="str">
            <v>DA96-01506N</v>
          </cell>
          <cell r="G4763" t="str">
            <v>LABEL</v>
          </cell>
          <cell r="H4763" t="str">
            <v>LAB2540</v>
          </cell>
        </row>
        <row r="4764">
          <cell r="F4764" t="str">
            <v>DA96-01669G(QR)</v>
          </cell>
          <cell r="G4764" t="str">
            <v>LABEL</v>
          </cell>
          <cell r="H4764" t="str">
            <v>LAB2539</v>
          </cell>
        </row>
        <row r="4765">
          <cell r="F4765" t="str">
            <v>DA96-01669G</v>
          </cell>
          <cell r="G4765" t="str">
            <v>LABEL</v>
          </cell>
          <cell r="H4765" t="str">
            <v>LAB2538</v>
          </cell>
        </row>
        <row r="4766">
          <cell r="F4766" t="str">
            <v>DC93-01076E(QR)</v>
          </cell>
          <cell r="G4766" t="str">
            <v>LABEL</v>
          </cell>
          <cell r="H4766" t="str">
            <v>LAB2537</v>
          </cell>
        </row>
        <row r="4767">
          <cell r="F4767" t="str">
            <v>DC93-01076B(QR)</v>
          </cell>
          <cell r="G4767" t="str">
            <v>LABEL</v>
          </cell>
          <cell r="H4767" t="str">
            <v>LAB2536</v>
          </cell>
        </row>
        <row r="4768">
          <cell r="F4768" t="str">
            <v>DC93-01063C(QR)</v>
          </cell>
          <cell r="G4768" t="str">
            <v>LABEL</v>
          </cell>
          <cell r="H4768" t="str">
            <v>LAB2535</v>
          </cell>
        </row>
        <row r="4769">
          <cell r="F4769" t="str">
            <v>DA96-01688A(QR)</v>
          </cell>
          <cell r="G4769" t="str">
            <v>LABEL</v>
          </cell>
          <cell r="H4769" t="str">
            <v>LAB2534</v>
          </cell>
        </row>
        <row r="4770">
          <cell r="F4770" t="str">
            <v>DA96-01688B(QR)</v>
          </cell>
          <cell r="G4770" t="str">
            <v>LABEL</v>
          </cell>
          <cell r="H4770" t="str">
            <v>LAB2533</v>
          </cell>
        </row>
        <row r="4771">
          <cell r="F4771" t="str">
            <v>DA96-01688C(QR)</v>
          </cell>
          <cell r="G4771" t="str">
            <v>LABEL</v>
          </cell>
          <cell r="H4771" t="str">
            <v>LAB2532</v>
          </cell>
        </row>
        <row r="4772">
          <cell r="F4772" t="str">
            <v>DA96-01688C</v>
          </cell>
          <cell r="G4772" t="str">
            <v>LABEL</v>
          </cell>
          <cell r="H4772" t="str">
            <v>LAB2531</v>
          </cell>
        </row>
        <row r="4773">
          <cell r="F4773" t="str">
            <v>DA96-01688B</v>
          </cell>
          <cell r="G4773" t="str">
            <v>LABEL</v>
          </cell>
          <cell r="H4773" t="str">
            <v>LAB2530</v>
          </cell>
        </row>
        <row r="4774">
          <cell r="F4774" t="str">
            <v>DA96-01688A</v>
          </cell>
          <cell r="G4774" t="str">
            <v>LABEL</v>
          </cell>
          <cell r="H4774" t="str">
            <v>LAB2529</v>
          </cell>
        </row>
        <row r="4775">
          <cell r="F4775" t="str">
            <v>DC93-01085C(QR)</v>
          </cell>
          <cell r="G4775" t="str">
            <v>LABEL</v>
          </cell>
          <cell r="H4775" t="str">
            <v>LAB2528</v>
          </cell>
        </row>
        <row r="4776">
          <cell r="F4776" t="str">
            <v>DC93-01085B(QR)</v>
          </cell>
          <cell r="G4776" t="str">
            <v>LABEL</v>
          </cell>
          <cell r="H4776" t="str">
            <v>LAB2527</v>
          </cell>
        </row>
        <row r="4777">
          <cell r="F4777" t="str">
            <v>DC93-01085A(QR)</v>
          </cell>
          <cell r="G4777" t="str">
            <v>LABEL</v>
          </cell>
          <cell r="H4777" t="str">
            <v>LAB2526</v>
          </cell>
        </row>
        <row r="4778">
          <cell r="F4778" t="str">
            <v>DC93-01063B(QR)</v>
          </cell>
          <cell r="G4778" t="str">
            <v>LABEL</v>
          </cell>
          <cell r="H4778" t="str">
            <v>LAB2525</v>
          </cell>
        </row>
        <row r="4779">
          <cell r="F4779" t="str">
            <v>DA96-01687B(QR)</v>
          </cell>
          <cell r="G4779" t="str">
            <v>LABEL</v>
          </cell>
          <cell r="H4779" t="str">
            <v>LAB2524</v>
          </cell>
        </row>
        <row r="4780">
          <cell r="F4780" t="str">
            <v>DA96-01687B</v>
          </cell>
          <cell r="G4780" t="str">
            <v>LABEL</v>
          </cell>
          <cell r="H4780" t="str">
            <v>LAB2523</v>
          </cell>
        </row>
        <row r="4781">
          <cell r="F4781" t="str">
            <v>DA96-01687A(QR)</v>
          </cell>
          <cell r="G4781" t="str">
            <v>LABEL</v>
          </cell>
          <cell r="H4781" t="str">
            <v>LAB2522</v>
          </cell>
        </row>
        <row r="4782">
          <cell r="F4782" t="str">
            <v>DA96-01687A</v>
          </cell>
          <cell r="G4782" t="str">
            <v>LABEL</v>
          </cell>
          <cell r="H4782" t="str">
            <v>LAB2521</v>
          </cell>
        </row>
        <row r="4783">
          <cell r="F4783" t="str">
            <v>DA96-01686B(QR)</v>
          </cell>
          <cell r="G4783" t="str">
            <v>LABEL</v>
          </cell>
          <cell r="H4783" t="str">
            <v>LAB2520</v>
          </cell>
        </row>
        <row r="4784">
          <cell r="F4784" t="str">
            <v>DA96-01686A</v>
          </cell>
          <cell r="G4784" t="str">
            <v>LABEL</v>
          </cell>
          <cell r="H4784" t="str">
            <v>LAB2519</v>
          </cell>
        </row>
        <row r="4785">
          <cell r="F4785" t="str">
            <v>DC93-01095A</v>
          </cell>
          <cell r="G4785" t="str">
            <v>LABEL</v>
          </cell>
          <cell r="H4785" t="str">
            <v>LAB2518</v>
          </cell>
        </row>
        <row r="4786">
          <cell r="F4786" t="str">
            <v>30034278A</v>
          </cell>
          <cell r="G4786" t="str">
            <v>LABEL</v>
          </cell>
          <cell r="H4786" t="str">
            <v>LAB2517</v>
          </cell>
        </row>
        <row r="4787">
          <cell r="F4787" t="str">
            <v>30034277A</v>
          </cell>
          <cell r="G4787" t="str">
            <v>LABEL</v>
          </cell>
          <cell r="H4787" t="str">
            <v>LAB2516</v>
          </cell>
        </row>
        <row r="4788">
          <cell r="F4788" t="str">
            <v>DC93-01076D(QR)</v>
          </cell>
          <cell r="G4788" t="str">
            <v>LABEL</v>
          </cell>
          <cell r="H4788" t="str">
            <v>LAB2515</v>
          </cell>
        </row>
        <row r="4789">
          <cell r="F4789" t="str">
            <v>DA96-01671B(QR)</v>
          </cell>
          <cell r="G4789" t="str">
            <v>LABEL</v>
          </cell>
          <cell r="H4789" t="str">
            <v>LAB2514</v>
          </cell>
        </row>
        <row r="4790">
          <cell r="F4790" t="str">
            <v>DA96-01671A(QR)</v>
          </cell>
          <cell r="G4790" t="str">
            <v>LABEL</v>
          </cell>
          <cell r="H4790" t="str">
            <v>LAB2513</v>
          </cell>
        </row>
        <row r="4791">
          <cell r="F4791" t="str">
            <v>DA96-01639K(QR)</v>
          </cell>
          <cell r="G4791" t="str">
            <v>LABEL</v>
          </cell>
          <cell r="H4791" t="str">
            <v>LAB2512</v>
          </cell>
        </row>
        <row r="4792">
          <cell r="F4792" t="str">
            <v>DA96-01639J(QR)</v>
          </cell>
          <cell r="G4792" t="str">
            <v>LABEL</v>
          </cell>
          <cell r="H4792" t="str">
            <v>LAB2511</v>
          </cell>
        </row>
        <row r="4793">
          <cell r="F4793" t="str">
            <v>DA96-01639H(QR)</v>
          </cell>
          <cell r="G4793" t="str">
            <v>LABEL</v>
          </cell>
          <cell r="H4793" t="str">
            <v>LAB2510</v>
          </cell>
        </row>
        <row r="4794">
          <cell r="F4794" t="str">
            <v>DA96-01639G(QR)</v>
          </cell>
          <cell r="G4794" t="str">
            <v>LABEL</v>
          </cell>
          <cell r="H4794" t="str">
            <v>LAB2509</v>
          </cell>
        </row>
        <row r="4795">
          <cell r="F4795" t="str">
            <v>DA96-01639F(QR)</v>
          </cell>
          <cell r="G4795" t="str">
            <v>LABEL</v>
          </cell>
          <cell r="H4795" t="str">
            <v>LAB2508</v>
          </cell>
        </row>
        <row r="4796">
          <cell r="F4796" t="str">
            <v>DA96-01639E(QR)</v>
          </cell>
          <cell r="G4796" t="str">
            <v>LABEL</v>
          </cell>
          <cell r="H4796" t="str">
            <v>LAB2507</v>
          </cell>
        </row>
        <row r="4797">
          <cell r="F4797" t="str">
            <v>DA96-01639D(QR)</v>
          </cell>
          <cell r="G4797" t="str">
            <v>LABEL</v>
          </cell>
          <cell r="H4797" t="str">
            <v>LAB2506</v>
          </cell>
        </row>
        <row r="4798">
          <cell r="F4798" t="str">
            <v>DA96-01639C(QR)</v>
          </cell>
          <cell r="G4798" t="str">
            <v>LABEL</v>
          </cell>
          <cell r="H4798" t="str">
            <v>LAB2505</v>
          </cell>
        </row>
        <row r="4799">
          <cell r="F4799" t="str">
            <v>DA96-01639B(QR)</v>
          </cell>
          <cell r="G4799" t="str">
            <v>LABEL</v>
          </cell>
          <cell r="H4799" t="str">
            <v>LAB2504</v>
          </cell>
        </row>
        <row r="4800">
          <cell r="F4800" t="str">
            <v>DA96-01639A(QR)</v>
          </cell>
          <cell r="G4800" t="str">
            <v>LABEL</v>
          </cell>
          <cell r="H4800" t="str">
            <v>LAB2503</v>
          </cell>
        </row>
        <row r="4801">
          <cell r="F4801" t="str">
            <v>KD LABEL 30x110(W)</v>
          </cell>
          <cell r="G4801" t="str">
            <v>LABEL</v>
          </cell>
          <cell r="H4801" t="str">
            <v>LAB2502</v>
          </cell>
        </row>
        <row r="4802">
          <cell r="F4802" t="str">
            <v>DA96-01670Q(QR)</v>
          </cell>
          <cell r="G4802" t="str">
            <v>LABEL</v>
          </cell>
          <cell r="H4802" t="str">
            <v>LAB2501</v>
          </cell>
        </row>
        <row r="4803">
          <cell r="F4803" t="str">
            <v>DA96-01670Q</v>
          </cell>
          <cell r="G4803" t="str">
            <v>LABEL</v>
          </cell>
          <cell r="H4803" t="str">
            <v>LAB2500</v>
          </cell>
        </row>
        <row r="4804">
          <cell r="F4804" t="str">
            <v>30028442A</v>
          </cell>
          <cell r="G4804" t="str">
            <v>LABEL</v>
          </cell>
          <cell r="H4804" t="str">
            <v>LAB2499</v>
          </cell>
        </row>
        <row r="4805">
          <cell r="F4805" t="str">
            <v>30028441A</v>
          </cell>
          <cell r="G4805" t="str">
            <v>LABEL</v>
          </cell>
          <cell r="H4805" t="str">
            <v>LAB2498</v>
          </cell>
        </row>
        <row r="4806">
          <cell r="F4806" t="str">
            <v>30028265A</v>
          </cell>
          <cell r="G4806" t="str">
            <v>LABEL</v>
          </cell>
          <cell r="H4806" t="str">
            <v>LAB2497</v>
          </cell>
        </row>
        <row r="4807">
          <cell r="F4807" t="str">
            <v>30028264A</v>
          </cell>
          <cell r="G4807" t="str">
            <v>LABEL</v>
          </cell>
          <cell r="H4807" t="str">
            <v>LAB2496</v>
          </cell>
        </row>
        <row r="4808">
          <cell r="F4808" t="str">
            <v>30028263A</v>
          </cell>
          <cell r="G4808" t="str">
            <v>LABEL</v>
          </cell>
          <cell r="H4808" t="str">
            <v>LAB2495</v>
          </cell>
        </row>
        <row r="4809">
          <cell r="F4809" t="str">
            <v>30028262A</v>
          </cell>
          <cell r="G4809" t="str">
            <v>LABEL</v>
          </cell>
          <cell r="H4809" t="str">
            <v>LAB2494</v>
          </cell>
        </row>
        <row r="4810">
          <cell r="F4810" t="str">
            <v>30022882A</v>
          </cell>
          <cell r="G4810" t="str">
            <v>LABEL</v>
          </cell>
          <cell r="H4810" t="str">
            <v>LAB2493</v>
          </cell>
        </row>
        <row r="4811">
          <cell r="F4811" t="str">
            <v>30029236B</v>
          </cell>
          <cell r="G4811" t="str">
            <v>LABEL</v>
          </cell>
          <cell r="H4811" t="str">
            <v>LAB2492</v>
          </cell>
        </row>
        <row r="4812">
          <cell r="F4812" t="str">
            <v>30032511A</v>
          </cell>
          <cell r="G4812" t="str">
            <v>LABEL</v>
          </cell>
          <cell r="H4812" t="str">
            <v>LAB2491</v>
          </cell>
        </row>
        <row r="4813">
          <cell r="F4813" t="str">
            <v>SILVER LABEL 70x80(ROOM CONTROLLER)</v>
          </cell>
          <cell r="G4813" t="str">
            <v>LABEL</v>
          </cell>
          <cell r="H4813" t="str">
            <v>LAB2490</v>
          </cell>
        </row>
        <row r="4814">
          <cell r="F4814" t="str">
            <v>SILVER LABEL 10x80</v>
          </cell>
          <cell r="G4814" t="str">
            <v>LABEL</v>
          </cell>
          <cell r="H4814" t="str">
            <v>LAB2489</v>
          </cell>
        </row>
        <row r="4815">
          <cell r="F4815" t="str">
            <v>SILVER LABEL 105x32(ADAPTER)</v>
          </cell>
          <cell r="G4815" t="str">
            <v>LABEL</v>
          </cell>
          <cell r="H4815" t="str">
            <v>LAB2488</v>
          </cell>
        </row>
        <row r="4816">
          <cell r="F4816" t="str">
            <v>DA96-01636L(QR)</v>
          </cell>
          <cell r="G4816" t="str">
            <v>LABEL</v>
          </cell>
          <cell r="H4816" t="str">
            <v>LAB2487</v>
          </cell>
        </row>
        <row r="4817">
          <cell r="F4817" t="str">
            <v>DA96-01580P(QR)</v>
          </cell>
          <cell r="G4817" t="str">
            <v>LABEL</v>
          </cell>
          <cell r="H4817" t="str">
            <v>LAB2486</v>
          </cell>
        </row>
        <row r="4818">
          <cell r="F4818" t="str">
            <v>DA82-03951C(QR)</v>
          </cell>
          <cell r="G4818" t="str">
            <v>LABEL</v>
          </cell>
          <cell r="H4818" t="str">
            <v>LAB2485</v>
          </cell>
        </row>
        <row r="4819">
          <cell r="F4819" t="str">
            <v>DA82-03951B(QR)</v>
          </cell>
          <cell r="G4819" t="str">
            <v>LABEL</v>
          </cell>
          <cell r="H4819" t="str">
            <v>LAB2484</v>
          </cell>
        </row>
        <row r="4820">
          <cell r="F4820" t="str">
            <v>DA82-03951A(QR)</v>
          </cell>
          <cell r="G4820" t="str">
            <v>LABEL</v>
          </cell>
          <cell r="H4820" t="str">
            <v>LAB2483</v>
          </cell>
        </row>
        <row r="4821">
          <cell r="F4821" t="str">
            <v>DA96-01628D</v>
          </cell>
          <cell r="G4821" t="str">
            <v>LABEL</v>
          </cell>
          <cell r="H4821" t="str">
            <v>LAB2482</v>
          </cell>
        </row>
        <row r="4822">
          <cell r="F4822" t="str">
            <v>DA96-01628C</v>
          </cell>
          <cell r="G4822" t="str">
            <v>LABEL</v>
          </cell>
          <cell r="H4822" t="str">
            <v>LAB2481</v>
          </cell>
        </row>
        <row r="4823">
          <cell r="F4823" t="str">
            <v>DA96-01628B</v>
          </cell>
          <cell r="G4823" t="str">
            <v>LABEL</v>
          </cell>
          <cell r="H4823" t="str">
            <v>LAB2480</v>
          </cell>
        </row>
        <row r="4824">
          <cell r="F4824" t="str">
            <v>DA96-01628A</v>
          </cell>
          <cell r="G4824" t="str">
            <v>LABEL</v>
          </cell>
          <cell r="H4824" t="str">
            <v>LAB2479</v>
          </cell>
        </row>
        <row r="4825">
          <cell r="F4825" t="str">
            <v>FAN 2</v>
          </cell>
          <cell r="G4825" t="str">
            <v>LABEL</v>
          </cell>
          <cell r="H4825" t="str">
            <v>LAB2478</v>
          </cell>
        </row>
        <row r="4826">
          <cell r="F4826" t="str">
            <v>FAN 1</v>
          </cell>
          <cell r="G4826" t="str">
            <v>LABEL</v>
          </cell>
          <cell r="H4826" t="str">
            <v>LAB2477</v>
          </cell>
        </row>
        <row r="4827">
          <cell r="F4827" t="str">
            <v>DA96-01586M</v>
          </cell>
          <cell r="G4827" t="str">
            <v>LABEL</v>
          </cell>
          <cell r="H4827" t="str">
            <v>LAB2476</v>
          </cell>
        </row>
        <row r="4828">
          <cell r="F4828" t="str">
            <v>DA96-01586L</v>
          </cell>
          <cell r="G4828" t="str">
            <v>LABEL</v>
          </cell>
          <cell r="H4828" t="str">
            <v>LAB2475</v>
          </cell>
        </row>
        <row r="4829">
          <cell r="F4829" t="str">
            <v>DA96-01586K</v>
          </cell>
          <cell r="G4829" t="str">
            <v>LABEL</v>
          </cell>
          <cell r="H4829" t="str">
            <v>LAB2474</v>
          </cell>
        </row>
        <row r="4830">
          <cell r="F4830" t="str">
            <v>DA96-01586J</v>
          </cell>
          <cell r="G4830" t="str">
            <v>LABEL</v>
          </cell>
          <cell r="H4830" t="str">
            <v>LAB2473</v>
          </cell>
        </row>
        <row r="4831">
          <cell r="F4831" t="str">
            <v>DA96-01586H</v>
          </cell>
          <cell r="G4831" t="str">
            <v>LABEL</v>
          </cell>
          <cell r="H4831" t="str">
            <v>LAB2472</v>
          </cell>
        </row>
        <row r="4832">
          <cell r="F4832" t="str">
            <v>DA96-01586G</v>
          </cell>
          <cell r="G4832" t="str">
            <v>LABEL</v>
          </cell>
          <cell r="H4832" t="str">
            <v>LAB2471</v>
          </cell>
        </row>
        <row r="4833">
          <cell r="F4833" t="str">
            <v>DA96-01586F</v>
          </cell>
          <cell r="G4833" t="str">
            <v>LABEL</v>
          </cell>
          <cell r="H4833" t="str">
            <v>LAB2470</v>
          </cell>
        </row>
        <row r="4834">
          <cell r="F4834" t="str">
            <v>DA96-01586E</v>
          </cell>
          <cell r="G4834" t="str">
            <v>LABEL</v>
          </cell>
          <cell r="H4834" t="str">
            <v>LAB2469</v>
          </cell>
        </row>
        <row r="4835">
          <cell r="F4835" t="str">
            <v>DA96-01586D</v>
          </cell>
          <cell r="G4835" t="str">
            <v>LABEL</v>
          </cell>
          <cell r="H4835" t="str">
            <v>LAB2468</v>
          </cell>
        </row>
        <row r="4836">
          <cell r="F4836" t="str">
            <v>DA96-01586C</v>
          </cell>
          <cell r="G4836" t="str">
            <v>LABEL</v>
          </cell>
          <cell r="H4836" t="str">
            <v>LAB2467</v>
          </cell>
        </row>
        <row r="4837">
          <cell r="F4837" t="str">
            <v>DA96-01586B</v>
          </cell>
          <cell r="G4837" t="str">
            <v>LABEL</v>
          </cell>
          <cell r="H4837" t="str">
            <v>LAB2466</v>
          </cell>
        </row>
        <row r="4838">
          <cell r="F4838" t="str">
            <v>DA96-01586A</v>
          </cell>
          <cell r="G4838" t="str">
            <v>LABEL</v>
          </cell>
          <cell r="H4838" t="str">
            <v>LAB2465</v>
          </cell>
        </row>
        <row r="4839">
          <cell r="F4839" t="str">
            <v>DA96-01518P</v>
          </cell>
          <cell r="G4839" t="str">
            <v>LABEL</v>
          </cell>
          <cell r="H4839" t="str">
            <v>LAB2464</v>
          </cell>
        </row>
        <row r="4840">
          <cell r="F4840" t="str">
            <v>DA96-01518L</v>
          </cell>
          <cell r="G4840" t="str">
            <v>LABEL</v>
          </cell>
          <cell r="H4840" t="str">
            <v>LAB2463</v>
          </cell>
        </row>
        <row r="4841">
          <cell r="F4841" t="str">
            <v>DA96-01518S</v>
          </cell>
          <cell r="G4841" t="str">
            <v>LABEL</v>
          </cell>
          <cell r="H4841" t="str">
            <v>LAB2462</v>
          </cell>
        </row>
        <row r="4842">
          <cell r="F4842" t="str">
            <v>DA96-01518T</v>
          </cell>
          <cell r="G4842" t="str">
            <v>LABEL</v>
          </cell>
          <cell r="H4842" t="str">
            <v>LAB2461</v>
          </cell>
        </row>
        <row r="4843">
          <cell r="F4843" t="str">
            <v>DA96-01674D</v>
          </cell>
          <cell r="G4843" t="str">
            <v>LABEL</v>
          </cell>
          <cell r="H4843" t="str">
            <v>LAB2460</v>
          </cell>
        </row>
        <row r="4844">
          <cell r="F4844" t="str">
            <v>DA96-01674C</v>
          </cell>
          <cell r="G4844" t="str">
            <v>LABEL</v>
          </cell>
          <cell r="H4844" t="str">
            <v>LAB2459</v>
          </cell>
        </row>
        <row r="4845">
          <cell r="F4845" t="str">
            <v>DA96-01674B</v>
          </cell>
          <cell r="G4845" t="str">
            <v>LABEL</v>
          </cell>
          <cell r="H4845" t="str">
            <v>LAB2458</v>
          </cell>
        </row>
        <row r="4846">
          <cell r="F4846" t="str">
            <v>DA96-01674A</v>
          </cell>
          <cell r="G4846" t="str">
            <v>LABEL</v>
          </cell>
          <cell r="H4846" t="str">
            <v>LAB2457</v>
          </cell>
        </row>
        <row r="4847">
          <cell r="F4847" t="str">
            <v>DC93-01076C(QR)</v>
          </cell>
          <cell r="G4847" t="str">
            <v>LABEL</v>
          </cell>
          <cell r="H4847" t="str">
            <v>LAB2456</v>
          </cell>
        </row>
        <row r="4848">
          <cell r="F4848" t="str">
            <v>DC93-01076A(QR)</v>
          </cell>
          <cell r="G4848" t="str">
            <v>LABEL</v>
          </cell>
          <cell r="H4848" t="str">
            <v>LAB2455</v>
          </cell>
        </row>
        <row r="4849">
          <cell r="F4849" t="str">
            <v>DA96-01637H</v>
          </cell>
          <cell r="G4849" t="str">
            <v>LABEL</v>
          </cell>
          <cell r="H4849" t="str">
            <v>LAB2453</v>
          </cell>
        </row>
        <row r="4850">
          <cell r="F4850" t="str">
            <v>DA96-01637G</v>
          </cell>
          <cell r="G4850" t="str">
            <v>LABEL</v>
          </cell>
          <cell r="H4850" t="str">
            <v>LAB2452</v>
          </cell>
        </row>
        <row r="4851">
          <cell r="F4851" t="str">
            <v>DA96-01637H(QR)</v>
          </cell>
          <cell r="G4851" t="str">
            <v>LABEL</v>
          </cell>
          <cell r="H4851" t="str">
            <v>LAB2451</v>
          </cell>
        </row>
        <row r="4852">
          <cell r="F4852" t="str">
            <v>DA96-01637G(QR)</v>
          </cell>
          <cell r="G4852" t="str">
            <v>LABEL</v>
          </cell>
          <cell r="H4852" t="str">
            <v>LAB2450</v>
          </cell>
        </row>
        <row r="4853">
          <cell r="F4853" t="str">
            <v>DA96-01637F(QR)</v>
          </cell>
          <cell r="G4853" t="str">
            <v>LABEL</v>
          </cell>
          <cell r="H4853" t="str">
            <v>LAB2449</v>
          </cell>
        </row>
        <row r="4854">
          <cell r="F4854" t="str">
            <v>DA96-01637F</v>
          </cell>
          <cell r="G4854" t="str">
            <v>LABEL</v>
          </cell>
          <cell r="H4854" t="str">
            <v>LAB2448</v>
          </cell>
        </row>
        <row r="4855">
          <cell r="F4855" t="str">
            <v>DC93-01075D(QR)</v>
          </cell>
          <cell r="G4855" t="str">
            <v>LABEL</v>
          </cell>
          <cell r="H4855" t="str">
            <v>LAB2447</v>
          </cell>
        </row>
        <row r="4856">
          <cell r="F4856" t="str">
            <v>DC93-01075C(QR)</v>
          </cell>
          <cell r="G4856" t="str">
            <v>LABEL</v>
          </cell>
          <cell r="H4856" t="str">
            <v>LAB2446</v>
          </cell>
        </row>
        <row r="4857">
          <cell r="F4857" t="str">
            <v>DC93-01075B(QR)</v>
          </cell>
          <cell r="G4857" t="str">
            <v>LABEL</v>
          </cell>
          <cell r="H4857" t="str">
            <v>LAB2445</v>
          </cell>
        </row>
        <row r="4858">
          <cell r="F4858" t="str">
            <v>DC93-01075A(QR)</v>
          </cell>
          <cell r="G4858" t="str">
            <v>LABEL</v>
          </cell>
          <cell r="H4858" t="str">
            <v>LAB2444</v>
          </cell>
        </row>
        <row r="4859">
          <cell r="F4859" t="str">
            <v>DC93-01074H(QR)</v>
          </cell>
          <cell r="G4859" t="str">
            <v>LABEL</v>
          </cell>
          <cell r="H4859" t="str">
            <v>LAB2443</v>
          </cell>
        </row>
        <row r="4860">
          <cell r="F4860" t="str">
            <v>DC93-01074G(QR)</v>
          </cell>
          <cell r="G4860" t="str">
            <v>LABEL</v>
          </cell>
          <cell r="H4860" t="str">
            <v>LAB2442</v>
          </cell>
        </row>
        <row r="4861">
          <cell r="F4861" t="str">
            <v>DC93-01074F(QR)</v>
          </cell>
          <cell r="G4861" t="str">
            <v>LABEL</v>
          </cell>
          <cell r="H4861" t="str">
            <v>LAB2441</v>
          </cell>
        </row>
        <row r="4862">
          <cell r="F4862" t="str">
            <v>DC93-01074E(QR)</v>
          </cell>
          <cell r="G4862" t="str">
            <v>LABEL</v>
          </cell>
          <cell r="H4862" t="str">
            <v>LAB2440</v>
          </cell>
        </row>
        <row r="4863">
          <cell r="F4863" t="str">
            <v>DC93-01074D(QR)</v>
          </cell>
          <cell r="G4863" t="str">
            <v>LABEL</v>
          </cell>
          <cell r="H4863" t="str">
            <v>LAB2439</v>
          </cell>
        </row>
        <row r="4864">
          <cell r="F4864" t="str">
            <v>DC93-01074C(QR)</v>
          </cell>
          <cell r="G4864" t="str">
            <v>LABEL</v>
          </cell>
          <cell r="H4864" t="str">
            <v>LAB2438</v>
          </cell>
        </row>
        <row r="4865">
          <cell r="F4865" t="str">
            <v>DC93-01074B(QR)</v>
          </cell>
          <cell r="G4865" t="str">
            <v>LABEL</v>
          </cell>
          <cell r="H4865" t="str">
            <v>LAB2437</v>
          </cell>
        </row>
        <row r="4866">
          <cell r="F4866" t="str">
            <v>DC93-01074A(QR)</v>
          </cell>
          <cell r="G4866" t="str">
            <v>LABEL</v>
          </cell>
          <cell r="H4866" t="str">
            <v>LAB2436</v>
          </cell>
        </row>
        <row r="4867">
          <cell r="F4867" t="str">
            <v>DA96-01670L(QR)</v>
          </cell>
          <cell r="G4867" t="str">
            <v>LABEL</v>
          </cell>
          <cell r="H4867" t="str">
            <v>LAB2435</v>
          </cell>
        </row>
        <row r="4868">
          <cell r="F4868" t="str">
            <v>DA96-01670P(QR)</v>
          </cell>
          <cell r="G4868" t="str">
            <v>LABEL</v>
          </cell>
          <cell r="H4868" t="str">
            <v>LAB2434</v>
          </cell>
        </row>
        <row r="4869">
          <cell r="F4869" t="str">
            <v>DA96-01670N(QR)</v>
          </cell>
          <cell r="G4869" t="str">
            <v>LABEL</v>
          </cell>
          <cell r="H4869" t="str">
            <v>LAB2433</v>
          </cell>
        </row>
        <row r="4870">
          <cell r="F4870" t="str">
            <v>DA96-01670M(QR)</v>
          </cell>
          <cell r="G4870" t="str">
            <v>LABEL</v>
          </cell>
          <cell r="H4870" t="str">
            <v>LAB2432</v>
          </cell>
        </row>
        <row r="4871">
          <cell r="F4871" t="str">
            <v>DA96-01670K(QR)</v>
          </cell>
          <cell r="G4871" t="str">
            <v>LABEL</v>
          </cell>
          <cell r="H4871" t="str">
            <v>LAB2431</v>
          </cell>
        </row>
        <row r="4872">
          <cell r="F4872" t="str">
            <v>DA96-01670J(QR)</v>
          </cell>
          <cell r="G4872" t="str">
            <v>LABEL</v>
          </cell>
          <cell r="H4872" t="str">
            <v>LAB2430</v>
          </cell>
        </row>
        <row r="4873">
          <cell r="F4873" t="str">
            <v>DA96-01670H(QR)</v>
          </cell>
          <cell r="G4873" t="str">
            <v>LABEL</v>
          </cell>
          <cell r="H4873" t="str">
            <v>LAB2429</v>
          </cell>
        </row>
        <row r="4874">
          <cell r="F4874" t="str">
            <v>DA96-01670G(QR)</v>
          </cell>
          <cell r="G4874" t="str">
            <v>LABEL</v>
          </cell>
          <cell r="H4874" t="str">
            <v>LAB2428</v>
          </cell>
        </row>
        <row r="4875">
          <cell r="F4875" t="str">
            <v>DA96-01670F(QR)</v>
          </cell>
          <cell r="G4875" t="str">
            <v>LABEL</v>
          </cell>
          <cell r="H4875" t="str">
            <v>LAB2427</v>
          </cell>
        </row>
        <row r="4876">
          <cell r="F4876" t="str">
            <v>DA96-01670E(QR)</v>
          </cell>
          <cell r="G4876" t="str">
            <v>LABEL</v>
          </cell>
          <cell r="H4876" t="str">
            <v>LAB2426</v>
          </cell>
        </row>
        <row r="4877">
          <cell r="F4877" t="str">
            <v>DA96-01670D(QR)</v>
          </cell>
          <cell r="G4877" t="str">
            <v>LABEL</v>
          </cell>
          <cell r="H4877" t="str">
            <v>LAB2425</v>
          </cell>
        </row>
        <row r="4878">
          <cell r="F4878" t="str">
            <v>DA96-01670C(QR)</v>
          </cell>
          <cell r="G4878" t="str">
            <v>LABEL</v>
          </cell>
          <cell r="H4878" t="str">
            <v>LAB2424</v>
          </cell>
        </row>
        <row r="4879">
          <cell r="F4879" t="str">
            <v>DA96-01670B(QR)</v>
          </cell>
          <cell r="G4879" t="str">
            <v>LABEL</v>
          </cell>
          <cell r="H4879" t="str">
            <v>LAB2423</v>
          </cell>
        </row>
        <row r="4880">
          <cell r="F4880" t="str">
            <v>DA96-01670A(QR)</v>
          </cell>
          <cell r="G4880" t="str">
            <v>LABEL</v>
          </cell>
          <cell r="H4880" t="str">
            <v>LAB2422</v>
          </cell>
        </row>
        <row r="4881">
          <cell r="F4881" t="str">
            <v>DA96-01670P</v>
          </cell>
          <cell r="G4881" t="str">
            <v>LABEL</v>
          </cell>
          <cell r="H4881" t="str">
            <v>LAB2421</v>
          </cell>
        </row>
        <row r="4882">
          <cell r="F4882" t="str">
            <v>DA96-01670N</v>
          </cell>
          <cell r="G4882" t="str">
            <v>LABEL</v>
          </cell>
          <cell r="H4882" t="str">
            <v>LAB2420</v>
          </cell>
        </row>
        <row r="4883">
          <cell r="F4883" t="str">
            <v>DA96-01670M</v>
          </cell>
          <cell r="G4883" t="str">
            <v>LABEL</v>
          </cell>
          <cell r="H4883" t="str">
            <v>LAB2419</v>
          </cell>
        </row>
        <row r="4884">
          <cell r="F4884" t="str">
            <v>DA96-01670L</v>
          </cell>
          <cell r="G4884" t="str">
            <v>LABEL</v>
          </cell>
          <cell r="H4884" t="str">
            <v>LAB2418</v>
          </cell>
        </row>
        <row r="4885">
          <cell r="F4885" t="str">
            <v>DA96-01670K</v>
          </cell>
          <cell r="G4885" t="str">
            <v>LABEL</v>
          </cell>
          <cell r="H4885" t="str">
            <v>LAB2417</v>
          </cell>
        </row>
        <row r="4886">
          <cell r="F4886" t="str">
            <v>DA96-01670J</v>
          </cell>
          <cell r="G4886" t="str">
            <v>LABEL</v>
          </cell>
          <cell r="H4886" t="str">
            <v>LAB2416</v>
          </cell>
        </row>
        <row r="4887">
          <cell r="F4887" t="str">
            <v>DA96-01670H</v>
          </cell>
          <cell r="G4887" t="str">
            <v>LABEL</v>
          </cell>
          <cell r="H4887" t="str">
            <v>LAB2415</v>
          </cell>
        </row>
        <row r="4888">
          <cell r="F4888" t="str">
            <v>DA96-01670G</v>
          </cell>
          <cell r="G4888" t="str">
            <v>LABEL</v>
          </cell>
          <cell r="H4888" t="str">
            <v>LAB2414</v>
          </cell>
        </row>
        <row r="4889">
          <cell r="F4889" t="str">
            <v>DA96-01670F</v>
          </cell>
          <cell r="G4889" t="str">
            <v>LABEL</v>
          </cell>
          <cell r="H4889" t="str">
            <v>LAB2413</v>
          </cell>
        </row>
        <row r="4890">
          <cell r="F4890" t="str">
            <v>DA96-01670E</v>
          </cell>
          <cell r="G4890" t="str">
            <v>LABEL</v>
          </cell>
          <cell r="H4890" t="str">
            <v>LAB2412</v>
          </cell>
        </row>
        <row r="4891">
          <cell r="F4891" t="str">
            <v>DA96-01670D</v>
          </cell>
          <cell r="G4891" t="str">
            <v>LABEL</v>
          </cell>
          <cell r="H4891" t="str">
            <v>LAB2411</v>
          </cell>
        </row>
        <row r="4892">
          <cell r="F4892" t="str">
            <v>DA96-01670C</v>
          </cell>
          <cell r="G4892" t="str">
            <v>LABEL</v>
          </cell>
          <cell r="H4892" t="str">
            <v>LAB2410</v>
          </cell>
        </row>
        <row r="4893">
          <cell r="F4893" t="str">
            <v>DA96-01670B</v>
          </cell>
          <cell r="G4893" t="str">
            <v>LABEL</v>
          </cell>
          <cell r="H4893" t="str">
            <v>LAB2409</v>
          </cell>
        </row>
        <row r="4894">
          <cell r="F4894" t="str">
            <v>DA96-01670A</v>
          </cell>
          <cell r="G4894" t="str">
            <v>LABEL</v>
          </cell>
          <cell r="H4894" t="str">
            <v>LAB2408</v>
          </cell>
        </row>
        <row r="4895">
          <cell r="F4895" t="str">
            <v>DA96-01669E(QR)</v>
          </cell>
          <cell r="G4895" t="str">
            <v>LABEL</v>
          </cell>
          <cell r="H4895" t="str">
            <v>LAB2407</v>
          </cell>
        </row>
        <row r="4896">
          <cell r="F4896" t="str">
            <v>DA96-01669E</v>
          </cell>
          <cell r="G4896" t="str">
            <v>LABEL</v>
          </cell>
          <cell r="H4896" t="str">
            <v>LAB2406</v>
          </cell>
        </row>
        <row r="4897">
          <cell r="F4897" t="str">
            <v>DA96-01669D(QR)</v>
          </cell>
          <cell r="G4897" t="str">
            <v>LABEL</v>
          </cell>
          <cell r="H4897" t="str">
            <v>LAB2405</v>
          </cell>
        </row>
        <row r="4898">
          <cell r="F4898" t="str">
            <v>DA96-01669D</v>
          </cell>
          <cell r="G4898" t="str">
            <v>LABEL</v>
          </cell>
          <cell r="H4898" t="str">
            <v>LAB2404</v>
          </cell>
        </row>
        <row r="4899">
          <cell r="F4899" t="str">
            <v>DA96-01669C(QR)</v>
          </cell>
          <cell r="G4899" t="str">
            <v>LABEL</v>
          </cell>
          <cell r="H4899" t="str">
            <v>LAB2403</v>
          </cell>
        </row>
        <row r="4900">
          <cell r="F4900" t="str">
            <v>DA96-01669C</v>
          </cell>
          <cell r="G4900" t="str">
            <v>LABEL</v>
          </cell>
          <cell r="H4900" t="str">
            <v>LAB2402</v>
          </cell>
        </row>
        <row r="4901">
          <cell r="F4901" t="str">
            <v>DA96-01669B(QR)</v>
          </cell>
          <cell r="G4901" t="str">
            <v>LABEL</v>
          </cell>
          <cell r="H4901" t="str">
            <v>LAB2401</v>
          </cell>
        </row>
        <row r="4902">
          <cell r="F4902" t="str">
            <v>DA96-01669B</v>
          </cell>
          <cell r="G4902" t="str">
            <v>LABEL</v>
          </cell>
          <cell r="H4902" t="str">
            <v>LAB2400</v>
          </cell>
        </row>
        <row r="4903">
          <cell r="F4903" t="str">
            <v>DA96-01669A(QR)</v>
          </cell>
          <cell r="G4903" t="str">
            <v>LABEL</v>
          </cell>
          <cell r="H4903" t="str">
            <v>LAB2399</v>
          </cell>
        </row>
        <row r="4904">
          <cell r="F4904" t="str">
            <v>DA96-01669A</v>
          </cell>
          <cell r="G4904" t="str">
            <v>LABEL</v>
          </cell>
          <cell r="H4904" t="str">
            <v>LAB2398</v>
          </cell>
        </row>
        <row r="4905">
          <cell r="F4905" t="str">
            <v>DA96-01349M(QR)</v>
          </cell>
          <cell r="G4905" t="str">
            <v>LABEL</v>
          </cell>
          <cell r="H4905" t="str">
            <v>LAB2397</v>
          </cell>
        </row>
        <row r="4906">
          <cell r="F4906" t="str">
            <v>DA96-01636K(QR)</v>
          </cell>
          <cell r="G4906" t="str">
            <v>LABEL</v>
          </cell>
          <cell r="H4906" t="str">
            <v>LAB2396</v>
          </cell>
        </row>
        <row r="4907">
          <cell r="F4907" t="str">
            <v>DA96-01636J(QR)</v>
          </cell>
          <cell r="G4907" t="str">
            <v>LABEL</v>
          </cell>
          <cell r="H4907" t="str">
            <v>LAB2395</v>
          </cell>
        </row>
        <row r="4908">
          <cell r="F4908" t="str">
            <v>DA96-01635A</v>
          </cell>
          <cell r="G4908" t="str">
            <v>LABEL</v>
          </cell>
          <cell r="H4908" t="str">
            <v>LAB2394</v>
          </cell>
        </row>
        <row r="4909">
          <cell r="F4909" t="str">
            <v>DA96-01678E(QR)</v>
          </cell>
          <cell r="G4909" t="str">
            <v>LABEL</v>
          </cell>
          <cell r="H4909" t="str">
            <v>LAB2393</v>
          </cell>
        </row>
        <row r="4910">
          <cell r="F4910" t="str">
            <v>DA96-01678D(QR)</v>
          </cell>
          <cell r="G4910" t="str">
            <v>LABEL</v>
          </cell>
          <cell r="H4910" t="str">
            <v>LAB2392</v>
          </cell>
        </row>
        <row r="4911">
          <cell r="F4911" t="str">
            <v>DA96-01678C(QR)</v>
          </cell>
          <cell r="G4911" t="str">
            <v>LABEL</v>
          </cell>
          <cell r="H4911" t="str">
            <v>LAB2391</v>
          </cell>
        </row>
        <row r="4912">
          <cell r="F4912" t="str">
            <v>DA96-01678B(QR)</v>
          </cell>
          <cell r="G4912" t="str">
            <v>LABEL</v>
          </cell>
          <cell r="H4912" t="str">
            <v>LAB2390</v>
          </cell>
        </row>
        <row r="4913">
          <cell r="F4913" t="str">
            <v>DA96-01678A(QR)</v>
          </cell>
          <cell r="G4913" t="str">
            <v>LABEL</v>
          </cell>
          <cell r="H4913" t="str">
            <v>LAB2389</v>
          </cell>
        </row>
        <row r="4914">
          <cell r="F4914" t="str">
            <v>DA96-01349Q(QR)</v>
          </cell>
          <cell r="G4914" t="str">
            <v>LABEL</v>
          </cell>
          <cell r="H4914" t="str">
            <v>LAB2388</v>
          </cell>
        </row>
        <row r="4915">
          <cell r="F4915" t="str">
            <v>DA96-01460Z(QR)</v>
          </cell>
          <cell r="G4915" t="str">
            <v>LABEL</v>
          </cell>
          <cell r="H4915" t="str">
            <v>LAB2386</v>
          </cell>
        </row>
        <row r="4916">
          <cell r="F4916" t="str">
            <v>DA96-01460Y(QR)</v>
          </cell>
          <cell r="G4916" t="str">
            <v>LABEL</v>
          </cell>
          <cell r="H4916" t="str">
            <v>LAB2385</v>
          </cell>
        </row>
        <row r="4917">
          <cell r="F4917" t="str">
            <v>DA96-01580N(QR)</v>
          </cell>
          <cell r="G4917" t="str">
            <v>LABEL</v>
          </cell>
          <cell r="H4917" t="str">
            <v>LAB2384</v>
          </cell>
        </row>
        <row r="4918">
          <cell r="F4918" t="str">
            <v>DA96-01580M(QR)</v>
          </cell>
          <cell r="G4918" t="str">
            <v>LABEL</v>
          </cell>
          <cell r="H4918" t="str">
            <v>LAB2383</v>
          </cell>
        </row>
        <row r="4919">
          <cell r="F4919" t="str">
            <v>DA96-01580L(QR)</v>
          </cell>
          <cell r="G4919" t="str">
            <v>LABEL</v>
          </cell>
          <cell r="H4919" t="str">
            <v>LAB2382</v>
          </cell>
        </row>
        <row r="4920">
          <cell r="F4920" t="str">
            <v>DA96-01636F(QR)</v>
          </cell>
          <cell r="G4920" t="str">
            <v>LABEL</v>
          </cell>
          <cell r="H4920" t="str">
            <v>LAB2381</v>
          </cell>
        </row>
        <row r="4921">
          <cell r="F4921" t="str">
            <v>DA96-01460W(QR)</v>
          </cell>
          <cell r="G4921" t="str">
            <v>LABEL</v>
          </cell>
          <cell r="H4921" t="str">
            <v>LAB2380</v>
          </cell>
        </row>
        <row r="4922">
          <cell r="F4922" t="str">
            <v>DA96-01460V(QR)</v>
          </cell>
          <cell r="G4922" t="str">
            <v>LABEL</v>
          </cell>
          <cell r="H4922" t="str">
            <v>LAB2379</v>
          </cell>
        </row>
        <row r="4923">
          <cell r="F4923" t="str">
            <v>DA96-01460X(QR)</v>
          </cell>
          <cell r="G4923" t="str">
            <v>LABEL</v>
          </cell>
          <cell r="H4923" t="str">
            <v>LAB2378</v>
          </cell>
        </row>
        <row r="4924">
          <cell r="F4924" t="str">
            <v>DC93-01059D(QR)</v>
          </cell>
          <cell r="G4924" t="str">
            <v>LABEL</v>
          </cell>
          <cell r="H4924" t="str">
            <v>LAB2377</v>
          </cell>
        </row>
        <row r="4925">
          <cell r="F4925" t="str">
            <v>DC93-01059C(QR)</v>
          </cell>
          <cell r="G4925" t="str">
            <v>LABEL</v>
          </cell>
          <cell r="H4925" t="str">
            <v>LAB2376</v>
          </cell>
        </row>
        <row r="4926">
          <cell r="F4926" t="str">
            <v>DC93-01059B(QR)</v>
          </cell>
          <cell r="G4926" t="str">
            <v>LABEL</v>
          </cell>
          <cell r="H4926" t="str">
            <v>LAB2375</v>
          </cell>
        </row>
        <row r="4927">
          <cell r="F4927" t="str">
            <v>DC93-01059A(QR)</v>
          </cell>
          <cell r="G4927" t="str">
            <v>LABEL</v>
          </cell>
          <cell r="H4927" t="str">
            <v>LAB2374</v>
          </cell>
        </row>
        <row r="4928">
          <cell r="F4928" t="str">
            <v>DA96-01636G(QR)</v>
          </cell>
          <cell r="G4928" t="str">
            <v>LABEL</v>
          </cell>
          <cell r="H4928" t="str">
            <v>LAB2373</v>
          </cell>
        </row>
        <row r="4929">
          <cell r="F4929" t="str">
            <v>DA96-01460U(QR)</v>
          </cell>
          <cell r="G4929" t="str">
            <v>LABEL</v>
          </cell>
          <cell r="H4929" t="str">
            <v>LAB2372</v>
          </cell>
        </row>
        <row r="4930">
          <cell r="F4930" t="str">
            <v>DA96-01460T(QR)</v>
          </cell>
          <cell r="G4930" t="str">
            <v>LABEL</v>
          </cell>
          <cell r="H4930" t="str">
            <v>LAB2371</v>
          </cell>
        </row>
        <row r="4931">
          <cell r="F4931" t="str">
            <v>DC93-01063A(QR)</v>
          </cell>
          <cell r="G4931" t="str">
            <v>LABEL</v>
          </cell>
          <cell r="H4931" t="str">
            <v>LAB2370</v>
          </cell>
        </row>
        <row r="4932">
          <cell r="F4932" t="str">
            <v>DC93-01060D(QR)</v>
          </cell>
          <cell r="G4932" t="str">
            <v>LABEL</v>
          </cell>
          <cell r="H4932" t="str">
            <v>LAB2369</v>
          </cell>
        </row>
        <row r="4933">
          <cell r="F4933" t="str">
            <v>DC93-01060C(QR)</v>
          </cell>
          <cell r="G4933" t="str">
            <v>LABEL</v>
          </cell>
          <cell r="H4933" t="str">
            <v>LAB2368</v>
          </cell>
        </row>
        <row r="4934">
          <cell r="F4934" t="str">
            <v>DC93-01060B(QR)</v>
          </cell>
          <cell r="G4934" t="str">
            <v>LABEL</v>
          </cell>
          <cell r="H4934" t="str">
            <v>LAB2367</v>
          </cell>
        </row>
        <row r="4935">
          <cell r="F4935" t="str">
            <v>DC93-01060A(QR)</v>
          </cell>
          <cell r="G4935" t="str">
            <v>LABEL</v>
          </cell>
          <cell r="H4935" t="str">
            <v>LAB2366</v>
          </cell>
        </row>
        <row r="4936">
          <cell r="F4936" t="str">
            <v>DA96-01636H(QR)</v>
          </cell>
          <cell r="G4936" t="str">
            <v>LABEL</v>
          </cell>
          <cell r="H4936" t="str">
            <v>LAB2365</v>
          </cell>
        </row>
        <row r="4937">
          <cell r="F4937" t="str">
            <v>DA96-01637E(QR)</v>
          </cell>
          <cell r="G4937" t="str">
            <v>LABEL</v>
          </cell>
          <cell r="H4937" t="str">
            <v>LAB2364</v>
          </cell>
        </row>
        <row r="4938">
          <cell r="F4938" t="str">
            <v>DA96-01637E</v>
          </cell>
          <cell r="G4938" t="str">
            <v>LABEL</v>
          </cell>
          <cell r="H4938" t="str">
            <v>LAB2363</v>
          </cell>
        </row>
        <row r="4939">
          <cell r="F4939" t="str">
            <v>DA96-01637D(QR)</v>
          </cell>
          <cell r="G4939" t="str">
            <v>LABEL</v>
          </cell>
          <cell r="H4939" t="str">
            <v>LAB2362</v>
          </cell>
        </row>
        <row r="4940">
          <cell r="F4940" t="str">
            <v>DA96-01637D</v>
          </cell>
          <cell r="G4940" t="str">
            <v>LABEL</v>
          </cell>
          <cell r="H4940" t="str">
            <v>LAB2361</v>
          </cell>
        </row>
        <row r="4941">
          <cell r="F4941" t="str">
            <v>DA96-01637C(QR)</v>
          </cell>
          <cell r="G4941" t="str">
            <v>LABEL</v>
          </cell>
          <cell r="H4941" t="str">
            <v>LAB2360</v>
          </cell>
        </row>
        <row r="4942">
          <cell r="F4942" t="str">
            <v>DA96-01637C</v>
          </cell>
          <cell r="G4942" t="str">
            <v>LABEL</v>
          </cell>
          <cell r="H4942" t="str">
            <v>LAB2359</v>
          </cell>
        </row>
        <row r="4943">
          <cell r="F4943" t="str">
            <v>DA96-01637B(QR)</v>
          </cell>
          <cell r="G4943" t="str">
            <v>LABEL</v>
          </cell>
          <cell r="H4943" t="str">
            <v>LAB2358</v>
          </cell>
        </row>
        <row r="4944">
          <cell r="F4944" t="str">
            <v>DA96-01637B</v>
          </cell>
          <cell r="G4944" t="str">
            <v>LABEL</v>
          </cell>
          <cell r="H4944" t="str">
            <v>LAB2357</v>
          </cell>
        </row>
        <row r="4945">
          <cell r="F4945" t="str">
            <v>DA96-01637A(QR)</v>
          </cell>
          <cell r="G4945" t="str">
            <v>LABEL</v>
          </cell>
          <cell r="H4945" t="str">
            <v>LAB2356</v>
          </cell>
        </row>
        <row r="4946">
          <cell r="F4946" t="str">
            <v>DA96-01637A</v>
          </cell>
          <cell r="G4946" t="str">
            <v>LABEL</v>
          </cell>
          <cell r="H4946" t="str">
            <v>LAB2355</v>
          </cell>
        </row>
        <row r="4947">
          <cell r="F4947" t="str">
            <v>DA96-01580H(QR)</v>
          </cell>
          <cell r="G4947" t="str">
            <v>LABEL</v>
          </cell>
          <cell r="H4947" t="str">
            <v>LAB2354</v>
          </cell>
        </row>
        <row r="4948">
          <cell r="F4948" t="str">
            <v>DA96-01580K(QR)</v>
          </cell>
          <cell r="G4948" t="str">
            <v>LABEL</v>
          </cell>
          <cell r="H4948" t="str">
            <v>LAB2353</v>
          </cell>
        </row>
        <row r="4949">
          <cell r="F4949" t="str">
            <v>DA96-01580J(QR)</v>
          </cell>
          <cell r="G4949" t="str">
            <v>LABEL</v>
          </cell>
          <cell r="H4949" t="str">
            <v>LAB2352</v>
          </cell>
        </row>
        <row r="4950">
          <cell r="F4950" t="str">
            <v>DA96-01636E(QR)</v>
          </cell>
          <cell r="G4950" t="str">
            <v>LABEL</v>
          </cell>
          <cell r="H4950" t="str">
            <v>LAB2350</v>
          </cell>
        </row>
        <row r="4951">
          <cell r="F4951" t="str">
            <v>DA96-01636D(QR)</v>
          </cell>
          <cell r="G4951" t="str">
            <v>LABEL</v>
          </cell>
          <cell r="H4951" t="str">
            <v>LAB2349</v>
          </cell>
        </row>
        <row r="4952">
          <cell r="F4952" t="str">
            <v>DA96-01636C(QR)</v>
          </cell>
          <cell r="G4952" t="str">
            <v>LABEL</v>
          </cell>
          <cell r="H4952" t="str">
            <v>LAB2348</v>
          </cell>
        </row>
        <row r="4953">
          <cell r="F4953" t="str">
            <v>DA96-01636B(QR)</v>
          </cell>
          <cell r="G4953" t="str">
            <v>LABEL</v>
          </cell>
          <cell r="H4953" t="str">
            <v>LAB2347</v>
          </cell>
        </row>
        <row r="4954">
          <cell r="F4954" t="str">
            <v>DA96-01636A(QR)</v>
          </cell>
          <cell r="G4954" t="str">
            <v>LABEL</v>
          </cell>
          <cell r="H4954" t="str">
            <v>LAB2346</v>
          </cell>
        </row>
        <row r="4955">
          <cell r="F4955" t="str">
            <v>DA96-01628D(QR)</v>
          </cell>
          <cell r="G4955" t="str">
            <v>LABEL</v>
          </cell>
          <cell r="H4955" t="str">
            <v>LAB2345</v>
          </cell>
        </row>
        <row r="4956">
          <cell r="F4956" t="str">
            <v>DA96-01628C(QR)</v>
          </cell>
          <cell r="G4956" t="str">
            <v>LABEL</v>
          </cell>
          <cell r="H4956" t="str">
            <v>LAB2344</v>
          </cell>
        </row>
        <row r="4957">
          <cell r="F4957" t="str">
            <v>DA96-01628B(QR)</v>
          </cell>
          <cell r="G4957" t="str">
            <v>LABEL</v>
          </cell>
          <cell r="H4957" t="str">
            <v>LAB2343</v>
          </cell>
        </row>
        <row r="4958">
          <cell r="F4958" t="str">
            <v>DA96-01628A(QR)</v>
          </cell>
          <cell r="G4958" t="str">
            <v>LABEL</v>
          </cell>
          <cell r="H4958" t="str">
            <v>LAB2342</v>
          </cell>
        </row>
        <row r="4959">
          <cell r="F4959" t="str">
            <v>DC93-01042K(QR)</v>
          </cell>
          <cell r="G4959" t="str">
            <v>LABEL</v>
          </cell>
          <cell r="H4959" t="str">
            <v>LAB2337</v>
          </cell>
        </row>
        <row r="4960">
          <cell r="F4960" t="str">
            <v>DC93-01042J(QR)</v>
          </cell>
          <cell r="G4960" t="str">
            <v>LABEL</v>
          </cell>
          <cell r="H4960" t="str">
            <v>LAB2336</v>
          </cell>
        </row>
        <row r="4961">
          <cell r="F4961" t="str">
            <v>DC93-01042H(QR)</v>
          </cell>
          <cell r="G4961" t="str">
            <v>LABEL</v>
          </cell>
          <cell r="H4961" t="str">
            <v>LAB2335</v>
          </cell>
        </row>
        <row r="4962">
          <cell r="F4962" t="str">
            <v>DC93-01042G(QR)</v>
          </cell>
          <cell r="G4962" t="str">
            <v>LABEL</v>
          </cell>
          <cell r="H4962" t="str">
            <v>LAB2334</v>
          </cell>
        </row>
        <row r="4963">
          <cell r="F4963" t="str">
            <v>DC93-01042F(QR)</v>
          </cell>
          <cell r="G4963" t="str">
            <v>LABEL</v>
          </cell>
          <cell r="H4963" t="str">
            <v>LAB2333</v>
          </cell>
        </row>
        <row r="4964">
          <cell r="F4964" t="str">
            <v>DC93-01042E(QR)</v>
          </cell>
          <cell r="G4964" t="str">
            <v>LABEL</v>
          </cell>
          <cell r="H4964" t="str">
            <v>LAB2332</v>
          </cell>
        </row>
        <row r="4965">
          <cell r="F4965" t="str">
            <v>DC93-01042D(QR)</v>
          </cell>
          <cell r="G4965" t="str">
            <v>LABEL</v>
          </cell>
          <cell r="H4965" t="str">
            <v>LAB2331</v>
          </cell>
        </row>
        <row r="4966">
          <cell r="F4966" t="str">
            <v>DC93-01042C(QR)</v>
          </cell>
          <cell r="G4966" t="str">
            <v>LABEL</v>
          </cell>
          <cell r="H4966" t="str">
            <v>LAB2330</v>
          </cell>
        </row>
        <row r="4967">
          <cell r="F4967" t="str">
            <v>DC93-01042B(QR)</v>
          </cell>
          <cell r="G4967" t="str">
            <v>LABEL</v>
          </cell>
          <cell r="H4967" t="str">
            <v>LAB2329</v>
          </cell>
        </row>
        <row r="4968">
          <cell r="F4968" t="str">
            <v>DC93-01042A(QR)</v>
          </cell>
          <cell r="G4968" t="str">
            <v>LABEL</v>
          </cell>
          <cell r="H4968" t="str">
            <v>LAB2328</v>
          </cell>
        </row>
        <row r="4969">
          <cell r="F4969" t="str">
            <v>DA96-01451G</v>
          </cell>
          <cell r="G4969" t="str">
            <v>LABEL</v>
          </cell>
          <cell r="H4969" t="str">
            <v>LAB2327</v>
          </cell>
        </row>
        <row r="4970">
          <cell r="F4970" t="str">
            <v>90X65</v>
          </cell>
          <cell r="G4970" t="str">
            <v>MES LABEL</v>
          </cell>
          <cell r="H4970" t="str">
            <v>LAB2326</v>
          </cell>
        </row>
        <row r="4971">
          <cell r="F4971" t="str">
            <v>DC93-01028A</v>
          </cell>
          <cell r="G4971" t="str">
            <v>LABEL</v>
          </cell>
          <cell r="H4971" t="str">
            <v>LAB2325</v>
          </cell>
        </row>
        <row r="4972">
          <cell r="F4972" t="str">
            <v>DA96-01617A(QR)</v>
          </cell>
          <cell r="G4972" t="str">
            <v>LABEL</v>
          </cell>
          <cell r="H4972" t="str">
            <v>LAB2324</v>
          </cell>
        </row>
        <row r="4973">
          <cell r="F4973" t="str">
            <v>DA96-01616F(QR)</v>
          </cell>
          <cell r="G4973" t="str">
            <v>LABEL</v>
          </cell>
          <cell r="H4973" t="str">
            <v>LAB2323</v>
          </cell>
        </row>
        <row r="4974">
          <cell r="F4974" t="str">
            <v>DA96-01616E(QR)</v>
          </cell>
          <cell r="G4974" t="str">
            <v>LABEL</v>
          </cell>
          <cell r="H4974" t="str">
            <v>LAB2322</v>
          </cell>
        </row>
        <row r="4975">
          <cell r="F4975" t="str">
            <v>DA96-01616D(QR)</v>
          </cell>
          <cell r="G4975" t="str">
            <v>LABEL</v>
          </cell>
          <cell r="H4975" t="str">
            <v>LAB2321</v>
          </cell>
        </row>
        <row r="4976">
          <cell r="F4976" t="str">
            <v>DA96-01616C(QR)</v>
          </cell>
          <cell r="G4976" t="str">
            <v>LABEL</v>
          </cell>
          <cell r="H4976" t="str">
            <v>LAB2320</v>
          </cell>
        </row>
        <row r="4977">
          <cell r="F4977" t="str">
            <v>DA96-01616B(QR)</v>
          </cell>
          <cell r="G4977" t="str">
            <v>LABEL</v>
          </cell>
          <cell r="H4977" t="str">
            <v>LAB2319</v>
          </cell>
        </row>
        <row r="4978">
          <cell r="F4978" t="str">
            <v>DA96-01616A(QR)</v>
          </cell>
          <cell r="G4978" t="str">
            <v>LABEL</v>
          </cell>
          <cell r="H4978" t="str">
            <v>LAB2318</v>
          </cell>
        </row>
        <row r="4979">
          <cell r="F4979" t="str">
            <v>DA96-01615D(QR)</v>
          </cell>
          <cell r="G4979" t="str">
            <v>LABEL</v>
          </cell>
          <cell r="H4979" t="str">
            <v>LAB2317</v>
          </cell>
        </row>
        <row r="4980">
          <cell r="F4980" t="str">
            <v>DA96-01615C(QR)</v>
          </cell>
          <cell r="G4980" t="str">
            <v>LABEL</v>
          </cell>
          <cell r="H4980" t="str">
            <v>LAB2316</v>
          </cell>
        </row>
        <row r="4981">
          <cell r="F4981" t="str">
            <v>DA96-01615B(QR)</v>
          </cell>
          <cell r="G4981" t="str">
            <v>LABEL</v>
          </cell>
          <cell r="H4981" t="str">
            <v>LAB2315</v>
          </cell>
        </row>
        <row r="4982">
          <cell r="F4982" t="str">
            <v>DA96-01615A(QR)</v>
          </cell>
          <cell r="G4982" t="str">
            <v>LABEL</v>
          </cell>
          <cell r="H4982" t="str">
            <v>LAB2314</v>
          </cell>
        </row>
        <row r="4983">
          <cell r="F4983" t="str">
            <v>DA96-01614P(QR)</v>
          </cell>
          <cell r="G4983" t="str">
            <v>LABEL</v>
          </cell>
          <cell r="H4983" t="str">
            <v>LAB2313</v>
          </cell>
        </row>
        <row r="4984">
          <cell r="F4984" t="str">
            <v>DA96-01614N(QR)</v>
          </cell>
          <cell r="G4984" t="str">
            <v>LABEL</v>
          </cell>
          <cell r="H4984" t="str">
            <v>LAB2312</v>
          </cell>
        </row>
        <row r="4985">
          <cell r="F4985" t="str">
            <v>DA96-01614M(QR)</v>
          </cell>
          <cell r="G4985" t="str">
            <v>LABEL</v>
          </cell>
          <cell r="H4985" t="str">
            <v>LAB2311</v>
          </cell>
        </row>
        <row r="4986">
          <cell r="F4986" t="str">
            <v>DA96-01614L(QR)</v>
          </cell>
          <cell r="G4986" t="str">
            <v>LABEL</v>
          </cell>
          <cell r="H4986" t="str">
            <v>LAB2310</v>
          </cell>
        </row>
        <row r="4987">
          <cell r="F4987" t="str">
            <v>DA96-01614K(QR)</v>
          </cell>
          <cell r="G4987" t="str">
            <v>LABEL</v>
          </cell>
          <cell r="H4987" t="str">
            <v>LAB2309</v>
          </cell>
        </row>
        <row r="4988">
          <cell r="F4988" t="str">
            <v>DA96-01614J(QR)</v>
          </cell>
          <cell r="G4988" t="str">
            <v>LABEL</v>
          </cell>
          <cell r="H4988" t="str">
            <v>LAB2308</v>
          </cell>
        </row>
        <row r="4989">
          <cell r="F4989" t="str">
            <v>DA96-01614H(QR)</v>
          </cell>
          <cell r="G4989" t="str">
            <v>LABEL</v>
          </cell>
          <cell r="H4989" t="str">
            <v>LAB2307</v>
          </cell>
        </row>
        <row r="4990">
          <cell r="F4990" t="str">
            <v>DA96-01614G(QR)</v>
          </cell>
          <cell r="G4990" t="str">
            <v>LABEL</v>
          </cell>
          <cell r="H4990" t="str">
            <v>LAB2306</v>
          </cell>
        </row>
        <row r="4991">
          <cell r="F4991" t="str">
            <v>DA96-01614F(QR)</v>
          </cell>
          <cell r="G4991" t="str">
            <v>LABEL</v>
          </cell>
          <cell r="H4991" t="str">
            <v>LAB2305</v>
          </cell>
        </row>
        <row r="4992">
          <cell r="F4992" t="str">
            <v>DA96-01614E(QR)</v>
          </cell>
          <cell r="G4992" t="str">
            <v>LABEL</v>
          </cell>
          <cell r="H4992" t="str">
            <v>LAB2304</v>
          </cell>
        </row>
        <row r="4993">
          <cell r="F4993" t="str">
            <v>DA96-01614D(QR)</v>
          </cell>
          <cell r="G4993" t="str">
            <v>LABEL</v>
          </cell>
          <cell r="H4993" t="str">
            <v>LAB2303</v>
          </cell>
        </row>
        <row r="4994">
          <cell r="F4994" t="str">
            <v>DA96-01614C(QR)</v>
          </cell>
          <cell r="G4994" t="str">
            <v>LABEL</v>
          </cell>
          <cell r="H4994" t="str">
            <v>LAB2302</v>
          </cell>
        </row>
        <row r="4995">
          <cell r="F4995" t="str">
            <v>DA96-01614B(QR)</v>
          </cell>
          <cell r="G4995" t="str">
            <v>LABEL</v>
          </cell>
          <cell r="H4995" t="str">
            <v>LAB2301</v>
          </cell>
        </row>
        <row r="4996">
          <cell r="F4996" t="str">
            <v>DA96-01614A(QR)</v>
          </cell>
          <cell r="G4996" t="str">
            <v>LABEL</v>
          </cell>
          <cell r="H4996" t="str">
            <v>LAB2300</v>
          </cell>
        </row>
        <row r="4997">
          <cell r="F4997" t="str">
            <v>DA96-01614P</v>
          </cell>
          <cell r="G4997" t="str">
            <v>LABEL</v>
          </cell>
          <cell r="H4997" t="str">
            <v>LAB2299</v>
          </cell>
        </row>
        <row r="4998">
          <cell r="F4998" t="str">
            <v>DA96-01614N</v>
          </cell>
          <cell r="G4998" t="str">
            <v>LABEL</v>
          </cell>
          <cell r="H4998" t="str">
            <v>LAB2298</v>
          </cell>
        </row>
        <row r="4999">
          <cell r="F4999" t="str">
            <v>DA96-01614M</v>
          </cell>
          <cell r="G4999" t="str">
            <v>LABEL</v>
          </cell>
          <cell r="H4999" t="str">
            <v>LAB2297</v>
          </cell>
        </row>
        <row r="5000">
          <cell r="F5000" t="str">
            <v>DA96-01614L</v>
          </cell>
          <cell r="G5000" t="str">
            <v>LABEL</v>
          </cell>
          <cell r="H5000" t="str">
            <v>LAB2296</v>
          </cell>
        </row>
        <row r="5001">
          <cell r="F5001" t="str">
            <v>DA96-01614K</v>
          </cell>
          <cell r="G5001" t="str">
            <v>LABEL</v>
          </cell>
          <cell r="H5001" t="str">
            <v>LAB2295</v>
          </cell>
        </row>
        <row r="5002">
          <cell r="F5002" t="str">
            <v>DA96-01614J</v>
          </cell>
          <cell r="G5002" t="str">
            <v>LABEL</v>
          </cell>
          <cell r="H5002" t="str">
            <v>LAB2294</v>
          </cell>
        </row>
        <row r="5003">
          <cell r="F5003" t="str">
            <v>DA96-01614H</v>
          </cell>
          <cell r="G5003" t="str">
            <v>LABEL</v>
          </cell>
          <cell r="H5003" t="str">
            <v>LAB2293</v>
          </cell>
        </row>
        <row r="5004">
          <cell r="F5004" t="str">
            <v>DA96-01614G</v>
          </cell>
          <cell r="G5004" t="str">
            <v>LABEL</v>
          </cell>
          <cell r="H5004" t="str">
            <v>LAB2292</v>
          </cell>
        </row>
        <row r="5005">
          <cell r="F5005" t="str">
            <v>DA96-01614F</v>
          </cell>
          <cell r="G5005" t="str">
            <v>LABEL</v>
          </cell>
          <cell r="H5005" t="str">
            <v>LAB2291</v>
          </cell>
        </row>
        <row r="5006">
          <cell r="F5006" t="str">
            <v>DA96-01614E</v>
          </cell>
          <cell r="G5006" t="str">
            <v>LABEL</v>
          </cell>
          <cell r="H5006" t="str">
            <v>LAB2290</v>
          </cell>
        </row>
        <row r="5007">
          <cell r="F5007" t="str">
            <v>DA96-01614D</v>
          </cell>
          <cell r="G5007" t="str">
            <v>LABEL</v>
          </cell>
          <cell r="H5007" t="str">
            <v>LAB2289</v>
          </cell>
        </row>
        <row r="5008">
          <cell r="F5008" t="str">
            <v>DA96-01614C</v>
          </cell>
          <cell r="G5008" t="str">
            <v>LABEL</v>
          </cell>
          <cell r="H5008" t="str">
            <v>LAB2288</v>
          </cell>
        </row>
        <row r="5009">
          <cell r="F5009" t="str">
            <v>DA96-01614B</v>
          </cell>
          <cell r="G5009" t="str">
            <v>LABEL</v>
          </cell>
          <cell r="H5009" t="str">
            <v>LAB2287</v>
          </cell>
        </row>
        <row r="5010">
          <cell r="F5010" t="str">
            <v>DA96-01614A</v>
          </cell>
          <cell r="G5010" t="str">
            <v>LABEL</v>
          </cell>
          <cell r="H5010" t="str">
            <v>LAB2286</v>
          </cell>
        </row>
        <row r="5011">
          <cell r="F5011" t="str">
            <v>DA96-01613M(QR)</v>
          </cell>
          <cell r="G5011" t="str">
            <v>LABEL</v>
          </cell>
          <cell r="H5011" t="str">
            <v>LAB2285</v>
          </cell>
        </row>
        <row r="5012">
          <cell r="F5012" t="str">
            <v>DA96-01613L(QR)</v>
          </cell>
          <cell r="G5012" t="str">
            <v>LABEL</v>
          </cell>
          <cell r="H5012" t="str">
            <v>LAB2284</v>
          </cell>
        </row>
        <row r="5013">
          <cell r="F5013" t="str">
            <v>DA96-01613K(QR)</v>
          </cell>
          <cell r="G5013" t="str">
            <v>LABEL</v>
          </cell>
          <cell r="H5013" t="str">
            <v>LAB2283</v>
          </cell>
        </row>
        <row r="5014">
          <cell r="F5014" t="str">
            <v>DA96-01613J(QR)</v>
          </cell>
          <cell r="G5014" t="str">
            <v>LABEL</v>
          </cell>
          <cell r="H5014" t="str">
            <v>LAB2282</v>
          </cell>
        </row>
        <row r="5015">
          <cell r="F5015" t="str">
            <v>DA96-01613H(QR)</v>
          </cell>
          <cell r="G5015" t="str">
            <v>LABEL</v>
          </cell>
          <cell r="H5015" t="str">
            <v>LAB2281</v>
          </cell>
        </row>
        <row r="5016">
          <cell r="F5016" t="str">
            <v>DA96-01613G(QR)</v>
          </cell>
          <cell r="G5016" t="str">
            <v>LABEL</v>
          </cell>
          <cell r="H5016" t="str">
            <v>LAB2280</v>
          </cell>
        </row>
        <row r="5017">
          <cell r="F5017" t="str">
            <v>DA96-01613F(QR)</v>
          </cell>
          <cell r="G5017" t="str">
            <v>LABEL</v>
          </cell>
          <cell r="H5017" t="str">
            <v>LAB2279</v>
          </cell>
        </row>
        <row r="5018">
          <cell r="F5018" t="str">
            <v>DA96-01613E(QR)</v>
          </cell>
          <cell r="G5018" t="str">
            <v>LABEL</v>
          </cell>
          <cell r="H5018" t="str">
            <v>LAB2278</v>
          </cell>
        </row>
        <row r="5019">
          <cell r="F5019" t="str">
            <v>DA96-01613D(QR)</v>
          </cell>
          <cell r="G5019" t="str">
            <v>LABEL</v>
          </cell>
          <cell r="H5019" t="str">
            <v>LAB2277</v>
          </cell>
        </row>
        <row r="5020">
          <cell r="F5020" t="str">
            <v>DA96-01613C(QR)</v>
          </cell>
          <cell r="G5020" t="str">
            <v>LABEL</v>
          </cell>
          <cell r="H5020" t="str">
            <v>LAB2276</v>
          </cell>
        </row>
        <row r="5021">
          <cell r="F5021" t="str">
            <v>DA96-01613B(QR)</v>
          </cell>
          <cell r="G5021" t="str">
            <v>LABEL</v>
          </cell>
          <cell r="H5021" t="str">
            <v>LAB2275</v>
          </cell>
        </row>
        <row r="5022">
          <cell r="F5022" t="str">
            <v>DA96-01613A(QR)</v>
          </cell>
          <cell r="G5022" t="str">
            <v>LABEL</v>
          </cell>
          <cell r="H5022" t="str">
            <v>LAB2274</v>
          </cell>
        </row>
        <row r="5023">
          <cell r="F5023" t="str">
            <v>DA96-01613M</v>
          </cell>
          <cell r="G5023" t="str">
            <v>LABEL</v>
          </cell>
          <cell r="H5023" t="str">
            <v>LAB2273</v>
          </cell>
        </row>
        <row r="5024">
          <cell r="F5024" t="str">
            <v>DA96-01613L</v>
          </cell>
          <cell r="G5024" t="str">
            <v>LABEL</v>
          </cell>
          <cell r="H5024" t="str">
            <v>LAB2272</v>
          </cell>
        </row>
        <row r="5025">
          <cell r="F5025" t="str">
            <v>DA96-01613K</v>
          </cell>
          <cell r="G5025" t="str">
            <v>LABEL</v>
          </cell>
          <cell r="H5025" t="str">
            <v>LAB2271</v>
          </cell>
        </row>
        <row r="5026">
          <cell r="F5026" t="str">
            <v>DA96-01613J</v>
          </cell>
          <cell r="G5026" t="str">
            <v>LABEL</v>
          </cell>
          <cell r="H5026" t="str">
            <v>LAB2270</v>
          </cell>
        </row>
        <row r="5027">
          <cell r="F5027" t="str">
            <v>DA96-01613H</v>
          </cell>
          <cell r="G5027" t="str">
            <v>LABEL</v>
          </cell>
          <cell r="H5027" t="str">
            <v>LAB2269</v>
          </cell>
        </row>
        <row r="5028">
          <cell r="F5028" t="str">
            <v>DA96-01613G</v>
          </cell>
          <cell r="G5028" t="str">
            <v>LABEL</v>
          </cell>
          <cell r="H5028" t="str">
            <v>LAB2268</v>
          </cell>
        </row>
        <row r="5029">
          <cell r="F5029" t="str">
            <v>DA96-01613F</v>
          </cell>
          <cell r="G5029" t="str">
            <v>LABEL</v>
          </cell>
          <cell r="H5029" t="str">
            <v>LAB2267</v>
          </cell>
        </row>
        <row r="5030">
          <cell r="F5030" t="str">
            <v>DA96-01613E</v>
          </cell>
          <cell r="G5030" t="str">
            <v>LABEL</v>
          </cell>
          <cell r="H5030" t="str">
            <v>LAB2266</v>
          </cell>
        </row>
        <row r="5031">
          <cell r="F5031" t="str">
            <v>DA96-01613D</v>
          </cell>
          <cell r="G5031" t="str">
            <v>LABEL</v>
          </cell>
          <cell r="H5031" t="str">
            <v>LAB2265</v>
          </cell>
        </row>
        <row r="5032">
          <cell r="F5032" t="str">
            <v>DA96-01613C</v>
          </cell>
          <cell r="G5032" t="str">
            <v>LABEL</v>
          </cell>
          <cell r="H5032" t="str">
            <v>LAB2264</v>
          </cell>
        </row>
        <row r="5033">
          <cell r="F5033" t="str">
            <v>DA96-01613B</v>
          </cell>
          <cell r="G5033" t="str">
            <v>LABEL</v>
          </cell>
          <cell r="H5033" t="str">
            <v>LAB2263</v>
          </cell>
        </row>
        <row r="5034">
          <cell r="F5034" t="str">
            <v>DA96-01613A</v>
          </cell>
          <cell r="G5034" t="str">
            <v>LABEL</v>
          </cell>
          <cell r="H5034" t="str">
            <v>LAB2262</v>
          </cell>
        </row>
        <row r="5035">
          <cell r="F5035" t="str">
            <v>DA96-01531Q</v>
          </cell>
          <cell r="G5035" t="str">
            <v>LABEL</v>
          </cell>
          <cell r="H5035" t="str">
            <v>LAB2261</v>
          </cell>
        </row>
        <row r="5036">
          <cell r="F5036" t="str">
            <v>DA96-01531P</v>
          </cell>
          <cell r="G5036" t="str">
            <v>LABEL</v>
          </cell>
          <cell r="H5036" t="str">
            <v>LAB2260</v>
          </cell>
        </row>
        <row r="5037">
          <cell r="F5037" t="str">
            <v>DA96-01531M</v>
          </cell>
          <cell r="G5037" t="str">
            <v>LABEL</v>
          </cell>
          <cell r="H5037" t="str">
            <v>LAB2259</v>
          </cell>
        </row>
        <row r="5038">
          <cell r="F5038" t="str">
            <v>DA96-01531L</v>
          </cell>
          <cell r="G5038" t="str">
            <v>LABEL</v>
          </cell>
          <cell r="H5038" t="str">
            <v>LAB2258</v>
          </cell>
        </row>
        <row r="5039">
          <cell r="F5039" t="str">
            <v>DA96-01531K</v>
          </cell>
          <cell r="G5039" t="str">
            <v>LABEL</v>
          </cell>
          <cell r="H5039" t="str">
            <v>LAB2257</v>
          </cell>
        </row>
        <row r="5040">
          <cell r="F5040" t="str">
            <v>DA96-01531H</v>
          </cell>
          <cell r="G5040" t="str">
            <v>LABEL</v>
          </cell>
          <cell r="H5040" t="str">
            <v>LAB2256</v>
          </cell>
        </row>
        <row r="5041">
          <cell r="F5041" t="str">
            <v>DA96-01531G</v>
          </cell>
          <cell r="G5041" t="str">
            <v>LABEL</v>
          </cell>
          <cell r="H5041" t="str">
            <v>LAB2255</v>
          </cell>
        </row>
        <row r="5042">
          <cell r="F5042" t="str">
            <v>DA96-01531J</v>
          </cell>
          <cell r="G5042" t="str">
            <v>LABEL</v>
          </cell>
          <cell r="H5042" t="str">
            <v>LAB2254</v>
          </cell>
        </row>
        <row r="5043">
          <cell r="F5043" t="str">
            <v>DA96-01531N</v>
          </cell>
          <cell r="G5043" t="str">
            <v>LABEL</v>
          </cell>
          <cell r="H5043" t="str">
            <v>LAB2252</v>
          </cell>
        </row>
        <row r="5044">
          <cell r="F5044" t="str">
            <v>DC93-01001X(QR)</v>
          </cell>
          <cell r="G5044" t="str">
            <v>LABEL</v>
          </cell>
          <cell r="H5044" t="str">
            <v>LAB2251</v>
          </cell>
        </row>
        <row r="5045">
          <cell r="F5045" t="str">
            <v>DC93-01001W(QR)</v>
          </cell>
          <cell r="G5045" t="str">
            <v>LABEL</v>
          </cell>
          <cell r="H5045" t="str">
            <v>LAB2250</v>
          </cell>
        </row>
        <row r="5046">
          <cell r="F5046" t="str">
            <v>DC93-01001V(QR)</v>
          </cell>
          <cell r="G5046" t="str">
            <v>LABEL</v>
          </cell>
          <cell r="H5046" t="str">
            <v>LAB2249</v>
          </cell>
        </row>
        <row r="5047">
          <cell r="F5047" t="str">
            <v>DC93-01001U(QR)</v>
          </cell>
          <cell r="G5047" t="str">
            <v>LABEL</v>
          </cell>
          <cell r="H5047" t="str">
            <v>LAB2248</v>
          </cell>
        </row>
        <row r="5048">
          <cell r="F5048" t="str">
            <v>DC93-01001T(QR)</v>
          </cell>
          <cell r="G5048" t="str">
            <v>LABEL</v>
          </cell>
          <cell r="H5048" t="str">
            <v>LAB2247</v>
          </cell>
        </row>
        <row r="5049">
          <cell r="F5049" t="str">
            <v>DC93-01001S(QR)</v>
          </cell>
          <cell r="G5049" t="str">
            <v>LABEL</v>
          </cell>
          <cell r="H5049" t="str">
            <v>LAB2246</v>
          </cell>
        </row>
        <row r="5050">
          <cell r="F5050" t="str">
            <v>DC93-01001R(QR)</v>
          </cell>
          <cell r="G5050" t="str">
            <v>LABEL</v>
          </cell>
          <cell r="H5050" t="str">
            <v>LAB2245</v>
          </cell>
        </row>
        <row r="5051">
          <cell r="F5051" t="str">
            <v>DC93-01001Q(QR)</v>
          </cell>
          <cell r="G5051" t="str">
            <v>LABEL</v>
          </cell>
          <cell r="H5051" t="str">
            <v>LAB2244</v>
          </cell>
        </row>
        <row r="5052">
          <cell r="F5052" t="str">
            <v>DC93-01001P(QR)</v>
          </cell>
          <cell r="G5052" t="str">
            <v>LABEL</v>
          </cell>
          <cell r="H5052" t="str">
            <v>LAB2243</v>
          </cell>
        </row>
        <row r="5053">
          <cell r="F5053" t="str">
            <v>DC93-01001N(QR)</v>
          </cell>
          <cell r="G5053" t="str">
            <v>LABEL</v>
          </cell>
          <cell r="H5053" t="str">
            <v>LAB2242</v>
          </cell>
        </row>
        <row r="5054">
          <cell r="F5054" t="str">
            <v>DC93-01001M(QR)</v>
          </cell>
          <cell r="G5054" t="str">
            <v>LABEL</v>
          </cell>
          <cell r="H5054" t="str">
            <v>LAB2241</v>
          </cell>
        </row>
        <row r="5055">
          <cell r="F5055" t="str">
            <v>DC93-01001L(QR)</v>
          </cell>
          <cell r="G5055" t="str">
            <v>LABEL</v>
          </cell>
          <cell r="H5055" t="str">
            <v>LAB2240</v>
          </cell>
        </row>
        <row r="5056">
          <cell r="F5056" t="str">
            <v>DC93-01001K(QR)</v>
          </cell>
          <cell r="G5056" t="str">
            <v>LABEL</v>
          </cell>
          <cell r="H5056" t="str">
            <v>LAB2239</v>
          </cell>
        </row>
        <row r="5057">
          <cell r="F5057" t="str">
            <v>DC93-01001J(QR)</v>
          </cell>
          <cell r="G5057" t="str">
            <v>LABEL</v>
          </cell>
          <cell r="H5057" t="str">
            <v>LAB2238</v>
          </cell>
        </row>
        <row r="5058">
          <cell r="F5058" t="str">
            <v>DC93-01001H(QR)</v>
          </cell>
          <cell r="G5058" t="str">
            <v>LABEL</v>
          </cell>
          <cell r="H5058" t="str">
            <v>LAB2237</v>
          </cell>
        </row>
        <row r="5059">
          <cell r="F5059" t="str">
            <v>DC93-01001G(QR)</v>
          </cell>
          <cell r="G5059" t="str">
            <v>LABEL</v>
          </cell>
          <cell r="H5059" t="str">
            <v>LAB2236</v>
          </cell>
        </row>
        <row r="5060">
          <cell r="F5060" t="str">
            <v>DC93-01001F(QR)</v>
          </cell>
          <cell r="G5060" t="str">
            <v>LABEL</v>
          </cell>
          <cell r="H5060" t="str">
            <v>LAB2235</v>
          </cell>
        </row>
        <row r="5061">
          <cell r="F5061" t="str">
            <v>DC93-01001E(QR)</v>
          </cell>
          <cell r="G5061" t="str">
            <v>LABEL</v>
          </cell>
          <cell r="H5061" t="str">
            <v>LAB2234</v>
          </cell>
        </row>
        <row r="5062">
          <cell r="F5062" t="str">
            <v>DC93-01001D(QR)</v>
          </cell>
          <cell r="G5062" t="str">
            <v>LABEL</v>
          </cell>
          <cell r="H5062" t="str">
            <v>LAB2233</v>
          </cell>
        </row>
        <row r="5063">
          <cell r="F5063" t="str">
            <v>DC93-01001C(QR)</v>
          </cell>
          <cell r="G5063" t="str">
            <v>LABEL</v>
          </cell>
          <cell r="H5063" t="str">
            <v>LAB2232</v>
          </cell>
        </row>
        <row r="5064">
          <cell r="F5064" t="str">
            <v>DC93-01001B(QR)</v>
          </cell>
          <cell r="G5064" t="str">
            <v>LABEL</v>
          </cell>
          <cell r="H5064" t="str">
            <v>LAB2231</v>
          </cell>
        </row>
        <row r="5065">
          <cell r="F5065" t="str">
            <v>DC93-01001A(QR)</v>
          </cell>
          <cell r="G5065" t="str">
            <v>LABEL</v>
          </cell>
          <cell r="H5065" t="str">
            <v>LAB2230</v>
          </cell>
        </row>
        <row r="5066">
          <cell r="F5066" t="str">
            <v>DA96-01583Y(QR)</v>
          </cell>
          <cell r="G5066" t="str">
            <v>LABEL</v>
          </cell>
          <cell r="H5066" t="str">
            <v>LAB2229</v>
          </cell>
        </row>
        <row r="5067">
          <cell r="F5067" t="str">
            <v>DA96-01583Y</v>
          </cell>
          <cell r="G5067" t="str">
            <v>LABEL</v>
          </cell>
          <cell r="H5067" t="str">
            <v>LAB2228</v>
          </cell>
        </row>
        <row r="5068">
          <cell r="F5068" t="str">
            <v>DA96-01583X(QR)</v>
          </cell>
          <cell r="G5068" t="str">
            <v>LABEL</v>
          </cell>
          <cell r="H5068" t="str">
            <v>LAB2227</v>
          </cell>
        </row>
        <row r="5069">
          <cell r="F5069" t="str">
            <v>DA96-01583X</v>
          </cell>
          <cell r="G5069" t="str">
            <v>LABEL</v>
          </cell>
          <cell r="H5069" t="str">
            <v>LAB2226</v>
          </cell>
        </row>
        <row r="5070">
          <cell r="F5070" t="str">
            <v>DA96-01583W(QR)</v>
          </cell>
          <cell r="G5070" t="str">
            <v>LABEL</v>
          </cell>
          <cell r="H5070" t="str">
            <v>LAB2225</v>
          </cell>
        </row>
        <row r="5071">
          <cell r="F5071" t="str">
            <v>DA96-01583W</v>
          </cell>
          <cell r="G5071" t="str">
            <v>LABEL</v>
          </cell>
          <cell r="H5071" t="str">
            <v>LAB2224</v>
          </cell>
        </row>
        <row r="5072">
          <cell r="F5072" t="str">
            <v>DA96-01583V(QR)</v>
          </cell>
          <cell r="G5072" t="str">
            <v>LABEL</v>
          </cell>
          <cell r="H5072" t="str">
            <v>LAB2223</v>
          </cell>
        </row>
        <row r="5073">
          <cell r="F5073" t="str">
            <v>DA96-01583V</v>
          </cell>
          <cell r="G5073" t="str">
            <v>LABEL</v>
          </cell>
          <cell r="H5073" t="str">
            <v>LAB2222</v>
          </cell>
        </row>
        <row r="5074">
          <cell r="F5074" t="str">
            <v>DA96-01510J</v>
          </cell>
          <cell r="G5074" t="str">
            <v>LABEL</v>
          </cell>
          <cell r="H5074" t="str">
            <v>LAB2221</v>
          </cell>
        </row>
        <row r="5075">
          <cell r="F5075" t="str">
            <v>DA96-01460S(QR)</v>
          </cell>
          <cell r="G5075" t="str">
            <v>LABEL</v>
          </cell>
          <cell r="H5075" t="str">
            <v>LAB2220</v>
          </cell>
        </row>
        <row r="5076">
          <cell r="F5076" t="str">
            <v>DC93-00749D</v>
          </cell>
          <cell r="G5076" t="str">
            <v>LABEL</v>
          </cell>
          <cell r="H5076" t="str">
            <v>LAB2219</v>
          </cell>
        </row>
        <row r="5077">
          <cell r="F5077" t="str">
            <v>DC93-00749C</v>
          </cell>
          <cell r="G5077" t="str">
            <v>LABEL</v>
          </cell>
          <cell r="H5077" t="str">
            <v>LAB2218</v>
          </cell>
        </row>
        <row r="5078">
          <cell r="F5078" t="str">
            <v>DC93-00748J</v>
          </cell>
          <cell r="G5078" t="str">
            <v>LABEL</v>
          </cell>
          <cell r="H5078" t="str">
            <v>LAB2217</v>
          </cell>
        </row>
        <row r="5079">
          <cell r="F5079" t="str">
            <v>DC93-00748H</v>
          </cell>
          <cell r="G5079" t="str">
            <v>LABEL</v>
          </cell>
          <cell r="H5079" t="str">
            <v>LAB2216</v>
          </cell>
        </row>
        <row r="5080">
          <cell r="F5080" t="str">
            <v>DC93-00748G</v>
          </cell>
          <cell r="G5080" t="str">
            <v>LABEL</v>
          </cell>
          <cell r="H5080" t="str">
            <v>LAB2215</v>
          </cell>
        </row>
        <row r="5081">
          <cell r="F5081" t="str">
            <v>DC93-00748F</v>
          </cell>
          <cell r="G5081" t="str">
            <v>LABEL</v>
          </cell>
          <cell r="H5081" t="str">
            <v>LAB2214</v>
          </cell>
        </row>
        <row r="5082">
          <cell r="F5082" t="str">
            <v>DC93-00748E</v>
          </cell>
          <cell r="G5082" t="str">
            <v>LABEL</v>
          </cell>
          <cell r="H5082" t="str">
            <v>LAB2213</v>
          </cell>
        </row>
        <row r="5083">
          <cell r="F5083" t="str">
            <v>DC93-00748D</v>
          </cell>
          <cell r="G5083" t="str">
            <v>LABEL</v>
          </cell>
          <cell r="H5083" t="str">
            <v>LAB2212</v>
          </cell>
        </row>
        <row r="5084">
          <cell r="F5084" t="str">
            <v>DC93-00748C</v>
          </cell>
          <cell r="G5084" t="str">
            <v>LABEL</v>
          </cell>
          <cell r="H5084" t="str">
            <v>LAB2211</v>
          </cell>
        </row>
        <row r="5085">
          <cell r="F5085" t="str">
            <v>DC93-00748B</v>
          </cell>
          <cell r="G5085" t="str">
            <v>LABEL</v>
          </cell>
          <cell r="H5085" t="str">
            <v>LAB2210</v>
          </cell>
        </row>
        <row r="5086">
          <cell r="F5086" t="str">
            <v>DC93-00748A</v>
          </cell>
          <cell r="G5086" t="str">
            <v>LABEL</v>
          </cell>
          <cell r="H5086" t="str">
            <v>LAB2209</v>
          </cell>
        </row>
        <row r="5087">
          <cell r="F5087" t="str">
            <v>DA96-01583U(QR)</v>
          </cell>
          <cell r="G5087" t="str">
            <v>LABEL</v>
          </cell>
          <cell r="H5087" t="str">
            <v>LAB2208</v>
          </cell>
        </row>
        <row r="5088">
          <cell r="F5088" t="str">
            <v>DA96-01583U</v>
          </cell>
          <cell r="G5088" t="str">
            <v>LABEL</v>
          </cell>
          <cell r="H5088" t="str">
            <v>LAB2207</v>
          </cell>
        </row>
        <row r="5089">
          <cell r="F5089" t="str">
            <v>DA96-01450E</v>
          </cell>
          <cell r="G5089" t="str">
            <v>LABEL</v>
          </cell>
          <cell r="H5089" t="str">
            <v>LAB2206</v>
          </cell>
        </row>
        <row r="5090">
          <cell r="F5090" t="str">
            <v>DA96-01450C</v>
          </cell>
          <cell r="G5090" t="str">
            <v>LABEL</v>
          </cell>
          <cell r="H5090" t="str">
            <v>LAB2205</v>
          </cell>
        </row>
        <row r="5091">
          <cell r="F5091" t="str">
            <v>DA96-01611D</v>
          </cell>
          <cell r="G5091" t="str">
            <v>LABEL</v>
          </cell>
          <cell r="H5091" t="str">
            <v>LAB2204</v>
          </cell>
        </row>
        <row r="5092">
          <cell r="F5092" t="str">
            <v>DA96-01611C</v>
          </cell>
          <cell r="G5092" t="str">
            <v>LABEL</v>
          </cell>
          <cell r="H5092" t="str">
            <v>LAB2203</v>
          </cell>
        </row>
        <row r="5093">
          <cell r="F5093" t="str">
            <v>DA96-01611B</v>
          </cell>
          <cell r="G5093" t="str">
            <v>LABEL</v>
          </cell>
          <cell r="H5093" t="str">
            <v>LAB2202</v>
          </cell>
        </row>
        <row r="5094">
          <cell r="F5094" t="str">
            <v>DA96-01611A</v>
          </cell>
          <cell r="G5094" t="str">
            <v>LABEL</v>
          </cell>
          <cell r="H5094" t="str">
            <v>LAB2201</v>
          </cell>
        </row>
        <row r="5095">
          <cell r="F5095" t="str">
            <v>DA96-01450D</v>
          </cell>
          <cell r="G5095" t="str">
            <v>LABEL</v>
          </cell>
          <cell r="H5095" t="str">
            <v>LAB2200</v>
          </cell>
        </row>
        <row r="5096">
          <cell r="F5096" t="str">
            <v>DA96-01501J(QR)</v>
          </cell>
          <cell r="G5096" t="str">
            <v>LABEL</v>
          </cell>
          <cell r="H5096" t="str">
            <v>LAB2199</v>
          </cell>
        </row>
        <row r="5097">
          <cell r="F5097" t="str">
            <v>DA96-01501J</v>
          </cell>
          <cell r="G5097" t="str">
            <v>LABEL</v>
          </cell>
          <cell r="H5097" t="str">
            <v>LAB2198</v>
          </cell>
        </row>
        <row r="5098">
          <cell r="F5098" t="str">
            <v>DA96-01501H(QR)</v>
          </cell>
          <cell r="G5098" t="str">
            <v>LABEL</v>
          </cell>
          <cell r="H5098" t="str">
            <v>LAB2197</v>
          </cell>
        </row>
        <row r="5099">
          <cell r="F5099" t="str">
            <v>DA96-01501H</v>
          </cell>
          <cell r="G5099" t="str">
            <v>LABEL</v>
          </cell>
          <cell r="H5099" t="str">
            <v>LAB2196</v>
          </cell>
        </row>
        <row r="5100">
          <cell r="F5100" t="str">
            <v>DA96-01501G(QR)</v>
          </cell>
          <cell r="G5100" t="str">
            <v>LABEL</v>
          </cell>
          <cell r="H5100" t="str">
            <v>LAB2195</v>
          </cell>
        </row>
        <row r="5101">
          <cell r="F5101" t="str">
            <v>DA96-01501G</v>
          </cell>
          <cell r="G5101" t="str">
            <v>LABEL</v>
          </cell>
          <cell r="H5101" t="str">
            <v>LAB2194</v>
          </cell>
        </row>
        <row r="5102">
          <cell r="F5102" t="str">
            <v>DA96-01501F(QR)</v>
          </cell>
          <cell r="G5102" t="str">
            <v>LABEL</v>
          </cell>
          <cell r="H5102" t="str">
            <v>LAB2193</v>
          </cell>
        </row>
        <row r="5103">
          <cell r="F5103" t="str">
            <v>DA96-01501F</v>
          </cell>
          <cell r="G5103" t="str">
            <v>LABEL</v>
          </cell>
          <cell r="H5103" t="str">
            <v>LAB2192</v>
          </cell>
        </row>
        <row r="5104">
          <cell r="F5104" t="str">
            <v>DA96-01498H(QR)</v>
          </cell>
          <cell r="G5104" t="str">
            <v>LABEL</v>
          </cell>
          <cell r="H5104" t="str">
            <v>LAB2191</v>
          </cell>
        </row>
        <row r="5105">
          <cell r="F5105" t="str">
            <v>DA96-01498H</v>
          </cell>
          <cell r="G5105" t="str">
            <v>LABEL</v>
          </cell>
          <cell r="H5105" t="str">
            <v>LAB2190</v>
          </cell>
        </row>
        <row r="5106">
          <cell r="F5106" t="str">
            <v>DA96-01612E(QR)</v>
          </cell>
          <cell r="G5106" t="str">
            <v>LABEL</v>
          </cell>
          <cell r="H5106" t="str">
            <v>LAB2189</v>
          </cell>
        </row>
        <row r="5107">
          <cell r="F5107" t="str">
            <v>DA96-01612E</v>
          </cell>
          <cell r="G5107" t="str">
            <v>LABEL</v>
          </cell>
          <cell r="H5107" t="str">
            <v>LAB2188</v>
          </cell>
        </row>
        <row r="5108">
          <cell r="F5108" t="str">
            <v>DA96-01612D(QR)</v>
          </cell>
          <cell r="G5108" t="str">
            <v>LABEL</v>
          </cell>
          <cell r="H5108" t="str">
            <v>LAB2187</v>
          </cell>
        </row>
        <row r="5109">
          <cell r="F5109" t="str">
            <v>DA96-01612D</v>
          </cell>
          <cell r="G5109" t="str">
            <v>LABEL</v>
          </cell>
          <cell r="H5109" t="str">
            <v>LAB2186</v>
          </cell>
        </row>
        <row r="5110">
          <cell r="F5110" t="str">
            <v>DA96-01612C(QR)</v>
          </cell>
          <cell r="G5110" t="str">
            <v>LABEL</v>
          </cell>
          <cell r="H5110" t="str">
            <v>LAB2185</v>
          </cell>
        </row>
        <row r="5111">
          <cell r="F5111" t="str">
            <v>DA96-01612C</v>
          </cell>
          <cell r="G5111" t="str">
            <v>LABEL</v>
          </cell>
          <cell r="H5111" t="str">
            <v>LAB2184</v>
          </cell>
        </row>
        <row r="5112">
          <cell r="F5112" t="str">
            <v>DA96-01612B(QR)</v>
          </cell>
          <cell r="G5112" t="str">
            <v>LABEL</v>
          </cell>
          <cell r="H5112" t="str">
            <v>LAB2183</v>
          </cell>
        </row>
        <row r="5113">
          <cell r="F5113" t="str">
            <v>DA96-01612B</v>
          </cell>
          <cell r="G5113" t="str">
            <v>LABEL</v>
          </cell>
          <cell r="H5113" t="str">
            <v>LAB2182</v>
          </cell>
        </row>
        <row r="5114">
          <cell r="F5114" t="str">
            <v>DA96-01612A(QR)</v>
          </cell>
          <cell r="G5114" t="str">
            <v>LABEL</v>
          </cell>
          <cell r="H5114" t="str">
            <v>LAB2181</v>
          </cell>
        </row>
        <row r="5115">
          <cell r="F5115" t="str">
            <v>DA96-01612A</v>
          </cell>
          <cell r="G5115" t="str">
            <v>LABEL</v>
          </cell>
          <cell r="H5115" t="str">
            <v>LAB2180</v>
          </cell>
        </row>
        <row r="5116">
          <cell r="F5116" t="str">
            <v>DA96-01298B</v>
          </cell>
          <cell r="G5116" t="str">
            <v>LABEL</v>
          </cell>
          <cell r="H5116" t="str">
            <v>LAB2179</v>
          </cell>
        </row>
        <row r="5117">
          <cell r="F5117" t="str">
            <v>DA96-01594B</v>
          </cell>
          <cell r="G5117" t="str">
            <v>LABEL</v>
          </cell>
          <cell r="H5117" t="str">
            <v>LAB2178</v>
          </cell>
        </row>
        <row r="5118">
          <cell r="F5118" t="str">
            <v>DA96-01594A</v>
          </cell>
          <cell r="G5118" t="str">
            <v>LABEL</v>
          </cell>
          <cell r="H5118" t="str">
            <v>LAB2177</v>
          </cell>
        </row>
        <row r="5119">
          <cell r="F5119" t="str">
            <v>DA96-01573E</v>
          </cell>
          <cell r="G5119" t="str">
            <v>LABEL</v>
          </cell>
          <cell r="H5119" t="str">
            <v>LAB2176</v>
          </cell>
        </row>
        <row r="5120">
          <cell r="F5120" t="str">
            <v>DA96-01468N(QR)</v>
          </cell>
          <cell r="G5120" t="str">
            <v>LABEL</v>
          </cell>
          <cell r="H5120" t="str">
            <v>LAB2175</v>
          </cell>
        </row>
        <row r="5121">
          <cell r="F5121" t="str">
            <v>DA96-01468N</v>
          </cell>
          <cell r="G5121" t="str">
            <v>LABEL</v>
          </cell>
          <cell r="H5121" t="str">
            <v>LAB2174</v>
          </cell>
        </row>
        <row r="5122">
          <cell r="F5122" t="str">
            <v>DA96-01459L(QR)</v>
          </cell>
          <cell r="G5122" t="str">
            <v>LABEL</v>
          </cell>
          <cell r="H5122" t="str">
            <v>LAB2173</v>
          </cell>
        </row>
        <row r="5123">
          <cell r="F5123" t="str">
            <v>DA96-01459L</v>
          </cell>
          <cell r="G5123" t="str">
            <v>LABEL</v>
          </cell>
          <cell r="H5123" t="str">
            <v>LAB2172</v>
          </cell>
        </row>
        <row r="5124">
          <cell r="F5124" t="str">
            <v>FSR LABEL</v>
          </cell>
          <cell r="G5124" t="str">
            <v>LABEL</v>
          </cell>
          <cell r="H5124" t="str">
            <v>LAB2171</v>
          </cell>
        </row>
        <row r="5125">
          <cell r="F5125" t="str">
            <v>WIFI LABEL</v>
          </cell>
          <cell r="G5125" t="str">
            <v>LABEL</v>
          </cell>
          <cell r="H5125" t="str">
            <v>LAB2170</v>
          </cell>
        </row>
        <row r="5126">
          <cell r="F5126" t="str">
            <v>DA96-01347R</v>
          </cell>
          <cell r="G5126" t="str">
            <v>LABEL</v>
          </cell>
          <cell r="H5126" t="str">
            <v>LAB2169</v>
          </cell>
        </row>
        <row r="5127">
          <cell r="F5127" t="str">
            <v>DA96-01601A</v>
          </cell>
          <cell r="G5127" t="str">
            <v>LABEL</v>
          </cell>
          <cell r="H5127" t="str">
            <v>LAB2168</v>
          </cell>
        </row>
        <row r="5128">
          <cell r="F5128" t="str">
            <v>DA96-01454B</v>
          </cell>
          <cell r="G5128" t="str">
            <v>LABEL</v>
          </cell>
          <cell r="H5128" t="str">
            <v>LAB2167</v>
          </cell>
        </row>
        <row r="5129">
          <cell r="F5129" t="str">
            <v>DA96-01454A</v>
          </cell>
          <cell r="G5129" t="str">
            <v>LABEL</v>
          </cell>
          <cell r="H5129" t="str">
            <v>LAB2166</v>
          </cell>
        </row>
        <row r="5130">
          <cell r="F5130" t="str">
            <v>DC93-00789G(QR)</v>
          </cell>
          <cell r="G5130" t="str">
            <v>LABEL</v>
          </cell>
          <cell r="H5130" t="str">
            <v>LAB2165</v>
          </cell>
        </row>
        <row r="5131">
          <cell r="F5131" t="str">
            <v>DC93-00788P(QR)</v>
          </cell>
          <cell r="G5131" t="str">
            <v>LABEL</v>
          </cell>
          <cell r="H5131" t="str">
            <v>LAB2164</v>
          </cell>
        </row>
        <row r="5132">
          <cell r="F5132" t="str">
            <v>DC93-00788N(QR)</v>
          </cell>
          <cell r="G5132" t="str">
            <v>LABEL</v>
          </cell>
          <cell r="H5132" t="str">
            <v>LAB2163</v>
          </cell>
        </row>
        <row r="5133">
          <cell r="F5133" t="str">
            <v>DC93-00788M(QR)</v>
          </cell>
          <cell r="G5133" t="str">
            <v>LABEL</v>
          </cell>
          <cell r="H5133" t="str">
            <v>LAB2162</v>
          </cell>
        </row>
        <row r="5134">
          <cell r="F5134" t="str">
            <v>DC93-00788L(QR)</v>
          </cell>
          <cell r="G5134" t="str">
            <v>LABEL</v>
          </cell>
          <cell r="H5134" t="str">
            <v>LAB2161</v>
          </cell>
        </row>
        <row r="5135">
          <cell r="F5135" t="str">
            <v>DC93-00787N(QR)</v>
          </cell>
          <cell r="G5135" t="str">
            <v>LABEL</v>
          </cell>
          <cell r="H5135" t="str">
            <v>LAB2160</v>
          </cell>
        </row>
        <row r="5136">
          <cell r="F5136" t="str">
            <v>DC93-00787M(QR)</v>
          </cell>
          <cell r="G5136" t="str">
            <v>LABEL</v>
          </cell>
          <cell r="H5136" t="str">
            <v>LAB2159</v>
          </cell>
        </row>
        <row r="5137">
          <cell r="F5137" t="str">
            <v>DC93-00786J(QR)</v>
          </cell>
          <cell r="G5137" t="str">
            <v>LABEL</v>
          </cell>
          <cell r="H5137" t="str">
            <v>LAB2158</v>
          </cell>
        </row>
        <row r="5138">
          <cell r="F5138" t="str">
            <v>DA96-01583T(QR)</v>
          </cell>
          <cell r="G5138" t="str">
            <v>LABEL</v>
          </cell>
          <cell r="H5138" t="str">
            <v>LAB2157</v>
          </cell>
        </row>
        <row r="5139">
          <cell r="F5139" t="str">
            <v>DA96-01583T</v>
          </cell>
          <cell r="G5139" t="str">
            <v>LABEL</v>
          </cell>
          <cell r="H5139" t="str">
            <v>LAB2156</v>
          </cell>
        </row>
        <row r="5140">
          <cell r="F5140" t="str">
            <v>DA96-01583S(QR)</v>
          </cell>
          <cell r="G5140" t="str">
            <v>LABEL</v>
          </cell>
          <cell r="H5140" t="str">
            <v>LAB2155</v>
          </cell>
        </row>
        <row r="5141">
          <cell r="F5141" t="str">
            <v>DA96-01583S</v>
          </cell>
          <cell r="G5141" t="str">
            <v>LABEL</v>
          </cell>
          <cell r="H5141" t="str">
            <v>LAB2154</v>
          </cell>
        </row>
        <row r="5142">
          <cell r="F5142" t="str">
            <v>DA96-01583R</v>
          </cell>
          <cell r="G5142" t="str">
            <v>LABEL</v>
          </cell>
          <cell r="H5142" t="str">
            <v>LAB2153</v>
          </cell>
        </row>
        <row r="5143">
          <cell r="F5143" t="str">
            <v>DA96-01583R(QR)</v>
          </cell>
          <cell r="G5143" t="str">
            <v>LABEL</v>
          </cell>
          <cell r="H5143" t="str">
            <v>LAB2152</v>
          </cell>
        </row>
        <row r="5144">
          <cell r="F5144" t="str">
            <v>DA96-01583Q(QR)</v>
          </cell>
          <cell r="G5144" t="str">
            <v>LABEL</v>
          </cell>
          <cell r="H5144" t="str">
            <v>LAB2151</v>
          </cell>
        </row>
        <row r="5145">
          <cell r="F5145" t="str">
            <v>DA96-01583Q</v>
          </cell>
          <cell r="G5145" t="str">
            <v>LABEL</v>
          </cell>
          <cell r="H5145" t="str">
            <v>LAB2150</v>
          </cell>
        </row>
        <row r="5146">
          <cell r="F5146" t="str">
            <v>DA96-01583P(QR)</v>
          </cell>
          <cell r="G5146" t="str">
            <v>LABEL</v>
          </cell>
          <cell r="H5146" t="str">
            <v>LAB2149</v>
          </cell>
        </row>
        <row r="5147">
          <cell r="F5147" t="str">
            <v>DA96-01583P</v>
          </cell>
          <cell r="G5147" t="str">
            <v>LABEL</v>
          </cell>
          <cell r="H5147" t="str">
            <v>LAB2148</v>
          </cell>
        </row>
        <row r="5148">
          <cell r="F5148" t="str">
            <v>DA96-01583N(QR)</v>
          </cell>
          <cell r="G5148" t="str">
            <v>LABEL</v>
          </cell>
          <cell r="H5148" t="str">
            <v>LAB2147</v>
          </cell>
        </row>
        <row r="5149">
          <cell r="F5149" t="str">
            <v>DA96-01583N</v>
          </cell>
          <cell r="G5149" t="str">
            <v>LABEL</v>
          </cell>
          <cell r="H5149" t="str">
            <v>LAB2146</v>
          </cell>
        </row>
        <row r="5150">
          <cell r="F5150" t="str">
            <v>DA96-01583M(QR)</v>
          </cell>
          <cell r="G5150" t="str">
            <v>LABEL</v>
          </cell>
          <cell r="H5150" t="str">
            <v>LAB2145</v>
          </cell>
        </row>
        <row r="5151">
          <cell r="F5151" t="str">
            <v>DA96-01583M</v>
          </cell>
          <cell r="G5151" t="str">
            <v>LABEL</v>
          </cell>
          <cell r="H5151" t="str">
            <v>LAB2144</v>
          </cell>
        </row>
        <row r="5152">
          <cell r="F5152" t="str">
            <v>DA96-01583L(QR)</v>
          </cell>
          <cell r="G5152" t="str">
            <v>LABEL</v>
          </cell>
          <cell r="H5152" t="str">
            <v>LAB2143</v>
          </cell>
        </row>
        <row r="5153">
          <cell r="F5153" t="str">
            <v>DA96-01583L</v>
          </cell>
          <cell r="G5153" t="str">
            <v>LABEL</v>
          </cell>
          <cell r="H5153" t="str">
            <v>LAB2142</v>
          </cell>
        </row>
        <row r="5154">
          <cell r="F5154" t="str">
            <v>DA96-01583K</v>
          </cell>
          <cell r="G5154" t="str">
            <v>LABEL</v>
          </cell>
          <cell r="H5154" t="str">
            <v>LAB2141</v>
          </cell>
        </row>
        <row r="5155">
          <cell r="F5155" t="str">
            <v>DA96-01583K(QR)</v>
          </cell>
          <cell r="G5155" t="str">
            <v>LABEL</v>
          </cell>
          <cell r="H5155" t="str">
            <v>LAB2140</v>
          </cell>
        </row>
        <row r="5156">
          <cell r="F5156" t="str">
            <v>DA96-01583J(QR)</v>
          </cell>
          <cell r="G5156" t="str">
            <v>LABEL</v>
          </cell>
          <cell r="H5156" t="str">
            <v>LAB2139</v>
          </cell>
        </row>
        <row r="5157">
          <cell r="F5157" t="str">
            <v>DA96-01583J</v>
          </cell>
          <cell r="G5157" t="str">
            <v>LABEL</v>
          </cell>
          <cell r="H5157" t="str">
            <v>LAB2138</v>
          </cell>
        </row>
        <row r="5158">
          <cell r="F5158" t="str">
            <v>DA96-01583H(QR)</v>
          </cell>
          <cell r="G5158" t="str">
            <v>LABEL</v>
          </cell>
          <cell r="H5158" t="str">
            <v>LAB2137</v>
          </cell>
        </row>
        <row r="5159">
          <cell r="F5159" t="str">
            <v>DA96-01583H</v>
          </cell>
          <cell r="G5159" t="str">
            <v>LABEL</v>
          </cell>
          <cell r="H5159" t="str">
            <v>LAB2136</v>
          </cell>
        </row>
        <row r="5160">
          <cell r="F5160" t="str">
            <v>DA96-01583G</v>
          </cell>
          <cell r="G5160" t="str">
            <v>LABEL</v>
          </cell>
          <cell r="H5160" t="str">
            <v>LAB2135</v>
          </cell>
        </row>
        <row r="5161">
          <cell r="F5161" t="str">
            <v>DA96-01583G(QR)</v>
          </cell>
          <cell r="G5161" t="str">
            <v>LABEL</v>
          </cell>
          <cell r="H5161" t="str">
            <v>LAB2134</v>
          </cell>
        </row>
        <row r="5162">
          <cell r="F5162" t="str">
            <v>DA96-01583F(QR)</v>
          </cell>
          <cell r="G5162" t="str">
            <v>LABEL</v>
          </cell>
          <cell r="H5162" t="str">
            <v>LAB2131</v>
          </cell>
        </row>
        <row r="5163">
          <cell r="F5163" t="str">
            <v>DA96-01583F</v>
          </cell>
          <cell r="G5163" t="str">
            <v>LABEL</v>
          </cell>
          <cell r="H5163" t="str">
            <v>LAB2130</v>
          </cell>
        </row>
        <row r="5164">
          <cell r="F5164" t="str">
            <v>DA96-01583E(QR)</v>
          </cell>
          <cell r="G5164" t="str">
            <v>LABEL</v>
          </cell>
          <cell r="H5164" t="str">
            <v>LAB2129</v>
          </cell>
        </row>
        <row r="5165">
          <cell r="F5165" t="str">
            <v>DA96-01583E</v>
          </cell>
          <cell r="G5165" t="str">
            <v>LABEL</v>
          </cell>
          <cell r="H5165" t="str">
            <v>LAB2128</v>
          </cell>
        </row>
        <row r="5166">
          <cell r="F5166" t="str">
            <v>DA96-01583D</v>
          </cell>
          <cell r="G5166" t="str">
            <v>LABEL</v>
          </cell>
          <cell r="H5166" t="str">
            <v>LAB2127</v>
          </cell>
        </row>
        <row r="5167">
          <cell r="F5167" t="str">
            <v>DA96-01583D(QR)</v>
          </cell>
          <cell r="G5167" t="str">
            <v>LABEL</v>
          </cell>
          <cell r="H5167" t="str">
            <v>LAB2126</v>
          </cell>
        </row>
        <row r="5168">
          <cell r="F5168" t="str">
            <v>DA96-01583A(QR)</v>
          </cell>
          <cell r="G5168" t="str">
            <v>LABEL</v>
          </cell>
          <cell r="H5168" t="str">
            <v>LAB2125</v>
          </cell>
        </row>
        <row r="5169">
          <cell r="F5169" t="str">
            <v>DA96-01583A</v>
          </cell>
          <cell r="G5169" t="str">
            <v>LABEL</v>
          </cell>
          <cell r="H5169" t="str">
            <v>LAB2124</v>
          </cell>
        </row>
        <row r="5170">
          <cell r="F5170" t="str">
            <v>DA96-01583C(QR)</v>
          </cell>
          <cell r="G5170" t="str">
            <v>LABEL</v>
          </cell>
          <cell r="H5170" t="str">
            <v>LAB2123</v>
          </cell>
        </row>
        <row r="5171">
          <cell r="F5171" t="str">
            <v>DA96-01583C</v>
          </cell>
          <cell r="G5171" t="str">
            <v>LABEL</v>
          </cell>
          <cell r="H5171" t="str">
            <v>LAB2122</v>
          </cell>
        </row>
        <row r="5172">
          <cell r="F5172" t="str">
            <v>DA96-01580G(QR)</v>
          </cell>
          <cell r="G5172" t="str">
            <v>LABEL</v>
          </cell>
          <cell r="H5172" t="str">
            <v>LAB2121</v>
          </cell>
        </row>
        <row r="5173">
          <cell r="F5173" t="str">
            <v>DA96-01580F(QR)</v>
          </cell>
          <cell r="G5173" t="str">
            <v>LABEL</v>
          </cell>
          <cell r="H5173" t="str">
            <v>LAB2120</v>
          </cell>
        </row>
        <row r="5174">
          <cell r="F5174" t="str">
            <v>DA96-01580E(QR)</v>
          </cell>
          <cell r="G5174" t="str">
            <v>LABEL</v>
          </cell>
          <cell r="H5174" t="str">
            <v>LAB2119</v>
          </cell>
        </row>
        <row r="5175">
          <cell r="F5175" t="str">
            <v>DA96-01580D(QR)</v>
          </cell>
          <cell r="G5175" t="str">
            <v>LABEL</v>
          </cell>
          <cell r="H5175" t="str">
            <v>LAB2118</v>
          </cell>
        </row>
        <row r="5176">
          <cell r="F5176" t="str">
            <v>DA96-01580C(QR)</v>
          </cell>
          <cell r="G5176" t="str">
            <v>LABEL</v>
          </cell>
          <cell r="H5176" t="str">
            <v>LAB2117</v>
          </cell>
        </row>
        <row r="5177">
          <cell r="F5177" t="str">
            <v>DA96-01580B(QR)</v>
          </cell>
          <cell r="G5177" t="str">
            <v>LABEL</v>
          </cell>
          <cell r="H5177" t="str">
            <v>LAB2116</v>
          </cell>
        </row>
        <row r="5178">
          <cell r="F5178" t="str">
            <v>DA96-01580A(QR)</v>
          </cell>
          <cell r="G5178" t="str">
            <v>LABEL</v>
          </cell>
          <cell r="H5178" t="str">
            <v>LAB2115</v>
          </cell>
        </row>
        <row r="5179">
          <cell r="F5179" t="str">
            <v>DA96-01583B(QR)</v>
          </cell>
          <cell r="G5179" t="str">
            <v>LABEL</v>
          </cell>
          <cell r="H5179" t="str">
            <v>LAB2114</v>
          </cell>
        </row>
        <row r="5180">
          <cell r="F5180" t="str">
            <v>DA96-01583B</v>
          </cell>
          <cell r="G5180" t="str">
            <v>LABEL</v>
          </cell>
          <cell r="H5180" t="str">
            <v>LAB2113</v>
          </cell>
        </row>
        <row r="5181">
          <cell r="F5181" t="str">
            <v>DA96-01553A</v>
          </cell>
          <cell r="G5181" t="str">
            <v>LABEL</v>
          </cell>
          <cell r="H5181" t="str">
            <v>LAB2112</v>
          </cell>
        </row>
        <row r="5182">
          <cell r="F5182" t="str">
            <v>DA96-01550H</v>
          </cell>
          <cell r="G5182" t="str">
            <v>LABEL</v>
          </cell>
          <cell r="H5182" t="str">
            <v>LAB2111</v>
          </cell>
        </row>
        <row r="5183">
          <cell r="F5183" t="str">
            <v>DA96-01550G</v>
          </cell>
          <cell r="G5183" t="str">
            <v>LABEL</v>
          </cell>
          <cell r="H5183" t="str">
            <v>LAB2110</v>
          </cell>
        </row>
        <row r="5184">
          <cell r="F5184" t="str">
            <v>DA96-01550F</v>
          </cell>
          <cell r="G5184" t="str">
            <v>LABEL</v>
          </cell>
          <cell r="H5184" t="str">
            <v>LAB2109</v>
          </cell>
        </row>
        <row r="5185">
          <cell r="F5185" t="str">
            <v>DA96-01550E</v>
          </cell>
          <cell r="G5185" t="str">
            <v>LABEL</v>
          </cell>
          <cell r="H5185" t="str">
            <v>LAB2108</v>
          </cell>
        </row>
        <row r="5186">
          <cell r="F5186" t="str">
            <v>DA96-01577B</v>
          </cell>
          <cell r="G5186" t="str">
            <v>LABEL</v>
          </cell>
          <cell r="H5186" t="str">
            <v>LAB2107</v>
          </cell>
        </row>
        <row r="5187">
          <cell r="F5187" t="str">
            <v>DA96-01577A</v>
          </cell>
          <cell r="G5187" t="str">
            <v>LABEL</v>
          </cell>
          <cell r="H5187" t="str">
            <v>LAB2106</v>
          </cell>
        </row>
        <row r="5188">
          <cell r="F5188" t="str">
            <v>DA96-01551B</v>
          </cell>
          <cell r="G5188" t="str">
            <v>LABEL</v>
          </cell>
          <cell r="H5188" t="str">
            <v>LAB2105</v>
          </cell>
        </row>
        <row r="5189">
          <cell r="F5189" t="str">
            <v>DA96-01551A</v>
          </cell>
          <cell r="G5189" t="str">
            <v>LABEL</v>
          </cell>
          <cell r="H5189" t="str">
            <v>LAB2104</v>
          </cell>
        </row>
        <row r="5190">
          <cell r="F5190" t="str">
            <v>DA96-01592F(QR)</v>
          </cell>
          <cell r="G5190" t="str">
            <v>LABEL</v>
          </cell>
          <cell r="H5190" t="str">
            <v>LAB2103</v>
          </cell>
        </row>
        <row r="5191">
          <cell r="F5191" t="str">
            <v>DA96-01592E(QR)</v>
          </cell>
          <cell r="G5191" t="str">
            <v>LABEL</v>
          </cell>
          <cell r="H5191" t="str">
            <v>LAB2102</v>
          </cell>
        </row>
        <row r="5192">
          <cell r="F5192" t="str">
            <v>DA96-01592D(QR)</v>
          </cell>
          <cell r="G5192" t="str">
            <v>LABEL</v>
          </cell>
          <cell r="H5192" t="str">
            <v>LAB2101</v>
          </cell>
        </row>
        <row r="5193">
          <cell r="F5193" t="str">
            <v>DA96-01592C(QR)</v>
          </cell>
          <cell r="G5193" t="str">
            <v>LABEL</v>
          </cell>
          <cell r="H5193" t="str">
            <v>LAB2100</v>
          </cell>
        </row>
        <row r="5194">
          <cell r="F5194" t="str">
            <v>DA96-01592B(QR)</v>
          </cell>
          <cell r="G5194" t="str">
            <v>LABEL</v>
          </cell>
          <cell r="H5194" t="str">
            <v>LAB2099</v>
          </cell>
        </row>
        <row r="5195">
          <cell r="F5195" t="str">
            <v>DA96-01592A(QR)</v>
          </cell>
          <cell r="G5195" t="str">
            <v>LABEL</v>
          </cell>
          <cell r="H5195" t="str">
            <v>LAB2098</v>
          </cell>
        </row>
        <row r="5196">
          <cell r="F5196" t="str">
            <v>DA96-01591K</v>
          </cell>
          <cell r="G5196" t="str">
            <v>LABEL</v>
          </cell>
          <cell r="H5196" t="str">
            <v>LAB2097</v>
          </cell>
        </row>
        <row r="5197">
          <cell r="F5197" t="str">
            <v>DA96-01591J</v>
          </cell>
          <cell r="G5197" t="str">
            <v>LABEL</v>
          </cell>
          <cell r="H5197" t="str">
            <v>LAB2096</v>
          </cell>
        </row>
        <row r="5198">
          <cell r="F5198" t="str">
            <v>DA96-01591H</v>
          </cell>
          <cell r="G5198" t="str">
            <v>LABEL</v>
          </cell>
          <cell r="H5198" t="str">
            <v>LAB2095</v>
          </cell>
        </row>
        <row r="5199">
          <cell r="F5199" t="str">
            <v>DA96-01591G</v>
          </cell>
          <cell r="G5199" t="str">
            <v>LABEL</v>
          </cell>
          <cell r="H5199" t="str">
            <v>LAB2094</v>
          </cell>
        </row>
        <row r="5200">
          <cell r="F5200" t="str">
            <v>DA96-01591F</v>
          </cell>
          <cell r="G5200" t="str">
            <v>LABEL</v>
          </cell>
          <cell r="H5200" t="str">
            <v>LAB2093</v>
          </cell>
        </row>
        <row r="5201">
          <cell r="F5201" t="str">
            <v>DA96-01591E</v>
          </cell>
          <cell r="G5201" t="str">
            <v>LABEL</v>
          </cell>
          <cell r="H5201" t="str">
            <v>LAB2092</v>
          </cell>
        </row>
        <row r="5202">
          <cell r="F5202" t="str">
            <v>DA96-01591D</v>
          </cell>
          <cell r="G5202" t="str">
            <v>LABEL</v>
          </cell>
          <cell r="H5202" t="str">
            <v>LAB2091</v>
          </cell>
        </row>
        <row r="5203">
          <cell r="F5203" t="str">
            <v>DA96-01591C</v>
          </cell>
          <cell r="G5203" t="str">
            <v>LABEL</v>
          </cell>
          <cell r="H5203" t="str">
            <v>LAB2090</v>
          </cell>
        </row>
        <row r="5204">
          <cell r="F5204" t="str">
            <v>DA96-01591B</v>
          </cell>
          <cell r="G5204" t="str">
            <v>LABEL</v>
          </cell>
          <cell r="H5204" t="str">
            <v>LAB2089</v>
          </cell>
        </row>
        <row r="5205">
          <cell r="F5205" t="str">
            <v>DA96-01591A</v>
          </cell>
          <cell r="G5205" t="str">
            <v>LABEL</v>
          </cell>
          <cell r="H5205" t="str">
            <v>LAB2088</v>
          </cell>
        </row>
        <row r="5206">
          <cell r="F5206" t="str">
            <v>DA96-01591K(QR)</v>
          </cell>
          <cell r="G5206" t="str">
            <v>LABEL</v>
          </cell>
          <cell r="H5206" t="str">
            <v>LAB2087</v>
          </cell>
        </row>
        <row r="5207">
          <cell r="F5207" t="str">
            <v>DA96-01591J(QR)</v>
          </cell>
          <cell r="G5207" t="str">
            <v>LABEL</v>
          </cell>
          <cell r="H5207" t="str">
            <v>LAB2086</v>
          </cell>
        </row>
        <row r="5208">
          <cell r="F5208" t="str">
            <v>DA96-01591H(QR)</v>
          </cell>
          <cell r="G5208" t="str">
            <v>LABEL</v>
          </cell>
          <cell r="H5208" t="str">
            <v>LAB2085</v>
          </cell>
        </row>
        <row r="5209">
          <cell r="F5209" t="str">
            <v>DA96-01591G(QR)</v>
          </cell>
          <cell r="G5209" t="str">
            <v>LABEL</v>
          </cell>
          <cell r="H5209" t="str">
            <v>LAB2084</v>
          </cell>
        </row>
        <row r="5210">
          <cell r="F5210" t="str">
            <v>DA96-01591F(QR)</v>
          </cell>
          <cell r="G5210" t="str">
            <v>LABEL</v>
          </cell>
          <cell r="H5210" t="str">
            <v>LAB2083</v>
          </cell>
        </row>
        <row r="5211">
          <cell r="F5211" t="str">
            <v>DA96-01591E(QR)</v>
          </cell>
          <cell r="G5211" t="str">
            <v>LABEL</v>
          </cell>
          <cell r="H5211" t="str">
            <v>LAB2082</v>
          </cell>
        </row>
        <row r="5212">
          <cell r="F5212" t="str">
            <v>DA96-01591D(QR)</v>
          </cell>
          <cell r="G5212" t="str">
            <v>LABEL</v>
          </cell>
          <cell r="H5212" t="str">
            <v>LAB2081</v>
          </cell>
        </row>
        <row r="5213">
          <cell r="F5213" t="str">
            <v>DA96-01591C(QR)</v>
          </cell>
          <cell r="G5213" t="str">
            <v>LABEL</v>
          </cell>
          <cell r="H5213" t="str">
            <v>LAB2080</v>
          </cell>
        </row>
        <row r="5214">
          <cell r="F5214" t="str">
            <v>DA96-01591B(QR)</v>
          </cell>
          <cell r="G5214" t="str">
            <v>LABEL</v>
          </cell>
          <cell r="H5214" t="str">
            <v>LAB2079</v>
          </cell>
        </row>
        <row r="5215">
          <cell r="F5215" t="str">
            <v>DA96-01591A(QR)</v>
          </cell>
          <cell r="G5215" t="str">
            <v>LABEL</v>
          </cell>
          <cell r="H5215" t="str">
            <v>LAB2078</v>
          </cell>
        </row>
        <row r="5216">
          <cell r="F5216" t="str">
            <v>DA96-01573A</v>
          </cell>
          <cell r="G5216" t="str">
            <v>LABEL</v>
          </cell>
          <cell r="H5216" t="str">
            <v>LAB2077</v>
          </cell>
        </row>
        <row r="5217">
          <cell r="F5217" t="str">
            <v>DA96-01573C</v>
          </cell>
          <cell r="G5217" t="str">
            <v>LABEL</v>
          </cell>
          <cell r="H5217" t="str">
            <v>LAB2076</v>
          </cell>
        </row>
        <row r="5218">
          <cell r="F5218" t="str">
            <v>DA96-01573B</v>
          </cell>
          <cell r="G5218" t="str">
            <v>LABEL</v>
          </cell>
          <cell r="H5218" t="str">
            <v>LAB2075</v>
          </cell>
        </row>
        <row r="5219">
          <cell r="F5219" t="str">
            <v>DA96-01573D</v>
          </cell>
          <cell r="G5219" t="str">
            <v>LABEL</v>
          </cell>
          <cell r="H5219" t="str">
            <v>LAB2074</v>
          </cell>
        </row>
        <row r="5220">
          <cell r="F5220" t="str">
            <v>DA96-01462L</v>
          </cell>
          <cell r="G5220" t="str">
            <v>LABEL</v>
          </cell>
          <cell r="H5220" t="str">
            <v>LAB2073</v>
          </cell>
        </row>
        <row r="5221">
          <cell r="F5221" t="str">
            <v>DA96-01462K</v>
          </cell>
          <cell r="G5221" t="str">
            <v>LABEL</v>
          </cell>
          <cell r="H5221" t="str">
            <v>LAB2072</v>
          </cell>
        </row>
        <row r="5222">
          <cell r="F5222" t="str">
            <v>DA96-01462J</v>
          </cell>
          <cell r="G5222" t="str">
            <v>LABEL</v>
          </cell>
          <cell r="H5222" t="str">
            <v>LAB2071</v>
          </cell>
        </row>
        <row r="5223">
          <cell r="F5223" t="str">
            <v>DA96-01462H</v>
          </cell>
          <cell r="G5223" t="str">
            <v>LABEL</v>
          </cell>
          <cell r="H5223" t="str">
            <v>LAB2070</v>
          </cell>
        </row>
        <row r="5224">
          <cell r="F5224" t="str">
            <v>DA96-01417J</v>
          </cell>
          <cell r="G5224" t="str">
            <v>LABEL</v>
          </cell>
          <cell r="H5224" t="str">
            <v>LAB2069</v>
          </cell>
        </row>
        <row r="5225">
          <cell r="F5225" t="str">
            <v>18X18 ART(QR)-UK</v>
          </cell>
          <cell r="G5225" t="str">
            <v>LABEL</v>
          </cell>
          <cell r="H5225" t="str">
            <v>LAB2068</v>
          </cell>
        </row>
        <row r="5226">
          <cell r="F5226" t="str">
            <v>DA96-01491B(QR)</v>
          </cell>
          <cell r="G5226" t="str">
            <v>LABEL</v>
          </cell>
          <cell r="H5226" t="str">
            <v>LAB2067</v>
          </cell>
        </row>
        <row r="5227">
          <cell r="F5227" t="str">
            <v>DA96-01491B</v>
          </cell>
          <cell r="G5227" t="str">
            <v>LABEL</v>
          </cell>
          <cell r="H5227" t="str">
            <v>LAB2066</v>
          </cell>
        </row>
        <row r="5228">
          <cell r="F5228" t="str">
            <v>DA96-01514R(QR)</v>
          </cell>
          <cell r="G5228" t="str">
            <v>LABEL</v>
          </cell>
          <cell r="H5228" t="str">
            <v>LAB2065</v>
          </cell>
        </row>
        <row r="5229">
          <cell r="F5229" t="str">
            <v>DA96-01514R</v>
          </cell>
          <cell r="G5229" t="str">
            <v>LABEL</v>
          </cell>
          <cell r="H5229" t="str">
            <v>LAB2064</v>
          </cell>
        </row>
        <row r="5230">
          <cell r="F5230" t="str">
            <v>DA96-01388D</v>
          </cell>
          <cell r="G5230" t="str">
            <v>LABEL</v>
          </cell>
          <cell r="H5230" t="str">
            <v>LAB2063</v>
          </cell>
        </row>
        <row r="5231">
          <cell r="F5231" t="str">
            <v>DA96-01550D</v>
          </cell>
          <cell r="G5231" t="str">
            <v>LABEL</v>
          </cell>
          <cell r="H5231" t="str">
            <v>LAB2062</v>
          </cell>
        </row>
        <row r="5232">
          <cell r="F5232" t="str">
            <v>DA96-01550C</v>
          </cell>
          <cell r="G5232" t="str">
            <v>LABEL</v>
          </cell>
          <cell r="H5232" t="str">
            <v>LAB2061</v>
          </cell>
        </row>
        <row r="5233">
          <cell r="F5233" t="str">
            <v>DA96-01550B</v>
          </cell>
          <cell r="G5233" t="str">
            <v>LABEL</v>
          </cell>
          <cell r="H5233" t="str">
            <v>LAB2060</v>
          </cell>
        </row>
        <row r="5234">
          <cell r="F5234" t="str">
            <v>DA96-01550A</v>
          </cell>
          <cell r="G5234" t="str">
            <v>LABEL</v>
          </cell>
          <cell r="H5234" t="str">
            <v>LAB2059</v>
          </cell>
        </row>
        <row r="5235">
          <cell r="F5235" t="str">
            <v>DA96-01558B(QR)</v>
          </cell>
          <cell r="G5235" t="str">
            <v>LABEL</v>
          </cell>
          <cell r="H5235" t="str">
            <v>LAB2058</v>
          </cell>
        </row>
        <row r="5236">
          <cell r="F5236" t="str">
            <v>DA96-01558A(QR)</v>
          </cell>
          <cell r="G5236" t="str">
            <v>LABEL</v>
          </cell>
          <cell r="H5236" t="str">
            <v>LAB2057</v>
          </cell>
        </row>
        <row r="5237">
          <cell r="F5237" t="str">
            <v>DA96-01554B</v>
          </cell>
          <cell r="G5237" t="str">
            <v>LABEL</v>
          </cell>
          <cell r="H5237" t="str">
            <v>LAB2056</v>
          </cell>
        </row>
        <row r="5238">
          <cell r="F5238" t="str">
            <v>DA96-01554B(QR)</v>
          </cell>
          <cell r="G5238" t="str">
            <v>LABEL</v>
          </cell>
          <cell r="H5238" t="str">
            <v>LAB2055</v>
          </cell>
        </row>
        <row r="5239">
          <cell r="F5239" t="str">
            <v>DA96-01554A(QR)</v>
          </cell>
          <cell r="G5239" t="str">
            <v>LABEL</v>
          </cell>
          <cell r="H5239" t="str">
            <v>LAB2054</v>
          </cell>
        </row>
        <row r="5240">
          <cell r="F5240" t="str">
            <v>DA96-01554A</v>
          </cell>
          <cell r="G5240" t="str">
            <v>LABEL</v>
          </cell>
          <cell r="H5240" t="str">
            <v>LAB2053</v>
          </cell>
        </row>
        <row r="5241">
          <cell r="F5241" t="str">
            <v>DA96-01462G</v>
          </cell>
          <cell r="G5241" t="str">
            <v>LABEL</v>
          </cell>
          <cell r="H5241" t="str">
            <v>LAB2052</v>
          </cell>
        </row>
        <row r="5242">
          <cell r="F5242" t="str">
            <v>DA96-01557C</v>
          </cell>
          <cell r="G5242" t="str">
            <v>LABEL</v>
          </cell>
          <cell r="H5242" t="str">
            <v>LAB2051</v>
          </cell>
        </row>
        <row r="5243">
          <cell r="F5243" t="str">
            <v>DA96-01557B</v>
          </cell>
          <cell r="G5243" t="str">
            <v>LABEL</v>
          </cell>
          <cell r="H5243" t="str">
            <v>LAB2050</v>
          </cell>
        </row>
        <row r="5244">
          <cell r="F5244" t="str">
            <v>DA96-01557A</v>
          </cell>
          <cell r="G5244" t="str">
            <v>LABEL</v>
          </cell>
          <cell r="H5244" t="str">
            <v>LAB2049</v>
          </cell>
        </row>
        <row r="5245">
          <cell r="F5245" t="str">
            <v>DA96-01489M</v>
          </cell>
          <cell r="G5245" t="str">
            <v>LABEL</v>
          </cell>
          <cell r="H5245" t="str">
            <v>LAB2048</v>
          </cell>
        </row>
        <row r="5246">
          <cell r="F5246" t="str">
            <v>DA96-01489L</v>
          </cell>
          <cell r="G5246" t="str">
            <v>LABEL</v>
          </cell>
          <cell r="H5246" t="str">
            <v>LAB2047</v>
          </cell>
        </row>
        <row r="5247">
          <cell r="F5247" t="str">
            <v>DA96-01487J</v>
          </cell>
          <cell r="G5247" t="str">
            <v>LABEL</v>
          </cell>
          <cell r="H5247" t="str">
            <v>LAB2046</v>
          </cell>
        </row>
        <row r="5248">
          <cell r="F5248" t="str">
            <v>DA96-01487H</v>
          </cell>
          <cell r="G5248" t="str">
            <v>LABEL</v>
          </cell>
          <cell r="H5248" t="str">
            <v>LAB2045</v>
          </cell>
        </row>
        <row r="5249">
          <cell r="F5249" t="str">
            <v>DA96-01559B</v>
          </cell>
          <cell r="G5249" t="str">
            <v>LABEL</v>
          </cell>
          <cell r="H5249" t="str">
            <v>LAB2044</v>
          </cell>
        </row>
        <row r="5250">
          <cell r="F5250" t="str">
            <v>DA96-01559A</v>
          </cell>
          <cell r="G5250" t="str">
            <v>LABEL</v>
          </cell>
          <cell r="H5250" t="str">
            <v>LAB2043</v>
          </cell>
        </row>
        <row r="5251">
          <cell r="F5251" t="str">
            <v>DA96-01556B</v>
          </cell>
          <cell r="G5251" t="str">
            <v>LABEL</v>
          </cell>
          <cell r="H5251" t="str">
            <v>LAB2042</v>
          </cell>
        </row>
        <row r="5252">
          <cell r="F5252" t="str">
            <v>DA96-01556A</v>
          </cell>
          <cell r="G5252" t="str">
            <v>LABEL</v>
          </cell>
          <cell r="H5252" t="str">
            <v>LAB2041</v>
          </cell>
        </row>
        <row r="5253">
          <cell r="F5253" t="str">
            <v>DA96-01555B</v>
          </cell>
          <cell r="G5253" t="str">
            <v>LABEL</v>
          </cell>
          <cell r="H5253" t="str">
            <v>LAB2040</v>
          </cell>
        </row>
        <row r="5254">
          <cell r="F5254" t="str">
            <v>DA96-01555A</v>
          </cell>
          <cell r="G5254" t="str">
            <v>LABEL</v>
          </cell>
          <cell r="H5254" t="str">
            <v>LAB2039</v>
          </cell>
        </row>
        <row r="5255">
          <cell r="F5255" t="str">
            <v>58*15 COM2(F3,F4)</v>
          </cell>
          <cell r="G5255" t="str">
            <v>LABEL</v>
          </cell>
          <cell r="H5255" t="str">
            <v>LAB2038</v>
          </cell>
        </row>
        <row r="5256">
          <cell r="F5256" t="str">
            <v>DC93-00983U(QR)</v>
          </cell>
          <cell r="G5256" t="str">
            <v>LABEL</v>
          </cell>
          <cell r="H5256" t="str">
            <v>LAB2037</v>
          </cell>
        </row>
        <row r="5257">
          <cell r="F5257" t="str">
            <v>DC93-00983T(QR)</v>
          </cell>
          <cell r="G5257" t="str">
            <v>LABEL</v>
          </cell>
          <cell r="H5257" t="str">
            <v>LAB2036</v>
          </cell>
        </row>
        <row r="5258">
          <cell r="F5258" t="str">
            <v>DC93-00983S(QR)</v>
          </cell>
          <cell r="G5258" t="str">
            <v>LABEL</v>
          </cell>
          <cell r="H5258" t="str">
            <v>LAB2035</v>
          </cell>
        </row>
        <row r="5259">
          <cell r="F5259" t="str">
            <v>DC93-00983R(QR)</v>
          </cell>
          <cell r="G5259" t="str">
            <v>LABEL</v>
          </cell>
          <cell r="H5259" t="str">
            <v>LAB2034</v>
          </cell>
        </row>
        <row r="5260">
          <cell r="F5260" t="str">
            <v>DC93-00983Q(QR)</v>
          </cell>
          <cell r="G5260" t="str">
            <v>LABEL</v>
          </cell>
          <cell r="H5260" t="str">
            <v>LAB2033</v>
          </cell>
        </row>
        <row r="5261">
          <cell r="F5261" t="str">
            <v>DC93-00983P(QR)</v>
          </cell>
          <cell r="G5261" t="str">
            <v>LABEL</v>
          </cell>
          <cell r="H5261" t="str">
            <v>LAB2032</v>
          </cell>
        </row>
        <row r="5262">
          <cell r="F5262" t="str">
            <v>DC93-00983N(QR)</v>
          </cell>
          <cell r="G5262" t="str">
            <v>LABEL</v>
          </cell>
          <cell r="H5262" t="str">
            <v>LAB2031</v>
          </cell>
        </row>
        <row r="5263">
          <cell r="F5263" t="str">
            <v>DC93-00983M(QR)</v>
          </cell>
          <cell r="G5263" t="str">
            <v>LABEL</v>
          </cell>
          <cell r="H5263" t="str">
            <v>LAB2030</v>
          </cell>
        </row>
        <row r="5264">
          <cell r="F5264" t="str">
            <v>DC93-00983L(QR)</v>
          </cell>
          <cell r="G5264" t="str">
            <v>LABEL</v>
          </cell>
          <cell r="H5264" t="str">
            <v>LAB2029</v>
          </cell>
        </row>
        <row r="5265">
          <cell r="F5265" t="str">
            <v>DC93-00983K(QR)</v>
          </cell>
          <cell r="G5265" t="str">
            <v>LABEL</v>
          </cell>
          <cell r="H5265" t="str">
            <v>LAB2028</v>
          </cell>
        </row>
        <row r="5266">
          <cell r="F5266" t="str">
            <v>DC93-00983J(QR)</v>
          </cell>
          <cell r="G5266" t="str">
            <v>LABEL</v>
          </cell>
          <cell r="H5266" t="str">
            <v>LAB2027</v>
          </cell>
        </row>
        <row r="5267">
          <cell r="F5267" t="str">
            <v>DC93-00983H(QR)</v>
          </cell>
          <cell r="G5267" t="str">
            <v>LABEL</v>
          </cell>
          <cell r="H5267" t="str">
            <v>LAB2026</v>
          </cell>
        </row>
        <row r="5268">
          <cell r="F5268" t="str">
            <v>DC93-00983G(QR)</v>
          </cell>
          <cell r="G5268" t="str">
            <v>LABEL</v>
          </cell>
          <cell r="H5268" t="str">
            <v>LAB2025</v>
          </cell>
        </row>
        <row r="5269">
          <cell r="F5269" t="str">
            <v>DC93-00983F(QR)</v>
          </cell>
          <cell r="G5269" t="str">
            <v>LABEL</v>
          </cell>
          <cell r="H5269" t="str">
            <v>LAB2024</v>
          </cell>
        </row>
        <row r="5270">
          <cell r="F5270" t="str">
            <v>DC93-00983E(QR)</v>
          </cell>
          <cell r="G5270" t="str">
            <v>LABEL</v>
          </cell>
          <cell r="H5270" t="str">
            <v>LAB2023</v>
          </cell>
        </row>
        <row r="5271">
          <cell r="F5271" t="str">
            <v>DC93-00983D(QR)</v>
          </cell>
          <cell r="G5271" t="str">
            <v>LABEL</v>
          </cell>
          <cell r="H5271" t="str">
            <v>LAB2022</v>
          </cell>
        </row>
        <row r="5272">
          <cell r="F5272" t="str">
            <v>DC93-00983C(QR)</v>
          </cell>
          <cell r="G5272" t="str">
            <v>LABEL</v>
          </cell>
          <cell r="H5272" t="str">
            <v>LAB2021</v>
          </cell>
        </row>
        <row r="5273">
          <cell r="F5273" t="str">
            <v>DC93-00983B(QR)</v>
          </cell>
          <cell r="G5273" t="str">
            <v>LABEL</v>
          </cell>
          <cell r="H5273" t="str">
            <v>LAB2020</v>
          </cell>
        </row>
        <row r="5274">
          <cell r="F5274" t="str">
            <v>DC93-00983A(QR)</v>
          </cell>
          <cell r="G5274" t="str">
            <v>LABEL</v>
          </cell>
          <cell r="H5274" t="str">
            <v>LAB2019</v>
          </cell>
        </row>
        <row r="5275">
          <cell r="F5275" t="str">
            <v>DA96-01489K</v>
          </cell>
          <cell r="G5275" t="str">
            <v>LABEL</v>
          </cell>
          <cell r="H5275" t="str">
            <v>LAB2018</v>
          </cell>
        </row>
        <row r="5276">
          <cell r="F5276" t="str">
            <v>DA96-01462F</v>
          </cell>
          <cell r="G5276" t="str">
            <v>LABEL</v>
          </cell>
          <cell r="H5276" t="str">
            <v>LAB2017</v>
          </cell>
        </row>
        <row r="5277">
          <cell r="F5277" t="str">
            <v>DA96-01514Q(QR)</v>
          </cell>
          <cell r="G5277" t="str">
            <v>LABEL</v>
          </cell>
          <cell r="H5277" t="str">
            <v>LAB2016</v>
          </cell>
        </row>
        <row r="5278">
          <cell r="F5278" t="str">
            <v>DA96-01514Q</v>
          </cell>
          <cell r="G5278" t="str">
            <v>LABEL</v>
          </cell>
          <cell r="H5278" t="str">
            <v>LAB2015</v>
          </cell>
        </row>
        <row r="5279">
          <cell r="F5279" t="str">
            <v>DA96-01498E(QR)</v>
          </cell>
          <cell r="G5279" t="str">
            <v>LABEL</v>
          </cell>
          <cell r="H5279" t="str">
            <v>LAB2014</v>
          </cell>
        </row>
        <row r="5280">
          <cell r="F5280" t="str">
            <v>DA96-01460R(QR)</v>
          </cell>
          <cell r="G5280" t="str">
            <v>LABEL</v>
          </cell>
          <cell r="H5280" t="str">
            <v>LAB2013</v>
          </cell>
        </row>
        <row r="5281">
          <cell r="F5281" t="str">
            <v>DA96-01527M</v>
          </cell>
          <cell r="G5281" t="str">
            <v>LABEL</v>
          </cell>
          <cell r="H5281" t="str">
            <v>LAB2012</v>
          </cell>
        </row>
        <row r="5282">
          <cell r="F5282" t="str">
            <v>DA96-01527L</v>
          </cell>
          <cell r="G5282" t="str">
            <v>LABEL</v>
          </cell>
          <cell r="H5282" t="str">
            <v>LAB2011</v>
          </cell>
        </row>
        <row r="5283">
          <cell r="F5283" t="str">
            <v>DA96-01527K</v>
          </cell>
          <cell r="G5283" t="str">
            <v>LABEL</v>
          </cell>
          <cell r="H5283" t="str">
            <v>LAB2010</v>
          </cell>
        </row>
        <row r="5284">
          <cell r="F5284" t="str">
            <v>DA96-01527J</v>
          </cell>
          <cell r="G5284" t="str">
            <v>LABEL</v>
          </cell>
          <cell r="H5284" t="str">
            <v>LAB2009</v>
          </cell>
        </row>
        <row r="5285">
          <cell r="F5285" t="str">
            <v>DA96-01527H</v>
          </cell>
          <cell r="G5285" t="str">
            <v>LABEL</v>
          </cell>
          <cell r="H5285" t="str">
            <v>LAB2008</v>
          </cell>
        </row>
        <row r="5286">
          <cell r="F5286" t="str">
            <v>DA96-01527G</v>
          </cell>
          <cell r="G5286" t="str">
            <v>LABEL</v>
          </cell>
          <cell r="H5286" t="str">
            <v>LAB2007</v>
          </cell>
        </row>
        <row r="5287">
          <cell r="F5287" t="str">
            <v>DA96-01527F</v>
          </cell>
          <cell r="G5287" t="str">
            <v>LABEL</v>
          </cell>
          <cell r="H5287" t="str">
            <v>LAB2006</v>
          </cell>
        </row>
        <row r="5288">
          <cell r="F5288" t="str">
            <v>DA96-01527E</v>
          </cell>
          <cell r="G5288" t="str">
            <v>LABEL</v>
          </cell>
          <cell r="H5288" t="str">
            <v>LAB2005</v>
          </cell>
        </row>
        <row r="5289">
          <cell r="F5289" t="str">
            <v>DA96-01527D</v>
          </cell>
          <cell r="G5289" t="str">
            <v>LABEL</v>
          </cell>
          <cell r="H5289" t="str">
            <v>LAB2004</v>
          </cell>
        </row>
        <row r="5290">
          <cell r="F5290" t="str">
            <v>DA96-01527C</v>
          </cell>
          <cell r="G5290" t="str">
            <v>LABEL</v>
          </cell>
          <cell r="H5290" t="str">
            <v>LAB2003</v>
          </cell>
        </row>
        <row r="5291">
          <cell r="F5291" t="str">
            <v>DA96-01527B</v>
          </cell>
          <cell r="G5291" t="str">
            <v>LABEL</v>
          </cell>
          <cell r="H5291" t="str">
            <v>LAB2002</v>
          </cell>
        </row>
        <row r="5292">
          <cell r="F5292" t="str">
            <v>DA96-01527A</v>
          </cell>
          <cell r="G5292" t="str">
            <v>LABEL</v>
          </cell>
          <cell r="H5292" t="str">
            <v>LAB2001</v>
          </cell>
        </row>
        <row r="5293">
          <cell r="F5293" t="str">
            <v>DA96-01526M</v>
          </cell>
          <cell r="G5293" t="str">
            <v>LABEL</v>
          </cell>
          <cell r="H5293" t="str">
            <v>LAB2000</v>
          </cell>
        </row>
        <row r="5294">
          <cell r="F5294" t="str">
            <v>DA96-01526L</v>
          </cell>
          <cell r="G5294" t="str">
            <v>LABEL</v>
          </cell>
          <cell r="H5294" t="str">
            <v>LAB1999</v>
          </cell>
        </row>
        <row r="5295">
          <cell r="F5295" t="str">
            <v>DA96-01526K</v>
          </cell>
          <cell r="G5295" t="str">
            <v>LABEL</v>
          </cell>
          <cell r="H5295" t="str">
            <v>LAB1998</v>
          </cell>
        </row>
        <row r="5296">
          <cell r="F5296" t="str">
            <v>DA96-01526J</v>
          </cell>
          <cell r="G5296" t="str">
            <v>LABEL</v>
          </cell>
          <cell r="H5296" t="str">
            <v>LAB1997</v>
          </cell>
        </row>
        <row r="5297">
          <cell r="F5297" t="str">
            <v>DA96-01526H</v>
          </cell>
          <cell r="G5297" t="str">
            <v>LABEL</v>
          </cell>
          <cell r="H5297" t="str">
            <v>LAB1996</v>
          </cell>
        </row>
        <row r="5298">
          <cell r="F5298" t="str">
            <v>DA96-01526G</v>
          </cell>
          <cell r="G5298" t="str">
            <v>LABEL</v>
          </cell>
          <cell r="H5298" t="str">
            <v>LAB1995</v>
          </cell>
        </row>
        <row r="5299">
          <cell r="F5299" t="str">
            <v>DA96-01526F</v>
          </cell>
          <cell r="G5299" t="str">
            <v>LABEL</v>
          </cell>
          <cell r="H5299" t="str">
            <v>LAB1994</v>
          </cell>
        </row>
        <row r="5300">
          <cell r="F5300" t="str">
            <v>DA96-01526E</v>
          </cell>
          <cell r="G5300" t="str">
            <v>LABEL</v>
          </cell>
          <cell r="H5300" t="str">
            <v>LAB1993</v>
          </cell>
        </row>
        <row r="5301">
          <cell r="F5301" t="str">
            <v>DA96-01526D</v>
          </cell>
          <cell r="G5301" t="str">
            <v>LABEL</v>
          </cell>
          <cell r="H5301" t="str">
            <v>LAB1992</v>
          </cell>
        </row>
        <row r="5302">
          <cell r="F5302" t="str">
            <v>DA96-01526C</v>
          </cell>
          <cell r="G5302" t="str">
            <v>LABEL</v>
          </cell>
          <cell r="H5302" t="str">
            <v>LAB1991</v>
          </cell>
        </row>
        <row r="5303">
          <cell r="F5303" t="str">
            <v>DA96-01526B</v>
          </cell>
          <cell r="G5303" t="str">
            <v>LABEL</v>
          </cell>
          <cell r="H5303" t="str">
            <v>LAB1990</v>
          </cell>
        </row>
        <row r="5304">
          <cell r="F5304" t="str">
            <v>DA96-01526A</v>
          </cell>
          <cell r="G5304" t="str">
            <v>LABEL</v>
          </cell>
          <cell r="H5304" t="str">
            <v>LAB1989</v>
          </cell>
        </row>
        <row r="5305">
          <cell r="F5305" t="str">
            <v>DA96-01532B</v>
          </cell>
          <cell r="G5305" t="str">
            <v>LABEL</v>
          </cell>
          <cell r="H5305" t="str">
            <v>LAB1988</v>
          </cell>
        </row>
        <row r="5306">
          <cell r="F5306" t="str">
            <v>DA96-01532A</v>
          </cell>
          <cell r="G5306" t="str">
            <v>LABEL</v>
          </cell>
          <cell r="H5306" t="str">
            <v>LAB1987</v>
          </cell>
        </row>
        <row r="5307">
          <cell r="F5307" t="str">
            <v>RT6300B_D</v>
          </cell>
          <cell r="G5307" t="str">
            <v>LABEL</v>
          </cell>
          <cell r="H5307" t="str">
            <v>LAB1986</v>
          </cell>
        </row>
        <row r="5308">
          <cell r="F5308" t="str">
            <v>RT6300B_C</v>
          </cell>
          <cell r="G5308" t="str">
            <v>LABEL</v>
          </cell>
          <cell r="H5308" t="str">
            <v>LAB1985</v>
          </cell>
        </row>
        <row r="5309">
          <cell r="F5309" t="str">
            <v>RT6300B_B</v>
          </cell>
          <cell r="G5309" t="str">
            <v>LABEL</v>
          </cell>
          <cell r="H5309" t="str">
            <v>LAB1984</v>
          </cell>
        </row>
        <row r="5310">
          <cell r="F5310" t="str">
            <v>RT6300B_A</v>
          </cell>
          <cell r="G5310" t="str">
            <v>LABEL</v>
          </cell>
          <cell r="H5310" t="str">
            <v>LAB1983</v>
          </cell>
        </row>
        <row r="5311">
          <cell r="F5311" t="str">
            <v>DA96-01531F</v>
          </cell>
          <cell r="G5311" t="str">
            <v>LABEL</v>
          </cell>
          <cell r="H5311" t="str">
            <v>LAB1982</v>
          </cell>
        </row>
        <row r="5312">
          <cell r="F5312" t="str">
            <v>DA96-01531E</v>
          </cell>
          <cell r="G5312" t="str">
            <v>LABEL</v>
          </cell>
          <cell r="H5312" t="str">
            <v>LAB1981</v>
          </cell>
        </row>
        <row r="5313">
          <cell r="F5313" t="str">
            <v>DA96-01531D</v>
          </cell>
          <cell r="G5313" t="str">
            <v>LABEL</v>
          </cell>
          <cell r="H5313" t="str">
            <v>LAB1980</v>
          </cell>
        </row>
        <row r="5314">
          <cell r="F5314" t="str">
            <v>DA96-01531C</v>
          </cell>
          <cell r="G5314" t="str">
            <v>LABEL</v>
          </cell>
          <cell r="H5314" t="str">
            <v>LAB1979</v>
          </cell>
        </row>
        <row r="5315">
          <cell r="F5315" t="str">
            <v>DA96-01531B</v>
          </cell>
          <cell r="G5315" t="str">
            <v>LABEL</v>
          </cell>
          <cell r="H5315" t="str">
            <v>LAB1978</v>
          </cell>
        </row>
        <row r="5316">
          <cell r="F5316" t="str">
            <v>DA96-01531A</v>
          </cell>
          <cell r="G5316" t="str">
            <v>LABEL</v>
          </cell>
          <cell r="H5316" t="str">
            <v>LAB1977</v>
          </cell>
        </row>
        <row r="5317">
          <cell r="F5317" t="str">
            <v>DA96-01463H</v>
          </cell>
          <cell r="G5317" t="str">
            <v>LABEL</v>
          </cell>
          <cell r="H5317" t="str">
            <v>LAB1976</v>
          </cell>
        </row>
        <row r="5318">
          <cell r="F5318" t="str">
            <v>DA96-01463G</v>
          </cell>
          <cell r="G5318" t="str">
            <v>LABEL</v>
          </cell>
          <cell r="H5318" t="str">
            <v>LAB1975</v>
          </cell>
        </row>
        <row r="5319">
          <cell r="F5319" t="str">
            <v>DA96-01463F</v>
          </cell>
          <cell r="G5319" t="str">
            <v>LABEL</v>
          </cell>
          <cell r="H5319" t="str">
            <v>LAB1974</v>
          </cell>
        </row>
        <row r="5320">
          <cell r="F5320" t="str">
            <v>DA96-01463E</v>
          </cell>
          <cell r="G5320" t="str">
            <v>LABEL</v>
          </cell>
          <cell r="H5320" t="str">
            <v>LAB1973</v>
          </cell>
        </row>
        <row r="5321">
          <cell r="F5321" t="str">
            <v>DA96-01463D</v>
          </cell>
          <cell r="G5321" t="str">
            <v>LABEL</v>
          </cell>
          <cell r="H5321" t="str">
            <v>LAB1972</v>
          </cell>
        </row>
        <row r="5322">
          <cell r="F5322" t="str">
            <v>DA96-01463C</v>
          </cell>
          <cell r="G5322" t="str">
            <v>LABEL</v>
          </cell>
          <cell r="H5322" t="str">
            <v>LAB1971</v>
          </cell>
        </row>
        <row r="5323">
          <cell r="F5323" t="str">
            <v>DA96-01463B</v>
          </cell>
          <cell r="G5323" t="str">
            <v>LABEL</v>
          </cell>
          <cell r="H5323" t="str">
            <v>LAB1970</v>
          </cell>
        </row>
        <row r="5324">
          <cell r="F5324" t="str">
            <v>DA96-01463A</v>
          </cell>
          <cell r="G5324" t="str">
            <v>LABEL</v>
          </cell>
          <cell r="H5324" t="str">
            <v>LAB1969</v>
          </cell>
        </row>
        <row r="5325">
          <cell r="F5325" t="str">
            <v>DA96-01498E</v>
          </cell>
          <cell r="G5325" t="str">
            <v>LABEL</v>
          </cell>
          <cell r="H5325" t="str">
            <v>LAB1967</v>
          </cell>
        </row>
        <row r="5326">
          <cell r="F5326" t="str">
            <v>18X18 ART(QR)-Turkey</v>
          </cell>
          <cell r="G5326" t="str">
            <v>LABEL</v>
          </cell>
          <cell r="H5326" t="str">
            <v>LAB1928</v>
          </cell>
        </row>
        <row r="5327">
          <cell r="F5327" t="str">
            <v>DA96-01530A</v>
          </cell>
          <cell r="G5327" t="str">
            <v>LABEL</v>
          </cell>
          <cell r="H5327" t="str">
            <v>LAB1927</v>
          </cell>
        </row>
        <row r="5328">
          <cell r="F5328" t="str">
            <v>DA96-01498F(QR)</v>
          </cell>
          <cell r="G5328" t="str">
            <v>LABEL</v>
          </cell>
          <cell r="H5328" t="str">
            <v>LAB1926</v>
          </cell>
        </row>
        <row r="5329">
          <cell r="F5329" t="str">
            <v>DA96-01498F</v>
          </cell>
          <cell r="G5329" t="str">
            <v>LABEL</v>
          </cell>
          <cell r="H5329" t="str">
            <v>LAB1925</v>
          </cell>
        </row>
        <row r="5330">
          <cell r="F5330" t="str">
            <v>DA96-01467K(QR)</v>
          </cell>
          <cell r="G5330" t="str">
            <v>LABEL</v>
          </cell>
          <cell r="H5330" t="str">
            <v>LAB1924</v>
          </cell>
        </row>
        <row r="5331">
          <cell r="F5331" t="str">
            <v>DA96-01467K</v>
          </cell>
          <cell r="G5331" t="str">
            <v>LABEL</v>
          </cell>
          <cell r="H5331" t="str">
            <v>LAB1923</v>
          </cell>
        </row>
        <row r="5332">
          <cell r="F5332" t="str">
            <v>DA96-01467J(QR)</v>
          </cell>
          <cell r="G5332" t="str">
            <v>LABEL</v>
          </cell>
          <cell r="H5332" t="str">
            <v>LAB1922</v>
          </cell>
        </row>
        <row r="5333">
          <cell r="F5333" t="str">
            <v>DA96-01467J</v>
          </cell>
          <cell r="G5333" t="str">
            <v>LABEL</v>
          </cell>
          <cell r="H5333" t="str">
            <v>LAB1921</v>
          </cell>
        </row>
        <row r="5334">
          <cell r="F5334" t="str">
            <v>DA96-01498G(QR)</v>
          </cell>
          <cell r="G5334" t="str">
            <v>LABEL</v>
          </cell>
          <cell r="H5334" t="str">
            <v>LAB1920</v>
          </cell>
        </row>
        <row r="5335">
          <cell r="F5335" t="str">
            <v>DA96-01498G</v>
          </cell>
          <cell r="G5335" t="str">
            <v>LABEL</v>
          </cell>
          <cell r="H5335" t="str">
            <v>LAB1919</v>
          </cell>
        </row>
        <row r="5336">
          <cell r="F5336" t="str">
            <v>CE Bending Label(80M,Hanwha,25x90)</v>
          </cell>
          <cell r="G5336" t="str">
            <v>LABEL</v>
          </cell>
          <cell r="H5336" t="str">
            <v>LAB1918</v>
          </cell>
        </row>
        <row r="5337">
          <cell r="F5337" t="str">
            <v>DA96-01415L</v>
          </cell>
          <cell r="G5337" t="str">
            <v>LABEL</v>
          </cell>
          <cell r="H5337" t="str">
            <v>LAB1917</v>
          </cell>
        </row>
        <row r="5338">
          <cell r="F5338" t="str">
            <v>DA96-01498D(QR)</v>
          </cell>
          <cell r="G5338" t="str">
            <v>LABEL</v>
          </cell>
          <cell r="H5338" t="str">
            <v>LAB1916</v>
          </cell>
        </row>
        <row r="5339">
          <cell r="F5339" t="str">
            <v>DA96-01498D</v>
          </cell>
          <cell r="G5339" t="str">
            <v>LABEL</v>
          </cell>
          <cell r="H5339" t="str">
            <v>LAB1915</v>
          </cell>
        </row>
        <row r="5340">
          <cell r="F5340" t="str">
            <v>DA96-01498C(QR)</v>
          </cell>
          <cell r="G5340" t="str">
            <v>LABEL</v>
          </cell>
          <cell r="H5340" t="str">
            <v>LAB1914</v>
          </cell>
        </row>
        <row r="5341">
          <cell r="F5341" t="str">
            <v>DA96-01498C</v>
          </cell>
          <cell r="G5341" t="str">
            <v>LABEL</v>
          </cell>
          <cell r="H5341" t="str">
            <v>LAB1913</v>
          </cell>
        </row>
        <row r="5342">
          <cell r="F5342" t="str">
            <v>DA96-01498B(QR)</v>
          </cell>
          <cell r="G5342" t="str">
            <v>LABEL</v>
          </cell>
          <cell r="H5342" t="str">
            <v>LAB1912</v>
          </cell>
        </row>
        <row r="5343">
          <cell r="F5343" t="str">
            <v>DA96-01498B</v>
          </cell>
          <cell r="G5343" t="str">
            <v>LABEL</v>
          </cell>
          <cell r="H5343" t="str">
            <v>LAB1911</v>
          </cell>
        </row>
        <row r="5344">
          <cell r="F5344" t="str">
            <v>DC93-00861G(QR)</v>
          </cell>
          <cell r="G5344" t="str">
            <v>LABEL</v>
          </cell>
          <cell r="H5344" t="str">
            <v>LAB1910</v>
          </cell>
        </row>
        <row r="5345">
          <cell r="F5345" t="str">
            <v>DA96-01287B(QR)</v>
          </cell>
          <cell r="G5345" t="str">
            <v>LABEL</v>
          </cell>
          <cell r="H5345" t="str">
            <v>LAB1909</v>
          </cell>
        </row>
        <row r="5346">
          <cell r="F5346" t="str">
            <v>DC93-00945U(QR)</v>
          </cell>
          <cell r="G5346" t="str">
            <v>LABEL</v>
          </cell>
          <cell r="H5346" t="str">
            <v>LAB1908</v>
          </cell>
        </row>
        <row r="5347">
          <cell r="F5347" t="str">
            <v>DC93-00945T(QR)</v>
          </cell>
          <cell r="G5347" t="str">
            <v>LABEL</v>
          </cell>
          <cell r="H5347" t="str">
            <v>LAB1907</v>
          </cell>
        </row>
        <row r="5348">
          <cell r="F5348" t="str">
            <v>DC93-00945S(QR)</v>
          </cell>
          <cell r="G5348" t="str">
            <v>LABEL</v>
          </cell>
          <cell r="H5348" t="str">
            <v>LAB1906</v>
          </cell>
        </row>
        <row r="5349">
          <cell r="F5349" t="str">
            <v>DC93-00945R(QR)</v>
          </cell>
          <cell r="G5349" t="str">
            <v>LABEL</v>
          </cell>
          <cell r="H5349" t="str">
            <v>LAB1905</v>
          </cell>
        </row>
        <row r="5350">
          <cell r="F5350" t="str">
            <v>DC93-00945Q(QR)</v>
          </cell>
          <cell r="G5350" t="str">
            <v>LABEL</v>
          </cell>
          <cell r="H5350" t="str">
            <v>LAB1904</v>
          </cell>
        </row>
        <row r="5351">
          <cell r="F5351" t="str">
            <v>DC93-00945P(QR)</v>
          </cell>
          <cell r="G5351" t="str">
            <v>LABEL</v>
          </cell>
          <cell r="H5351" t="str">
            <v>LAB1903</v>
          </cell>
        </row>
        <row r="5352">
          <cell r="F5352" t="str">
            <v>DC93-00945N(QR)</v>
          </cell>
          <cell r="G5352" t="str">
            <v>LABEL</v>
          </cell>
          <cell r="H5352" t="str">
            <v>LAB1902</v>
          </cell>
        </row>
        <row r="5353">
          <cell r="F5353" t="str">
            <v>DC93-00945M(QR)</v>
          </cell>
          <cell r="G5353" t="str">
            <v>LABEL</v>
          </cell>
          <cell r="H5353" t="str">
            <v>LAB1901</v>
          </cell>
        </row>
        <row r="5354">
          <cell r="F5354" t="str">
            <v>DC93-00945L(QR)</v>
          </cell>
          <cell r="G5354" t="str">
            <v>LABEL</v>
          </cell>
          <cell r="H5354" t="str">
            <v>LAB1900</v>
          </cell>
        </row>
        <row r="5355">
          <cell r="F5355" t="str">
            <v>DC93-00945K(QR)</v>
          </cell>
          <cell r="G5355" t="str">
            <v>LABEL</v>
          </cell>
          <cell r="H5355" t="str">
            <v>LAB1899</v>
          </cell>
        </row>
        <row r="5356">
          <cell r="F5356" t="str">
            <v>DC93-00945J(QR)</v>
          </cell>
          <cell r="G5356" t="str">
            <v>LABEL</v>
          </cell>
          <cell r="H5356" t="str">
            <v>LAB1898</v>
          </cell>
        </row>
        <row r="5357">
          <cell r="F5357" t="str">
            <v>DC93-00945H(QR)</v>
          </cell>
          <cell r="G5357" t="str">
            <v>LABEL</v>
          </cell>
          <cell r="H5357" t="str">
            <v>LAB1897</v>
          </cell>
        </row>
        <row r="5358">
          <cell r="F5358" t="str">
            <v>DC93-00945G(QR)</v>
          </cell>
          <cell r="G5358" t="str">
            <v>LABEL</v>
          </cell>
          <cell r="H5358" t="str">
            <v>LAB1896</v>
          </cell>
        </row>
        <row r="5359">
          <cell r="F5359" t="str">
            <v>DC93-00945F(QR)</v>
          </cell>
          <cell r="G5359" t="str">
            <v>LABEL</v>
          </cell>
          <cell r="H5359" t="str">
            <v>LAB1895</v>
          </cell>
        </row>
        <row r="5360">
          <cell r="F5360" t="str">
            <v>DC93-00945E(QR)</v>
          </cell>
          <cell r="G5360" t="str">
            <v>LABEL</v>
          </cell>
          <cell r="H5360" t="str">
            <v>LAB1894</v>
          </cell>
        </row>
        <row r="5361">
          <cell r="F5361" t="str">
            <v>DC93-00945D(QR)</v>
          </cell>
          <cell r="G5361" t="str">
            <v>LABEL</v>
          </cell>
          <cell r="H5361" t="str">
            <v>LAB1893</v>
          </cell>
        </row>
        <row r="5362">
          <cell r="F5362" t="str">
            <v>DC93-00945C(QR)</v>
          </cell>
          <cell r="G5362" t="str">
            <v>LABEL</v>
          </cell>
          <cell r="H5362" t="str">
            <v>LAB1892</v>
          </cell>
        </row>
        <row r="5363">
          <cell r="F5363" t="str">
            <v>DC93-00945B(QR)</v>
          </cell>
          <cell r="G5363" t="str">
            <v>LABEL</v>
          </cell>
          <cell r="H5363" t="str">
            <v>LAB1891</v>
          </cell>
        </row>
        <row r="5364">
          <cell r="F5364" t="str">
            <v>DC93-00945A(QR)</v>
          </cell>
          <cell r="G5364" t="str">
            <v>LABEL</v>
          </cell>
          <cell r="H5364" t="str">
            <v>LAB1890</v>
          </cell>
        </row>
        <row r="5365">
          <cell r="F5365" t="str">
            <v>DA96-01420E(QR)</v>
          </cell>
          <cell r="G5365" t="str">
            <v>LABEL</v>
          </cell>
          <cell r="H5365" t="str">
            <v>LAB1889</v>
          </cell>
        </row>
        <row r="5366">
          <cell r="F5366" t="str">
            <v>DA96-01514P(QR)</v>
          </cell>
          <cell r="G5366" t="str">
            <v>LABEL</v>
          </cell>
          <cell r="H5366" t="str">
            <v>LAB1888</v>
          </cell>
        </row>
        <row r="5367">
          <cell r="F5367" t="str">
            <v>DA96-01514N(QR)</v>
          </cell>
          <cell r="G5367" t="str">
            <v>LABEL</v>
          </cell>
          <cell r="H5367" t="str">
            <v>LAB1887</v>
          </cell>
        </row>
        <row r="5368">
          <cell r="F5368" t="str">
            <v>DA96-01514M(QR)</v>
          </cell>
          <cell r="G5368" t="str">
            <v>LABEL</v>
          </cell>
          <cell r="H5368" t="str">
            <v>LAB1886</v>
          </cell>
        </row>
        <row r="5369">
          <cell r="F5369" t="str">
            <v>DA96-01514L(QR)</v>
          </cell>
          <cell r="G5369" t="str">
            <v>LABEL</v>
          </cell>
          <cell r="H5369" t="str">
            <v>LAB1885</v>
          </cell>
        </row>
        <row r="5370">
          <cell r="F5370" t="str">
            <v>DA96-01514K(QR)</v>
          </cell>
          <cell r="G5370" t="str">
            <v>LABEL</v>
          </cell>
          <cell r="H5370" t="str">
            <v>LAB1884</v>
          </cell>
        </row>
        <row r="5371">
          <cell r="F5371" t="str">
            <v>DA96-01514J(QR)</v>
          </cell>
          <cell r="G5371" t="str">
            <v>LABEL</v>
          </cell>
          <cell r="H5371" t="str">
            <v>LAB1883</v>
          </cell>
        </row>
        <row r="5372">
          <cell r="F5372" t="str">
            <v>DA96-01514H(QR)</v>
          </cell>
          <cell r="G5372" t="str">
            <v>LABEL</v>
          </cell>
          <cell r="H5372" t="str">
            <v>LAB1882</v>
          </cell>
        </row>
        <row r="5373">
          <cell r="F5373" t="str">
            <v>DA96-01514G(QR)</v>
          </cell>
          <cell r="G5373" t="str">
            <v>LABEL</v>
          </cell>
          <cell r="H5373" t="str">
            <v>LAB1881</v>
          </cell>
        </row>
        <row r="5374">
          <cell r="F5374" t="str">
            <v>DA96-01514F(QR)</v>
          </cell>
          <cell r="G5374" t="str">
            <v>LABEL</v>
          </cell>
          <cell r="H5374" t="str">
            <v>LAB1880</v>
          </cell>
        </row>
        <row r="5375">
          <cell r="F5375" t="str">
            <v>DA96-01514E(QR)</v>
          </cell>
          <cell r="G5375" t="str">
            <v>LABEL</v>
          </cell>
          <cell r="H5375" t="str">
            <v>LAB1879</v>
          </cell>
        </row>
        <row r="5376">
          <cell r="F5376" t="str">
            <v>DA96-01514D(QR)</v>
          </cell>
          <cell r="G5376" t="str">
            <v>LABEL</v>
          </cell>
          <cell r="H5376" t="str">
            <v>LAB1878</v>
          </cell>
        </row>
        <row r="5377">
          <cell r="F5377" t="str">
            <v>DA96-01514C(QR)</v>
          </cell>
          <cell r="G5377" t="str">
            <v>LABEL</v>
          </cell>
          <cell r="H5377" t="str">
            <v>LAB1877</v>
          </cell>
        </row>
        <row r="5378">
          <cell r="F5378" t="str">
            <v>DA96-01514B(QR)</v>
          </cell>
          <cell r="G5378" t="str">
            <v>LABEL</v>
          </cell>
          <cell r="H5378" t="str">
            <v>LAB1876</v>
          </cell>
        </row>
        <row r="5379">
          <cell r="F5379" t="str">
            <v>DA96-01514A(QR)</v>
          </cell>
          <cell r="G5379" t="str">
            <v>LABEL</v>
          </cell>
          <cell r="H5379" t="str">
            <v>LAB1875</v>
          </cell>
        </row>
        <row r="5380">
          <cell r="F5380" t="str">
            <v>DA96-01514P</v>
          </cell>
          <cell r="G5380" t="str">
            <v>LABEL</v>
          </cell>
          <cell r="H5380" t="str">
            <v>LAB1874</v>
          </cell>
        </row>
        <row r="5381">
          <cell r="F5381" t="str">
            <v>DA96-01514N</v>
          </cell>
          <cell r="G5381" t="str">
            <v>LABEL</v>
          </cell>
          <cell r="H5381" t="str">
            <v>LAB1873</v>
          </cell>
        </row>
        <row r="5382">
          <cell r="F5382" t="str">
            <v>DA96-01514M</v>
          </cell>
          <cell r="G5382" t="str">
            <v>LABEL</v>
          </cell>
          <cell r="H5382" t="str">
            <v>LAB1872</v>
          </cell>
        </row>
        <row r="5383">
          <cell r="F5383" t="str">
            <v>DA96-01514L</v>
          </cell>
          <cell r="G5383" t="str">
            <v>LABEL</v>
          </cell>
          <cell r="H5383" t="str">
            <v>LAB1871</v>
          </cell>
        </row>
        <row r="5384">
          <cell r="F5384" t="str">
            <v>DA96-01514K</v>
          </cell>
          <cell r="G5384" t="str">
            <v>LABEL</v>
          </cell>
          <cell r="H5384" t="str">
            <v>LAB1870</v>
          </cell>
        </row>
        <row r="5385">
          <cell r="F5385" t="str">
            <v>DA96-01514J</v>
          </cell>
          <cell r="G5385" t="str">
            <v>LABEL</v>
          </cell>
          <cell r="H5385" t="str">
            <v>LAB1869</v>
          </cell>
        </row>
        <row r="5386">
          <cell r="F5386" t="str">
            <v>DA96-01514H</v>
          </cell>
          <cell r="G5386" t="str">
            <v>LABEL</v>
          </cell>
          <cell r="H5386" t="str">
            <v>LAB1868</v>
          </cell>
        </row>
        <row r="5387">
          <cell r="F5387" t="str">
            <v>DA96-01514G</v>
          </cell>
          <cell r="G5387" t="str">
            <v>LABEL</v>
          </cell>
          <cell r="H5387" t="str">
            <v>LAB1867</v>
          </cell>
        </row>
        <row r="5388">
          <cell r="F5388" t="str">
            <v>DA96-01514F</v>
          </cell>
          <cell r="G5388" t="str">
            <v>LABEL</v>
          </cell>
          <cell r="H5388" t="str">
            <v>LAB1866</v>
          </cell>
        </row>
        <row r="5389">
          <cell r="F5389" t="str">
            <v>DA96-01514E</v>
          </cell>
          <cell r="G5389" t="str">
            <v>LABEL</v>
          </cell>
          <cell r="H5389" t="str">
            <v>LAB1865</v>
          </cell>
        </row>
        <row r="5390">
          <cell r="F5390" t="str">
            <v>DA96-01514D</v>
          </cell>
          <cell r="G5390" t="str">
            <v>LABEL</v>
          </cell>
          <cell r="H5390" t="str">
            <v>LAB1864</v>
          </cell>
        </row>
        <row r="5391">
          <cell r="F5391" t="str">
            <v>DA96-01514C</v>
          </cell>
          <cell r="G5391" t="str">
            <v>LABEL</v>
          </cell>
          <cell r="H5391" t="str">
            <v>LAB1863</v>
          </cell>
        </row>
        <row r="5392">
          <cell r="F5392" t="str">
            <v>DA96-01514B</v>
          </cell>
          <cell r="G5392" t="str">
            <v>LABEL</v>
          </cell>
          <cell r="H5392" t="str">
            <v>LAB1862</v>
          </cell>
        </row>
        <row r="5393">
          <cell r="F5393" t="str">
            <v>DA96-01514A</v>
          </cell>
          <cell r="G5393" t="str">
            <v>LABEL</v>
          </cell>
          <cell r="H5393" t="str">
            <v>LAB1861</v>
          </cell>
        </row>
        <row r="5394">
          <cell r="F5394" t="str">
            <v>DA96-01510H</v>
          </cell>
          <cell r="G5394" t="str">
            <v>LABEL</v>
          </cell>
          <cell r="H5394" t="str">
            <v>LAB1860</v>
          </cell>
        </row>
        <row r="5395">
          <cell r="F5395" t="str">
            <v>DA96-01510G</v>
          </cell>
          <cell r="G5395" t="str">
            <v>LABEL</v>
          </cell>
          <cell r="H5395" t="str">
            <v>LAB1859</v>
          </cell>
        </row>
        <row r="5396">
          <cell r="F5396" t="str">
            <v>DA96-01510F</v>
          </cell>
          <cell r="G5396" t="str">
            <v>LABEL</v>
          </cell>
          <cell r="H5396" t="str">
            <v>LAB1858</v>
          </cell>
        </row>
        <row r="5397">
          <cell r="F5397" t="str">
            <v>DA96-01510E</v>
          </cell>
          <cell r="G5397" t="str">
            <v>LABEL</v>
          </cell>
          <cell r="H5397" t="str">
            <v>LAB1857</v>
          </cell>
        </row>
        <row r="5398">
          <cell r="F5398" t="str">
            <v>DA96-01510D</v>
          </cell>
          <cell r="G5398" t="str">
            <v>LABEL</v>
          </cell>
          <cell r="H5398" t="str">
            <v>LAB1856</v>
          </cell>
        </row>
        <row r="5399">
          <cell r="F5399" t="str">
            <v>DA96-01510C</v>
          </cell>
          <cell r="G5399" t="str">
            <v>LABEL</v>
          </cell>
          <cell r="H5399" t="str">
            <v>LAB1855</v>
          </cell>
        </row>
        <row r="5400">
          <cell r="F5400" t="str">
            <v>DA96-01510B</v>
          </cell>
          <cell r="G5400" t="str">
            <v>LABEL</v>
          </cell>
          <cell r="H5400" t="str">
            <v>LAB1854</v>
          </cell>
        </row>
        <row r="5401">
          <cell r="F5401" t="str">
            <v>DA96-01510A</v>
          </cell>
          <cell r="G5401" t="str">
            <v>LABEL</v>
          </cell>
          <cell r="H5401" t="str">
            <v>LAB1853</v>
          </cell>
        </row>
        <row r="5402">
          <cell r="F5402" t="str">
            <v>DA96-01518K</v>
          </cell>
          <cell r="G5402" t="str">
            <v>LABEL</v>
          </cell>
          <cell r="H5402" t="str">
            <v>LAB1852</v>
          </cell>
        </row>
        <row r="5403">
          <cell r="F5403" t="str">
            <v>DA96-01518J</v>
          </cell>
          <cell r="G5403" t="str">
            <v>LABEL</v>
          </cell>
          <cell r="H5403" t="str">
            <v>LAB1851</v>
          </cell>
        </row>
        <row r="5404">
          <cell r="F5404" t="str">
            <v>DA96-01518H</v>
          </cell>
          <cell r="G5404" t="str">
            <v>LABEL</v>
          </cell>
          <cell r="H5404" t="str">
            <v>LAB1850</v>
          </cell>
        </row>
        <row r="5405">
          <cell r="F5405" t="str">
            <v>DA96-01518G</v>
          </cell>
          <cell r="G5405" t="str">
            <v>LABEL</v>
          </cell>
          <cell r="H5405" t="str">
            <v>LAB1849</v>
          </cell>
        </row>
        <row r="5406">
          <cell r="F5406" t="str">
            <v>DA96-01518F</v>
          </cell>
          <cell r="G5406" t="str">
            <v>LABEL</v>
          </cell>
          <cell r="H5406" t="str">
            <v>LAB1848</v>
          </cell>
        </row>
        <row r="5407">
          <cell r="F5407" t="str">
            <v>DA96-01518E</v>
          </cell>
          <cell r="G5407" t="str">
            <v>LABEL</v>
          </cell>
          <cell r="H5407" t="str">
            <v>LAB1847</v>
          </cell>
        </row>
        <row r="5408">
          <cell r="F5408" t="str">
            <v>DA96-01518D</v>
          </cell>
          <cell r="G5408" t="str">
            <v>LABEL</v>
          </cell>
          <cell r="H5408" t="str">
            <v>LAB1846</v>
          </cell>
        </row>
        <row r="5409">
          <cell r="F5409" t="str">
            <v>DA96-01518C</v>
          </cell>
          <cell r="G5409" t="str">
            <v>LABEL</v>
          </cell>
          <cell r="H5409" t="str">
            <v>LAB1845</v>
          </cell>
        </row>
        <row r="5410">
          <cell r="F5410" t="str">
            <v>DA96-01518B</v>
          </cell>
          <cell r="G5410" t="str">
            <v>LABEL</v>
          </cell>
          <cell r="H5410" t="str">
            <v>LAB1844</v>
          </cell>
        </row>
        <row r="5411">
          <cell r="F5411" t="str">
            <v>DA96-01518A</v>
          </cell>
          <cell r="G5411" t="str">
            <v>LABEL</v>
          </cell>
          <cell r="H5411" t="str">
            <v>LAB1843</v>
          </cell>
        </row>
        <row r="5412">
          <cell r="F5412" t="str">
            <v>DA96-01506M(QR)</v>
          </cell>
          <cell r="G5412" t="str">
            <v>LABEL</v>
          </cell>
          <cell r="H5412" t="str">
            <v>LAB1842</v>
          </cell>
        </row>
        <row r="5413">
          <cell r="F5413" t="str">
            <v>DA96-01506L(QR)</v>
          </cell>
          <cell r="G5413" t="str">
            <v>LABEL</v>
          </cell>
          <cell r="H5413" t="str">
            <v>LAB1841</v>
          </cell>
        </row>
        <row r="5414">
          <cell r="F5414" t="str">
            <v>DA96-01506K(QR)</v>
          </cell>
          <cell r="G5414" t="str">
            <v>LABEL</v>
          </cell>
          <cell r="H5414" t="str">
            <v>LAB1840</v>
          </cell>
        </row>
        <row r="5415">
          <cell r="F5415" t="str">
            <v>DA96-01506J(QR)</v>
          </cell>
          <cell r="G5415" t="str">
            <v>LABEL</v>
          </cell>
          <cell r="H5415" t="str">
            <v>LAB1839</v>
          </cell>
        </row>
        <row r="5416">
          <cell r="F5416" t="str">
            <v>DA96-01506H(QR)</v>
          </cell>
          <cell r="G5416" t="str">
            <v>LABEL</v>
          </cell>
          <cell r="H5416" t="str">
            <v>LAB1838</v>
          </cell>
        </row>
        <row r="5417">
          <cell r="F5417" t="str">
            <v>DA96-01506G(QR)</v>
          </cell>
          <cell r="G5417" t="str">
            <v>LABEL</v>
          </cell>
          <cell r="H5417" t="str">
            <v>LAB1837</v>
          </cell>
        </row>
        <row r="5418">
          <cell r="F5418" t="str">
            <v>DA96-01506F(QR)</v>
          </cell>
          <cell r="G5418" t="str">
            <v>LABEL</v>
          </cell>
          <cell r="H5418" t="str">
            <v>LAB1836</v>
          </cell>
        </row>
        <row r="5419">
          <cell r="F5419" t="str">
            <v>DA96-01506E(QR)</v>
          </cell>
          <cell r="G5419" t="str">
            <v>LABEL</v>
          </cell>
          <cell r="H5419" t="str">
            <v>LAB1835</v>
          </cell>
        </row>
        <row r="5420">
          <cell r="F5420" t="str">
            <v>DA96-01506D(QR)</v>
          </cell>
          <cell r="G5420" t="str">
            <v>LABEL</v>
          </cell>
          <cell r="H5420" t="str">
            <v>LAB1834</v>
          </cell>
        </row>
        <row r="5421">
          <cell r="F5421" t="str">
            <v>DA96-01506C(QR)</v>
          </cell>
          <cell r="G5421" t="str">
            <v>LABEL</v>
          </cell>
          <cell r="H5421" t="str">
            <v>LAB1833</v>
          </cell>
        </row>
        <row r="5422">
          <cell r="F5422" t="str">
            <v>DA96-01506B(QR)</v>
          </cell>
          <cell r="G5422" t="str">
            <v>LABEL</v>
          </cell>
          <cell r="H5422" t="str">
            <v>LAB1832</v>
          </cell>
        </row>
        <row r="5423">
          <cell r="F5423" t="str">
            <v>DA96-01506A(QR)</v>
          </cell>
          <cell r="G5423" t="str">
            <v>LABEL</v>
          </cell>
          <cell r="H5423" t="str">
            <v>LAB1831</v>
          </cell>
        </row>
        <row r="5424">
          <cell r="F5424" t="str">
            <v>DA96-01505M(QR)</v>
          </cell>
          <cell r="G5424" t="str">
            <v>LABEL</v>
          </cell>
          <cell r="H5424" t="str">
            <v>LAB1830</v>
          </cell>
        </row>
        <row r="5425">
          <cell r="F5425" t="str">
            <v>DA96-01505L(QR)</v>
          </cell>
          <cell r="G5425" t="str">
            <v>LABEL</v>
          </cell>
          <cell r="H5425" t="str">
            <v>LAB1829</v>
          </cell>
        </row>
        <row r="5426">
          <cell r="F5426" t="str">
            <v>DA96-01505K(QR)</v>
          </cell>
          <cell r="G5426" t="str">
            <v>LABEL</v>
          </cell>
          <cell r="H5426" t="str">
            <v>LAB1828</v>
          </cell>
        </row>
        <row r="5427">
          <cell r="F5427" t="str">
            <v>DA96-01505J(QR)</v>
          </cell>
          <cell r="G5427" t="str">
            <v>LABEL</v>
          </cell>
          <cell r="H5427" t="str">
            <v>LAB1827</v>
          </cell>
        </row>
        <row r="5428">
          <cell r="F5428" t="str">
            <v>DA96-01505H(QR)</v>
          </cell>
          <cell r="G5428" t="str">
            <v>LABEL</v>
          </cell>
          <cell r="H5428" t="str">
            <v>LAB1826</v>
          </cell>
        </row>
        <row r="5429">
          <cell r="F5429" t="str">
            <v>DA96-01505G(QR)</v>
          </cell>
          <cell r="G5429" t="str">
            <v>LABEL</v>
          </cell>
          <cell r="H5429" t="str">
            <v>LAB1825</v>
          </cell>
        </row>
        <row r="5430">
          <cell r="F5430" t="str">
            <v>DA96-01505F(QR)</v>
          </cell>
          <cell r="G5430" t="str">
            <v>LABEL</v>
          </cell>
          <cell r="H5430" t="str">
            <v>LAB1824</v>
          </cell>
        </row>
        <row r="5431">
          <cell r="F5431" t="str">
            <v>DA96-01505E(QR)</v>
          </cell>
          <cell r="G5431" t="str">
            <v>LABEL</v>
          </cell>
          <cell r="H5431" t="str">
            <v>LAB1823</v>
          </cell>
        </row>
        <row r="5432">
          <cell r="F5432" t="str">
            <v>DA96-01505D(QR)</v>
          </cell>
          <cell r="G5432" t="str">
            <v>LABEL</v>
          </cell>
          <cell r="H5432" t="str">
            <v>LAB1822</v>
          </cell>
        </row>
        <row r="5433">
          <cell r="F5433" t="str">
            <v>DA96-01505C(QR)</v>
          </cell>
          <cell r="G5433" t="str">
            <v>LABEL</v>
          </cell>
          <cell r="H5433" t="str">
            <v>LAB1821</v>
          </cell>
        </row>
        <row r="5434">
          <cell r="F5434" t="str">
            <v>DA96-01505B(QR)</v>
          </cell>
          <cell r="G5434" t="str">
            <v>LABEL</v>
          </cell>
          <cell r="H5434" t="str">
            <v>LAB1820</v>
          </cell>
        </row>
        <row r="5435">
          <cell r="F5435" t="str">
            <v>DA96-01505A(QR)</v>
          </cell>
          <cell r="G5435" t="str">
            <v>LABEL</v>
          </cell>
          <cell r="H5435" t="str">
            <v>LAB1819</v>
          </cell>
        </row>
        <row r="5436">
          <cell r="F5436" t="str">
            <v>DA96-01506M</v>
          </cell>
          <cell r="G5436" t="str">
            <v>LABEL</v>
          </cell>
          <cell r="H5436" t="str">
            <v>LAB1818</v>
          </cell>
        </row>
        <row r="5437">
          <cell r="F5437" t="str">
            <v>DA96-01506L</v>
          </cell>
          <cell r="G5437" t="str">
            <v>LABEL</v>
          </cell>
          <cell r="H5437" t="str">
            <v>LAB1817</v>
          </cell>
        </row>
        <row r="5438">
          <cell r="F5438" t="str">
            <v>DA96-01506K</v>
          </cell>
          <cell r="G5438" t="str">
            <v>LABEL</v>
          </cell>
          <cell r="H5438" t="str">
            <v>LAB1816</v>
          </cell>
        </row>
        <row r="5439">
          <cell r="F5439" t="str">
            <v>DA96-01506J</v>
          </cell>
          <cell r="G5439" t="str">
            <v>LABEL</v>
          </cell>
          <cell r="H5439" t="str">
            <v>LAB1815</v>
          </cell>
        </row>
        <row r="5440">
          <cell r="F5440" t="str">
            <v>DA96-01506H</v>
          </cell>
          <cell r="G5440" t="str">
            <v>LABEL</v>
          </cell>
          <cell r="H5440" t="str">
            <v>LAB1814</v>
          </cell>
        </row>
        <row r="5441">
          <cell r="F5441" t="str">
            <v>DA96-01506G</v>
          </cell>
          <cell r="G5441" t="str">
            <v>LABEL</v>
          </cell>
          <cell r="H5441" t="str">
            <v>LAB1813</v>
          </cell>
        </row>
        <row r="5442">
          <cell r="F5442" t="str">
            <v>DA96-01506F</v>
          </cell>
          <cell r="G5442" t="str">
            <v>LABEL</v>
          </cell>
          <cell r="H5442" t="str">
            <v>LAB1812</v>
          </cell>
        </row>
        <row r="5443">
          <cell r="F5443" t="str">
            <v>DA96-01506E</v>
          </cell>
          <cell r="G5443" t="str">
            <v>LABEL</v>
          </cell>
          <cell r="H5443" t="str">
            <v>LAB1811</v>
          </cell>
        </row>
        <row r="5444">
          <cell r="F5444" t="str">
            <v>DA96-01506D</v>
          </cell>
          <cell r="G5444" t="str">
            <v>LABEL</v>
          </cell>
          <cell r="H5444" t="str">
            <v>LAB1810</v>
          </cell>
        </row>
        <row r="5445">
          <cell r="F5445" t="str">
            <v>DA96-01506C</v>
          </cell>
          <cell r="G5445" t="str">
            <v>LABEL</v>
          </cell>
          <cell r="H5445" t="str">
            <v>LAB1809</v>
          </cell>
        </row>
        <row r="5446">
          <cell r="F5446" t="str">
            <v>DA96-01506B</v>
          </cell>
          <cell r="G5446" t="str">
            <v>LABEL</v>
          </cell>
          <cell r="H5446" t="str">
            <v>LAB1808</v>
          </cell>
        </row>
        <row r="5447">
          <cell r="F5447" t="str">
            <v>DA96-01506A</v>
          </cell>
          <cell r="G5447" t="str">
            <v>LABEL</v>
          </cell>
          <cell r="H5447" t="str">
            <v>LAB1807</v>
          </cell>
        </row>
        <row r="5448">
          <cell r="F5448" t="str">
            <v>DA96-01505M</v>
          </cell>
          <cell r="G5448" t="str">
            <v>LABEL</v>
          </cell>
          <cell r="H5448" t="str">
            <v>LAB1806</v>
          </cell>
        </row>
        <row r="5449">
          <cell r="F5449" t="str">
            <v>DA96-01505L</v>
          </cell>
          <cell r="G5449" t="str">
            <v>LABEL</v>
          </cell>
          <cell r="H5449" t="str">
            <v>LAB1805</v>
          </cell>
        </row>
        <row r="5450">
          <cell r="F5450" t="str">
            <v>DA96-01505K</v>
          </cell>
          <cell r="G5450" t="str">
            <v>LABEL</v>
          </cell>
          <cell r="H5450" t="str">
            <v>LAB1804</v>
          </cell>
        </row>
        <row r="5451">
          <cell r="F5451" t="str">
            <v>DA96-01505J</v>
          </cell>
          <cell r="G5451" t="str">
            <v>LABEL</v>
          </cell>
          <cell r="H5451" t="str">
            <v>LAB1803</v>
          </cell>
        </row>
        <row r="5452">
          <cell r="F5452" t="str">
            <v>DA96-01505H</v>
          </cell>
          <cell r="G5452" t="str">
            <v>LABEL</v>
          </cell>
          <cell r="H5452" t="str">
            <v>LAB1802</v>
          </cell>
        </row>
        <row r="5453">
          <cell r="F5453" t="str">
            <v>DA96-01505G</v>
          </cell>
          <cell r="G5453" t="str">
            <v>LABEL</v>
          </cell>
          <cell r="H5453" t="str">
            <v>LAB1801</v>
          </cell>
        </row>
        <row r="5454">
          <cell r="F5454" t="str">
            <v>DA96-01505F</v>
          </cell>
          <cell r="G5454" t="str">
            <v>LABEL</v>
          </cell>
          <cell r="H5454" t="str">
            <v>LAB1800</v>
          </cell>
        </row>
        <row r="5455">
          <cell r="F5455" t="str">
            <v>DA96-01505E</v>
          </cell>
          <cell r="G5455" t="str">
            <v>LABEL</v>
          </cell>
          <cell r="H5455" t="str">
            <v>LAB1799</v>
          </cell>
        </row>
        <row r="5456">
          <cell r="F5456" t="str">
            <v>DA96-01505D</v>
          </cell>
          <cell r="G5456" t="str">
            <v>LABEL</v>
          </cell>
          <cell r="H5456" t="str">
            <v>LAB1798</v>
          </cell>
        </row>
        <row r="5457">
          <cell r="F5457" t="str">
            <v>DA96-01505C</v>
          </cell>
          <cell r="G5457" t="str">
            <v>LABEL</v>
          </cell>
          <cell r="H5457" t="str">
            <v>LAB1797</v>
          </cell>
        </row>
        <row r="5458">
          <cell r="F5458" t="str">
            <v>DA96-01505B</v>
          </cell>
          <cell r="G5458" t="str">
            <v>LABEL</v>
          </cell>
          <cell r="H5458" t="str">
            <v>LAB1796</v>
          </cell>
        </row>
        <row r="5459">
          <cell r="F5459" t="str">
            <v>DA96-01505A</v>
          </cell>
          <cell r="G5459" t="str">
            <v>LABEL</v>
          </cell>
          <cell r="H5459" t="str">
            <v>LAB1795</v>
          </cell>
        </row>
        <row r="5460">
          <cell r="F5460" t="str">
            <v>DA96-01507M(QR)</v>
          </cell>
          <cell r="G5460" t="str">
            <v>LABEL</v>
          </cell>
          <cell r="H5460" t="str">
            <v>LAB1794</v>
          </cell>
        </row>
        <row r="5461">
          <cell r="F5461" t="str">
            <v>DA96-01507L(QR)</v>
          </cell>
          <cell r="G5461" t="str">
            <v>LABEL</v>
          </cell>
          <cell r="H5461" t="str">
            <v>LAB1793</v>
          </cell>
        </row>
        <row r="5462">
          <cell r="F5462" t="str">
            <v>DA96-01507K(QR)</v>
          </cell>
          <cell r="G5462" t="str">
            <v>LABEL</v>
          </cell>
          <cell r="H5462" t="str">
            <v>LAB1792</v>
          </cell>
        </row>
        <row r="5463">
          <cell r="F5463" t="str">
            <v>DA96-01507J(QR)</v>
          </cell>
          <cell r="G5463" t="str">
            <v>LABEL</v>
          </cell>
          <cell r="H5463" t="str">
            <v>LAB1791</v>
          </cell>
        </row>
        <row r="5464">
          <cell r="F5464" t="str">
            <v>DA96-01507H(QR)</v>
          </cell>
          <cell r="G5464" t="str">
            <v>LABEL</v>
          </cell>
          <cell r="H5464" t="str">
            <v>LAB1790</v>
          </cell>
        </row>
        <row r="5465">
          <cell r="F5465" t="str">
            <v>DA96-01507G(QR)</v>
          </cell>
          <cell r="G5465" t="str">
            <v>LABEL</v>
          </cell>
          <cell r="H5465" t="str">
            <v>LAB1789</v>
          </cell>
        </row>
        <row r="5466">
          <cell r="F5466" t="str">
            <v>DA96-01507F(QR)</v>
          </cell>
          <cell r="G5466" t="str">
            <v>LABEL</v>
          </cell>
          <cell r="H5466" t="str">
            <v>LAB1788</v>
          </cell>
        </row>
        <row r="5467">
          <cell r="F5467" t="str">
            <v>DA96-01507E(QR)</v>
          </cell>
          <cell r="G5467" t="str">
            <v>LABEL</v>
          </cell>
          <cell r="H5467" t="str">
            <v>LAB1787</v>
          </cell>
        </row>
        <row r="5468">
          <cell r="F5468" t="str">
            <v>DA96-01507D(QR)</v>
          </cell>
          <cell r="G5468" t="str">
            <v>LABEL</v>
          </cell>
          <cell r="H5468" t="str">
            <v>LAB1786</v>
          </cell>
        </row>
        <row r="5469">
          <cell r="F5469" t="str">
            <v>DA96-01507C(QR)</v>
          </cell>
          <cell r="G5469" t="str">
            <v>LABEL</v>
          </cell>
          <cell r="H5469" t="str">
            <v>LAB1785</v>
          </cell>
        </row>
        <row r="5470">
          <cell r="F5470" t="str">
            <v>DA96-01507B(QR)</v>
          </cell>
          <cell r="G5470" t="str">
            <v>LABEL</v>
          </cell>
          <cell r="H5470" t="str">
            <v>LAB1784</v>
          </cell>
        </row>
        <row r="5471">
          <cell r="F5471" t="str">
            <v>DA96-01507A(QR)</v>
          </cell>
          <cell r="G5471" t="str">
            <v>LABEL</v>
          </cell>
          <cell r="H5471" t="str">
            <v>LAB1783</v>
          </cell>
        </row>
        <row r="5472">
          <cell r="F5472" t="str">
            <v>DA96-01420D(QR)</v>
          </cell>
          <cell r="G5472" t="str">
            <v>LABEL</v>
          </cell>
          <cell r="H5472" t="str">
            <v>LAB1782</v>
          </cell>
        </row>
        <row r="5473">
          <cell r="F5473" t="str">
            <v>DA96-01508D(QR)</v>
          </cell>
          <cell r="G5473" t="str">
            <v>LABEL</v>
          </cell>
          <cell r="H5473" t="str">
            <v>LAB1781</v>
          </cell>
        </row>
        <row r="5474">
          <cell r="F5474" t="str">
            <v>DA96-01508C(QR)</v>
          </cell>
          <cell r="G5474" t="str">
            <v>LABEL</v>
          </cell>
          <cell r="H5474" t="str">
            <v>LAB1780</v>
          </cell>
        </row>
        <row r="5475">
          <cell r="F5475" t="str">
            <v>DA96-01508B(QR)</v>
          </cell>
          <cell r="G5475" t="str">
            <v>LABEL</v>
          </cell>
          <cell r="H5475" t="str">
            <v>LAB1779</v>
          </cell>
        </row>
        <row r="5476">
          <cell r="F5476" t="str">
            <v>DA96-01508A(QR)</v>
          </cell>
          <cell r="G5476" t="str">
            <v>LABEL</v>
          </cell>
          <cell r="H5476" t="str">
            <v>LAB1778</v>
          </cell>
        </row>
        <row r="5477">
          <cell r="F5477" t="str">
            <v>DA96-01489C</v>
          </cell>
          <cell r="G5477" t="str">
            <v>LABEL</v>
          </cell>
          <cell r="H5477" t="str">
            <v>LAB1777</v>
          </cell>
        </row>
        <row r="5478">
          <cell r="F5478" t="str">
            <v>DA96-01489B</v>
          </cell>
          <cell r="G5478" t="str">
            <v>LABEL</v>
          </cell>
          <cell r="H5478" t="str">
            <v>LAB1776</v>
          </cell>
        </row>
        <row r="5479">
          <cell r="F5479" t="str">
            <v>DA96-01489A</v>
          </cell>
          <cell r="G5479" t="str">
            <v>LABEL</v>
          </cell>
          <cell r="H5479" t="str">
            <v>LAB1775</v>
          </cell>
        </row>
        <row r="5480">
          <cell r="F5480" t="str">
            <v>DA96-01489J</v>
          </cell>
          <cell r="G5480" t="str">
            <v>LABEL</v>
          </cell>
          <cell r="H5480" t="str">
            <v>LAB1774</v>
          </cell>
        </row>
        <row r="5481">
          <cell r="F5481" t="str">
            <v>DA96-01489H</v>
          </cell>
          <cell r="G5481" t="str">
            <v>LABEL</v>
          </cell>
          <cell r="H5481" t="str">
            <v>LAB1773</v>
          </cell>
        </row>
        <row r="5482">
          <cell r="F5482" t="str">
            <v>DA96-01489G</v>
          </cell>
          <cell r="G5482" t="str">
            <v>LABEL</v>
          </cell>
          <cell r="H5482" t="str">
            <v>LAB1772</v>
          </cell>
        </row>
        <row r="5483">
          <cell r="F5483" t="str">
            <v>DA96-01489F</v>
          </cell>
          <cell r="G5483" t="str">
            <v>LABEL</v>
          </cell>
          <cell r="H5483" t="str">
            <v>LAB1771</v>
          </cell>
        </row>
        <row r="5484">
          <cell r="F5484" t="str">
            <v>DA96-01489E</v>
          </cell>
          <cell r="G5484" t="str">
            <v>LABEL</v>
          </cell>
          <cell r="H5484" t="str">
            <v>LAB1770</v>
          </cell>
        </row>
        <row r="5485">
          <cell r="F5485" t="str">
            <v>DA96-01489D</v>
          </cell>
          <cell r="G5485" t="str">
            <v>LABEL</v>
          </cell>
          <cell r="H5485" t="str">
            <v>LAB1769</v>
          </cell>
        </row>
        <row r="5486">
          <cell r="F5486" t="str">
            <v>DC93-00861F(QR)</v>
          </cell>
          <cell r="G5486" t="str">
            <v>LABEL</v>
          </cell>
          <cell r="H5486" t="str">
            <v>LAB1768</v>
          </cell>
        </row>
        <row r="5487">
          <cell r="F5487" t="str">
            <v>DC93-00842H(QR)</v>
          </cell>
          <cell r="G5487" t="str">
            <v>LABEL</v>
          </cell>
          <cell r="H5487" t="str">
            <v>LAB1767</v>
          </cell>
        </row>
        <row r="5488">
          <cell r="F5488" t="str">
            <v>DC93-00842G(QR)</v>
          </cell>
          <cell r="G5488" t="str">
            <v>LABEL</v>
          </cell>
          <cell r="H5488" t="str">
            <v>LAB1766</v>
          </cell>
        </row>
        <row r="5489">
          <cell r="F5489" t="str">
            <v>DC93-00842F(QR)</v>
          </cell>
          <cell r="G5489" t="str">
            <v>LABEL</v>
          </cell>
          <cell r="H5489" t="str">
            <v>LAB1765</v>
          </cell>
        </row>
        <row r="5490">
          <cell r="F5490" t="str">
            <v>DC93-00651M(QR)</v>
          </cell>
          <cell r="G5490" t="str">
            <v>LABEL</v>
          </cell>
          <cell r="H5490" t="str">
            <v>LAB1764</v>
          </cell>
        </row>
        <row r="5491">
          <cell r="F5491" t="str">
            <v>DC93-00651L(QR)</v>
          </cell>
          <cell r="G5491" t="str">
            <v>LABEL</v>
          </cell>
          <cell r="H5491" t="str">
            <v>LAB1763</v>
          </cell>
        </row>
        <row r="5492">
          <cell r="F5492" t="str">
            <v>DC93-00651K(QR)</v>
          </cell>
          <cell r="G5492" t="str">
            <v>LABEL</v>
          </cell>
          <cell r="H5492" t="str">
            <v>LAB1762</v>
          </cell>
        </row>
        <row r="5493">
          <cell r="F5493" t="str">
            <v>DC93-00651J(QR)</v>
          </cell>
          <cell r="G5493" t="str">
            <v>LABEL</v>
          </cell>
          <cell r="H5493" t="str">
            <v>LAB1761</v>
          </cell>
        </row>
        <row r="5494">
          <cell r="F5494" t="str">
            <v>90*65*0.8K*40</v>
          </cell>
          <cell r="G5494" t="str">
            <v>LABEL</v>
          </cell>
          <cell r="H5494" t="str">
            <v>LAB1760</v>
          </cell>
        </row>
        <row r="5495">
          <cell r="F5495" t="str">
            <v>DA96-01501E(QR)</v>
          </cell>
          <cell r="G5495" t="str">
            <v>LABEL</v>
          </cell>
          <cell r="H5495" t="str">
            <v>LAB1759</v>
          </cell>
        </row>
        <row r="5496">
          <cell r="F5496" t="str">
            <v>DA96-01501D(QR)</v>
          </cell>
          <cell r="G5496" t="str">
            <v>LABEL</v>
          </cell>
          <cell r="H5496" t="str">
            <v>LAB1758</v>
          </cell>
        </row>
        <row r="5497">
          <cell r="F5497" t="str">
            <v>DA96-01501C(QR)</v>
          </cell>
          <cell r="G5497" t="str">
            <v>LABEL</v>
          </cell>
          <cell r="H5497" t="str">
            <v>LAB1757</v>
          </cell>
        </row>
        <row r="5498">
          <cell r="F5498" t="str">
            <v>DA96-01501B(QR)</v>
          </cell>
          <cell r="G5498" t="str">
            <v>LABEL</v>
          </cell>
          <cell r="H5498" t="str">
            <v>LAB1756</v>
          </cell>
        </row>
        <row r="5499">
          <cell r="F5499" t="str">
            <v>DA96-01501A(QR)</v>
          </cell>
          <cell r="G5499" t="str">
            <v>LABEL</v>
          </cell>
          <cell r="H5499" t="str">
            <v>LAB1755</v>
          </cell>
        </row>
        <row r="5500">
          <cell r="F5500" t="str">
            <v>DA96-01501E</v>
          </cell>
          <cell r="G5500" t="str">
            <v>LABEL</v>
          </cell>
          <cell r="H5500" t="str">
            <v>LAB1754</v>
          </cell>
        </row>
        <row r="5501">
          <cell r="F5501" t="str">
            <v>DA96-01501D</v>
          </cell>
          <cell r="G5501" t="str">
            <v>LABEL</v>
          </cell>
          <cell r="H5501" t="str">
            <v>LAB1753</v>
          </cell>
        </row>
        <row r="5502">
          <cell r="F5502" t="str">
            <v>DA96-01501C</v>
          </cell>
          <cell r="G5502" t="str">
            <v>LABEL</v>
          </cell>
          <cell r="H5502" t="str">
            <v>LAB1752</v>
          </cell>
        </row>
        <row r="5503">
          <cell r="F5503" t="str">
            <v>DA96-01501B</v>
          </cell>
          <cell r="G5503" t="str">
            <v>LABEL</v>
          </cell>
          <cell r="H5503" t="str">
            <v>LAB1751</v>
          </cell>
        </row>
        <row r="5504">
          <cell r="F5504" t="str">
            <v>DA96-01501A</v>
          </cell>
          <cell r="G5504" t="str">
            <v>LABEL</v>
          </cell>
          <cell r="H5504" t="str">
            <v>LAB1750</v>
          </cell>
        </row>
        <row r="5505">
          <cell r="F5505" t="str">
            <v>DA96-01450B</v>
          </cell>
          <cell r="G5505" t="str">
            <v>LABEL</v>
          </cell>
          <cell r="H5505" t="str">
            <v>LAB1749</v>
          </cell>
        </row>
        <row r="5506">
          <cell r="F5506" t="str">
            <v>DC93-00883S(QR)</v>
          </cell>
          <cell r="G5506" t="str">
            <v>LABEL</v>
          </cell>
          <cell r="H5506" t="str">
            <v>LAB1748</v>
          </cell>
        </row>
        <row r="5507">
          <cell r="F5507" t="str">
            <v>DC93-00883R(QR)</v>
          </cell>
          <cell r="G5507" t="str">
            <v>LABEL</v>
          </cell>
          <cell r="H5507" t="str">
            <v>LAB1747</v>
          </cell>
        </row>
        <row r="5508">
          <cell r="F5508" t="str">
            <v>DC93-00883Q(QR)</v>
          </cell>
          <cell r="G5508" t="str">
            <v>LABEL</v>
          </cell>
          <cell r="H5508" t="str">
            <v>LAB1746</v>
          </cell>
        </row>
        <row r="5509">
          <cell r="F5509" t="str">
            <v>DC93-00883P(QR)</v>
          </cell>
          <cell r="G5509" t="str">
            <v>LABEL</v>
          </cell>
          <cell r="H5509" t="str">
            <v>LAB1745</v>
          </cell>
        </row>
        <row r="5510">
          <cell r="F5510" t="str">
            <v>DC93-00883N(QR)</v>
          </cell>
          <cell r="G5510" t="str">
            <v>LABEL</v>
          </cell>
          <cell r="H5510" t="str">
            <v>LAB1744</v>
          </cell>
        </row>
        <row r="5511">
          <cell r="F5511" t="str">
            <v>DC93-00883M(QR)</v>
          </cell>
          <cell r="G5511" t="str">
            <v>LABEL</v>
          </cell>
          <cell r="H5511" t="str">
            <v>LAB1743</v>
          </cell>
        </row>
        <row r="5512">
          <cell r="F5512" t="str">
            <v>DC93-00883L(QR)</v>
          </cell>
          <cell r="G5512" t="str">
            <v>LABEL</v>
          </cell>
          <cell r="H5512" t="str">
            <v>LAB1742</v>
          </cell>
        </row>
        <row r="5513">
          <cell r="F5513" t="str">
            <v>DC93-00883K(QR)</v>
          </cell>
          <cell r="G5513" t="str">
            <v>LABEL</v>
          </cell>
          <cell r="H5513" t="str">
            <v>LAB1741</v>
          </cell>
        </row>
        <row r="5514">
          <cell r="F5514" t="str">
            <v>DC93-00883J(QR)</v>
          </cell>
          <cell r="G5514" t="str">
            <v>LABEL</v>
          </cell>
          <cell r="H5514" t="str">
            <v>LAB1740</v>
          </cell>
        </row>
        <row r="5515">
          <cell r="F5515" t="str">
            <v>DC93-00883H(QR)</v>
          </cell>
          <cell r="G5515" t="str">
            <v>LABEL</v>
          </cell>
          <cell r="H5515" t="str">
            <v>LAB1739</v>
          </cell>
        </row>
        <row r="5516">
          <cell r="F5516" t="str">
            <v>DC93-00883G(QR)</v>
          </cell>
          <cell r="G5516" t="str">
            <v>LABEL</v>
          </cell>
          <cell r="H5516" t="str">
            <v>LAB1738</v>
          </cell>
        </row>
        <row r="5517">
          <cell r="F5517" t="str">
            <v>DC93-00883F(QR)</v>
          </cell>
          <cell r="G5517" t="str">
            <v>LABEL</v>
          </cell>
          <cell r="H5517" t="str">
            <v>LAB1737</v>
          </cell>
        </row>
        <row r="5518">
          <cell r="F5518" t="str">
            <v>DC93-00883E(QR)</v>
          </cell>
          <cell r="G5518" t="str">
            <v>LABEL</v>
          </cell>
          <cell r="H5518" t="str">
            <v>LAB1736</v>
          </cell>
        </row>
        <row r="5519">
          <cell r="F5519" t="str">
            <v>DC93-00883D(QR)</v>
          </cell>
          <cell r="G5519" t="str">
            <v>LABEL</v>
          </cell>
          <cell r="H5519" t="str">
            <v>LAB1735</v>
          </cell>
        </row>
        <row r="5520">
          <cell r="F5520" t="str">
            <v>DC93-00883C(QR)</v>
          </cell>
          <cell r="G5520" t="str">
            <v>LABEL</v>
          </cell>
          <cell r="H5520" t="str">
            <v>LAB1734</v>
          </cell>
        </row>
        <row r="5521">
          <cell r="F5521" t="str">
            <v>DC93-00883B(QR)</v>
          </cell>
          <cell r="G5521" t="str">
            <v>LABEL</v>
          </cell>
          <cell r="H5521" t="str">
            <v>LAB1733</v>
          </cell>
        </row>
        <row r="5522">
          <cell r="F5522" t="str">
            <v>DC93-00883A(QR)</v>
          </cell>
          <cell r="G5522" t="str">
            <v>LABEL</v>
          </cell>
          <cell r="H5522" t="str">
            <v>LAB1732</v>
          </cell>
        </row>
        <row r="5523">
          <cell r="F5523" t="str">
            <v>DA96-01491A(QR)</v>
          </cell>
          <cell r="G5523" t="str">
            <v>LABEL</v>
          </cell>
          <cell r="H5523" t="str">
            <v>LAB1731</v>
          </cell>
        </row>
        <row r="5524">
          <cell r="F5524" t="str">
            <v>DA96-01491A</v>
          </cell>
          <cell r="G5524" t="str">
            <v>LABEL</v>
          </cell>
          <cell r="H5524" t="str">
            <v>LAB1730</v>
          </cell>
        </row>
        <row r="5525">
          <cell r="F5525" t="str">
            <v>DA96-01490H(QR)</v>
          </cell>
          <cell r="G5525" t="str">
            <v>LABEL</v>
          </cell>
          <cell r="H5525" t="str">
            <v>LAB1729</v>
          </cell>
        </row>
        <row r="5526">
          <cell r="F5526" t="str">
            <v>DA96-01490G(QR)</v>
          </cell>
          <cell r="G5526" t="str">
            <v>LABEL</v>
          </cell>
          <cell r="H5526" t="str">
            <v>LAB1728</v>
          </cell>
        </row>
        <row r="5527">
          <cell r="F5527" t="str">
            <v>DA96-01490F(QR)</v>
          </cell>
          <cell r="G5527" t="str">
            <v>LABEL</v>
          </cell>
          <cell r="H5527" t="str">
            <v>LAB1727</v>
          </cell>
        </row>
        <row r="5528">
          <cell r="F5528" t="str">
            <v>DA96-01490E(QR)</v>
          </cell>
          <cell r="G5528" t="str">
            <v>LABEL</v>
          </cell>
          <cell r="H5528" t="str">
            <v>LAB1726</v>
          </cell>
        </row>
        <row r="5529">
          <cell r="F5529" t="str">
            <v>DA96-01490D(QR)</v>
          </cell>
          <cell r="G5529" t="str">
            <v>LABEL</v>
          </cell>
          <cell r="H5529" t="str">
            <v>LAB1725</v>
          </cell>
        </row>
        <row r="5530">
          <cell r="F5530" t="str">
            <v>DA96-01490C(QR)</v>
          </cell>
          <cell r="G5530" t="str">
            <v>LABEL</v>
          </cell>
          <cell r="H5530" t="str">
            <v>LAB1724</v>
          </cell>
        </row>
        <row r="5531">
          <cell r="F5531" t="str">
            <v>DA96-01490B(QR)</v>
          </cell>
          <cell r="G5531" t="str">
            <v>LABEL</v>
          </cell>
          <cell r="H5531" t="str">
            <v>LAB1723</v>
          </cell>
        </row>
        <row r="5532">
          <cell r="F5532" t="str">
            <v>DA96-01490A(QR)</v>
          </cell>
          <cell r="G5532" t="str">
            <v>LABEL</v>
          </cell>
          <cell r="H5532" t="str">
            <v>LAB1722</v>
          </cell>
        </row>
        <row r="5533">
          <cell r="F5533" t="str">
            <v>DA96-01484E(QR)</v>
          </cell>
          <cell r="G5533" t="str">
            <v>LABEL</v>
          </cell>
          <cell r="H5533" t="str">
            <v>LAB1721</v>
          </cell>
        </row>
        <row r="5534">
          <cell r="F5534" t="str">
            <v>DA96-01484D(QR)</v>
          </cell>
          <cell r="G5534" t="str">
            <v>LABEL</v>
          </cell>
          <cell r="H5534" t="str">
            <v>LAB1720</v>
          </cell>
        </row>
        <row r="5535">
          <cell r="F5535" t="str">
            <v>DA96-01484C(QR)</v>
          </cell>
          <cell r="G5535" t="str">
            <v>LABEL</v>
          </cell>
          <cell r="H5535" t="str">
            <v>LAB1719</v>
          </cell>
        </row>
        <row r="5536">
          <cell r="F5536" t="str">
            <v>DA96-01484B(QR)</v>
          </cell>
          <cell r="G5536" t="str">
            <v>LABEL</v>
          </cell>
          <cell r="H5536" t="str">
            <v>LAB1718</v>
          </cell>
        </row>
        <row r="5537">
          <cell r="F5537" t="str">
            <v>DA96-01484A(QR)</v>
          </cell>
          <cell r="G5537" t="str">
            <v>LABEL</v>
          </cell>
          <cell r="H5537" t="str">
            <v>LAB1717</v>
          </cell>
        </row>
        <row r="5538">
          <cell r="F5538" t="str">
            <v>DA96-01030M</v>
          </cell>
          <cell r="G5538" t="str">
            <v>LABEL</v>
          </cell>
          <cell r="H5538" t="str">
            <v>LAB1716</v>
          </cell>
        </row>
        <row r="5539">
          <cell r="F5539" t="str">
            <v>DC93-00939B(QR)</v>
          </cell>
          <cell r="G5539" t="str">
            <v>LABEL</v>
          </cell>
          <cell r="H5539" t="str">
            <v>LAB1715</v>
          </cell>
        </row>
        <row r="5540">
          <cell r="F5540" t="str">
            <v>DC93-00939A(QR)</v>
          </cell>
          <cell r="G5540" t="str">
            <v>LABEL</v>
          </cell>
          <cell r="H5540" t="str">
            <v>LAB1714</v>
          </cell>
        </row>
        <row r="5541">
          <cell r="F5541" t="str">
            <v>DC93-00912H(QR)</v>
          </cell>
          <cell r="G5541" t="str">
            <v>LABEL</v>
          </cell>
          <cell r="H5541" t="str">
            <v>LAB1713</v>
          </cell>
        </row>
        <row r="5542">
          <cell r="F5542" t="str">
            <v>DC93-00912G(QR)</v>
          </cell>
          <cell r="G5542" t="str">
            <v>LABEL</v>
          </cell>
          <cell r="H5542" t="str">
            <v>LAB1712</v>
          </cell>
        </row>
        <row r="5543">
          <cell r="F5543" t="str">
            <v>DC93-00912F(QR)</v>
          </cell>
          <cell r="G5543" t="str">
            <v>LABEL</v>
          </cell>
          <cell r="H5543" t="str">
            <v>LAB1711</v>
          </cell>
        </row>
        <row r="5544">
          <cell r="F5544" t="str">
            <v>DC93-00909L(QR)</v>
          </cell>
          <cell r="G5544" t="str">
            <v>LABEL</v>
          </cell>
          <cell r="H5544" t="str">
            <v>LAB1710</v>
          </cell>
        </row>
        <row r="5545">
          <cell r="F5545" t="str">
            <v>DC93-00909K(QR)</v>
          </cell>
          <cell r="G5545" t="str">
            <v>LABEL</v>
          </cell>
          <cell r="H5545" t="str">
            <v>LAB1709</v>
          </cell>
        </row>
        <row r="5546">
          <cell r="F5546" t="str">
            <v>DC93-00862F(QR)</v>
          </cell>
          <cell r="G5546" t="str">
            <v>LABEL</v>
          </cell>
          <cell r="H5546" t="str">
            <v>LAB1708</v>
          </cell>
        </row>
        <row r="5547">
          <cell r="F5547" t="str">
            <v>DC93-00898E(QR)</v>
          </cell>
          <cell r="G5547" t="str">
            <v>LABEL</v>
          </cell>
          <cell r="H5547" t="str">
            <v>LAB1707</v>
          </cell>
        </row>
        <row r="5548">
          <cell r="F5548" t="str">
            <v>30X30,유포지,무인쇄, 75Ø</v>
          </cell>
          <cell r="G5548" t="str">
            <v>LABEL</v>
          </cell>
          <cell r="H5548" t="str">
            <v>LAB1706</v>
          </cell>
        </row>
        <row r="5549">
          <cell r="F5549" t="str">
            <v>DA96-01498A(QR)</v>
          </cell>
          <cell r="G5549" t="str">
            <v>LABEL</v>
          </cell>
          <cell r="H5549" t="str">
            <v>LAB1705</v>
          </cell>
        </row>
        <row r="5550">
          <cell r="F5550" t="str">
            <v>DA96-01498A</v>
          </cell>
          <cell r="G5550" t="str">
            <v>LABEL</v>
          </cell>
          <cell r="H5550" t="str">
            <v>LAB1704</v>
          </cell>
        </row>
        <row r="5551">
          <cell r="F5551" t="str">
            <v>DA96-01469H(QR)</v>
          </cell>
          <cell r="G5551" t="str">
            <v>LABEL</v>
          </cell>
          <cell r="H5551" t="str">
            <v>LAB1703</v>
          </cell>
        </row>
        <row r="5552">
          <cell r="F5552" t="str">
            <v>DA96-01469G(QR)</v>
          </cell>
          <cell r="G5552" t="str">
            <v>LABEL</v>
          </cell>
          <cell r="H5552" t="str">
            <v>LAB1702</v>
          </cell>
        </row>
        <row r="5553">
          <cell r="F5553" t="str">
            <v>CE Color length label(33M,Hanwha,30X50)</v>
          </cell>
          <cell r="G5553" t="str">
            <v>LABEL</v>
          </cell>
          <cell r="H5553" t="str">
            <v>LAB1701</v>
          </cell>
        </row>
        <row r="5554">
          <cell r="F5554" t="str">
            <v>DA96-01467H(QR)</v>
          </cell>
          <cell r="G5554" t="str">
            <v>LABEL</v>
          </cell>
          <cell r="H5554" t="str">
            <v>LAB1700</v>
          </cell>
        </row>
        <row r="5555">
          <cell r="F5555" t="str">
            <v>DA96-01467G(QR)</v>
          </cell>
          <cell r="G5555" t="str">
            <v>LABEL</v>
          </cell>
          <cell r="H5555" t="str">
            <v>LAB1699</v>
          </cell>
        </row>
        <row r="5556">
          <cell r="F5556" t="str">
            <v>DA96-01467H</v>
          </cell>
          <cell r="G5556" t="str">
            <v>LABEL</v>
          </cell>
          <cell r="H5556" t="str">
            <v>LAB1698</v>
          </cell>
        </row>
        <row r="5557">
          <cell r="F5557" t="str">
            <v>DA96-01467G</v>
          </cell>
          <cell r="G5557" t="str">
            <v>LABEL</v>
          </cell>
          <cell r="H5557" t="str">
            <v>LAB1697</v>
          </cell>
        </row>
        <row r="5558">
          <cell r="F5558" t="str">
            <v>CE Color length label(35M,Hanwha,30X50)</v>
          </cell>
          <cell r="G5558" t="str">
            <v>LABEL</v>
          </cell>
          <cell r="H5558" t="str">
            <v>LAB1696</v>
          </cell>
        </row>
        <row r="5559">
          <cell r="F5559" t="str">
            <v>DA96-01476Z(QR)</v>
          </cell>
          <cell r="G5559" t="str">
            <v>LABEL</v>
          </cell>
          <cell r="H5559" t="str">
            <v>LAB1695</v>
          </cell>
        </row>
        <row r="5560">
          <cell r="F5560" t="str">
            <v>DA96-01476Z</v>
          </cell>
          <cell r="G5560" t="str">
            <v>LABEL</v>
          </cell>
          <cell r="H5560" t="str">
            <v>LAB1694</v>
          </cell>
        </row>
        <row r="5561">
          <cell r="F5561" t="str">
            <v>DA96-01451F</v>
          </cell>
          <cell r="G5561" t="str">
            <v>LABEL</v>
          </cell>
          <cell r="H5561" t="str">
            <v>LAB1693</v>
          </cell>
        </row>
        <row r="5562">
          <cell r="F5562" t="str">
            <v>DA96-01451E</v>
          </cell>
          <cell r="G5562" t="str">
            <v>LABEL</v>
          </cell>
          <cell r="H5562" t="str">
            <v>LAB1692</v>
          </cell>
        </row>
        <row r="5563">
          <cell r="F5563" t="str">
            <v>DA96-01490H</v>
          </cell>
          <cell r="G5563" t="str">
            <v>LABEL</v>
          </cell>
          <cell r="H5563" t="str">
            <v>LAB1691</v>
          </cell>
        </row>
        <row r="5564">
          <cell r="F5564" t="str">
            <v>DA96-01490G</v>
          </cell>
          <cell r="G5564" t="str">
            <v>LABEL</v>
          </cell>
          <cell r="H5564" t="str">
            <v>LAB1690</v>
          </cell>
        </row>
        <row r="5565">
          <cell r="F5565" t="str">
            <v>DA96-01490F</v>
          </cell>
          <cell r="G5565" t="str">
            <v>LABEL</v>
          </cell>
          <cell r="H5565" t="str">
            <v>LAB1689</v>
          </cell>
        </row>
        <row r="5566">
          <cell r="F5566" t="str">
            <v>DA96-01490E</v>
          </cell>
          <cell r="G5566" t="str">
            <v>LABEL</v>
          </cell>
          <cell r="H5566" t="str">
            <v>LAB1688</v>
          </cell>
        </row>
        <row r="5567">
          <cell r="F5567" t="str">
            <v>DA96-01490D</v>
          </cell>
          <cell r="G5567" t="str">
            <v>LABEL</v>
          </cell>
          <cell r="H5567" t="str">
            <v>LAB1687</v>
          </cell>
        </row>
        <row r="5568">
          <cell r="F5568" t="str">
            <v>DA96-01490C</v>
          </cell>
          <cell r="G5568" t="str">
            <v>LABEL</v>
          </cell>
          <cell r="H5568" t="str">
            <v>LAB1686</v>
          </cell>
        </row>
        <row r="5569">
          <cell r="F5569" t="str">
            <v>DA96-01490B</v>
          </cell>
          <cell r="G5569" t="str">
            <v>LABEL</v>
          </cell>
          <cell r="H5569" t="str">
            <v>LAB1685</v>
          </cell>
        </row>
        <row r="5570">
          <cell r="F5570" t="str">
            <v>DA96-01490A</v>
          </cell>
          <cell r="G5570" t="str">
            <v>LABEL</v>
          </cell>
          <cell r="H5570" t="str">
            <v>LAB1684</v>
          </cell>
        </row>
        <row r="5571">
          <cell r="F5571" t="str">
            <v>DA96-01484E</v>
          </cell>
          <cell r="G5571" t="str">
            <v>LABEL</v>
          </cell>
          <cell r="H5571" t="str">
            <v>LAB1683</v>
          </cell>
        </row>
        <row r="5572">
          <cell r="F5572" t="str">
            <v>DA96-01484D</v>
          </cell>
          <cell r="G5572" t="str">
            <v>LABEL</v>
          </cell>
          <cell r="H5572" t="str">
            <v>LAB1682</v>
          </cell>
        </row>
        <row r="5573">
          <cell r="F5573" t="str">
            <v>DA96-01484C</v>
          </cell>
          <cell r="G5573" t="str">
            <v>LABEL</v>
          </cell>
          <cell r="H5573" t="str">
            <v>LAB1681</v>
          </cell>
        </row>
        <row r="5574">
          <cell r="F5574" t="str">
            <v>DA96-01484B</v>
          </cell>
          <cell r="G5574" t="str">
            <v>LABEL</v>
          </cell>
          <cell r="H5574" t="str">
            <v>LAB1680</v>
          </cell>
        </row>
        <row r="5575">
          <cell r="F5575" t="str">
            <v>DA96-01484A</v>
          </cell>
          <cell r="G5575" t="str">
            <v>LABEL</v>
          </cell>
          <cell r="H5575" t="str">
            <v>LAB1679</v>
          </cell>
        </row>
        <row r="5576">
          <cell r="F5576" t="str">
            <v>DA96-01468L(QR)</v>
          </cell>
          <cell r="G5576" t="str">
            <v>LABEL</v>
          </cell>
          <cell r="H5576" t="str">
            <v>LAB1678</v>
          </cell>
        </row>
        <row r="5577">
          <cell r="F5577" t="str">
            <v>DA96-01468L</v>
          </cell>
          <cell r="G5577" t="str">
            <v>LABEL</v>
          </cell>
          <cell r="H5577" t="str">
            <v>LAB1677</v>
          </cell>
        </row>
        <row r="5578">
          <cell r="F5578" t="str">
            <v>DA96-00779E(QR)</v>
          </cell>
          <cell r="G5578" t="str">
            <v>LABEL</v>
          </cell>
          <cell r="H5578" t="str">
            <v>LAB1676</v>
          </cell>
        </row>
        <row r="5579">
          <cell r="F5579" t="str">
            <v>DA96-01420C(QR)</v>
          </cell>
          <cell r="G5579" t="str">
            <v>LABEL</v>
          </cell>
          <cell r="H5579" t="str">
            <v>LAB1675</v>
          </cell>
        </row>
        <row r="5580">
          <cell r="F5580" t="str">
            <v>DA96-01420B(QR)</v>
          </cell>
          <cell r="G5580" t="str">
            <v>LABEL</v>
          </cell>
          <cell r="H5580" t="str">
            <v>LAB1674</v>
          </cell>
        </row>
        <row r="5581">
          <cell r="F5581" t="str">
            <v>DA96-01420A(QR)</v>
          </cell>
          <cell r="G5581" t="str">
            <v>LABEL</v>
          </cell>
          <cell r="H5581" t="str">
            <v>LAB1673</v>
          </cell>
        </row>
        <row r="5582">
          <cell r="F5582" t="str">
            <v>DA96-01287A(QR)</v>
          </cell>
          <cell r="G5582" t="str">
            <v>LABEL</v>
          </cell>
          <cell r="H5582" t="str">
            <v>LAB1672</v>
          </cell>
        </row>
        <row r="5583">
          <cell r="F5583" t="str">
            <v>DA96-01254F(QR)</v>
          </cell>
          <cell r="G5583" t="str">
            <v>LABEL</v>
          </cell>
          <cell r="H5583" t="str">
            <v>LAB1671</v>
          </cell>
        </row>
        <row r="5584">
          <cell r="F5584" t="str">
            <v>DA96-01254E(QR)</v>
          </cell>
          <cell r="G5584" t="str">
            <v>LABEL</v>
          </cell>
          <cell r="H5584" t="str">
            <v>LAB1670</v>
          </cell>
        </row>
        <row r="5585">
          <cell r="F5585" t="str">
            <v>DA96-01254D(QR)</v>
          </cell>
          <cell r="G5585" t="str">
            <v>LABEL</v>
          </cell>
          <cell r="H5585" t="str">
            <v>LAB1669</v>
          </cell>
        </row>
        <row r="5586">
          <cell r="F5586" t="str">
            <v>DA96-01353K(QR)</v>
          </cell>
          <cell r="G5586" t="str">
            <v>LABEL</v>
          </cell>
          <cell r="H5586" t="str">
            <v>LAB1668</v>
          </cell>
        </row>
        <row r="5587">
          <cell r="F5587" t="str">
            <v>DA96-01353J(QR)</v>
          </cell>
          <cell r="G5587" t="str">
            <v>LABEL</v>
          </cell>
          <cell r="H5587" t="str">
            <v>LAB1667</v>
          </cell>
        </row>
        <row r="5588">
          <cell r="F5588" t="str">
            <v>DA96-01353H(QR)</v>
          </cell>
          <cell r="G5588" t="str">
            <v>LABEL</v>
          </cell>
          <cell r="H5588" t="str">
            <v>LAB1666</v>
          </cell>
        </row>
        <row r="5589">
          <cell r="F5589" t="str">
            <v>DA96-01353G(QR)</v>
          </cell>
          <cell r="G5589" t="str">
            <v>LABEL</v>
          </cell>
          <cell r="H5589" t="str">
            <v>LAB1665</v>
          </cell>
        </row>
        <row r="5590">
          <cell r="F5590" t="str">
            <v>DA96-01353F(QR)</v>
          </cell>
          <cell r="G5590" t="str">
            <v>LABEL</v>
          </cell>
          <cell r="H5590" t="str">
            <v>LAB1664</v>
          </cell>
        </row>
        <row r="5591">
          <cell r="F5591" t="str">
            <v>DA96-01353E(QR)</v>
          </cell>
          <cell r="G5591" t="str">
            <v>LABEL</v>
          </cell>
          <cell r="H5591" t="str">
            <v>LAB1663</v>
          </cell>
        </row>
        <row r="5592">
          <cell r="F5592" t="str">
            <v>DA96-01353D(QR)</v>
          </cell>
          <cell r="G5592" t="str">
            <v>LABEL</v>
          </cell>
          <cell r="H5592" t="str">
            <v>LAB1662</v>
          </cell>
        </row>
        <row r="5593">
          <cell r="F5593" t="str">
            <v>DA96-01353C(QR)</v>
          </cell>
          <cell r="G5593" t="str">
            <v>LABEL</v>
          </cell>
          <cell r="H5593" t="str">
            <v>LAB1661</v>
          </cell>
        </row>
        <row r="5594">
          <cell r="F5594" t="str">
            <v>DA96-01353B(QR)</v>
          </cell>
          <cell r="G5594" t="str">
            <v>LABEL</v>
          </cell>
          <cell r="H5594" t="str">
            <v>LAB1660</v>
          </cell>
        </row>
        <row r="5595">
          <cell r="F5595" t="str">
            <v>DA96-01353A(QR)</v>
          </cell>
          <cell r="G5595" t="str">
            <v>LABEL</v>
          </cell>
          <cell r="H5595" t="str">
            <v>LAB1659</v>
          </cell>
        </row>
        <row r="5596">
          <cell r="F5596" t="str">
            <v>DA96-01233D(QR)</v>
          </cell>
          <cell r="G5596" t="str">
            <v>LABEL</v>
          </cell>
          <cell r="H5596" t="str">
            <v>LAB1658</v>
          </cell>
        </row>
        <row r="5597">
          <cell r="F5597" t="str">
            <v>DA96-01233C(QR)</v>
          </cell>
          <cell r="G5597" t="str">
            <v>LABEL</v>
          </cell>
          <cell r="H5597" t="str">
            <v>LAB1657</v>
          </cell>
        </row>
        <row r="5598">
          <cell r="F5598" t="str">
            <v>DA96-01233B(QR)</v>
          </cell>
          <cell r="G5598" t="str">
            <v>LABEL</v>
          </cell>
          <cell r="H5598" t="str">
            <v>LAB1656</v>
          </cell>
        </row>
        <row r="5599">
          <cell r="F5599" t="str">
            <v>DA96-01233A(QR)</v>
          </cell>
          <cell r="G5599" t="str">
            <v>LABEL</v>
          </cell>
          <cell r="H5599" t="str">
            <v>LAB1655</v>
          </cell>
        </row>
        <row r="5600">
          <cell r="F5600" t="str">
            <v>DA96-01173H(QR)</v>
          </cell>
          <cell r="G5600" t="str">
            <v>LABEL</v>
          </cell>
          <cell r="H5600" t="str">
            <v>LAB1654</v>
          </cell>
        </row>
        <row r="5601">
          <cell r="F5601" t="str">
            <v>DA96-01173G(QR)</v>
          </cell>
          <cell r="G5601" t="str">
            <v>LABEL</v>
          </cell>
          <cell r="H5601" t="str">
            <v>LAB1653</v>
          </cell>
        </row>
        <row r="5602">
          <cell r="F5602" t="str">
            <v>DC93-00786G(QR)</v>
          </cell>
          <cell r="G5602" t="str">
            <v>LABEL</v>
          </cell>
          <cell r="H5602" t="str">
            <v>LAB1652</v>
          </cell>
        </row>
        <row r="5603">
          <cell r="F5603" t="str">
            <v>DC93-00788F(QR)</v>
          </cell>
          <cell r="G5603" t="str">
            <v>LABEL</v>
          </cell>
          <cell r="H5603" t="str">
            <v>LAB1651</v>
          </cell>
        </row>
        <row r="5604">
          <cell r="F5604" t="str">
            <v>DC93-00788E(QR)</v>
          </cell>
          <cell r="G5604" t="str">
            <v>LABEL</v>
          </cell>
          <cell r="H5604" t="str">
            <v>LAB1650</v>
          </cell>
        </row>
        <row r="5605">
          <cell r="F5605" t="str">
            <v>DC93-00787L(QR)</v>
          </cell>
          <cell r="G5605" t="str">
            <v>LABEL</v>
          </cell>
          <cell r="H5605" t="str">
            <v>LAB1649</v>
          </cell>
        </row>
        <row r="5606">
          <cell r="F5606" t="str">
            <v>DC93-00787K(QR)</v>
          </cell>
          <cell r="G5606" t="str">
            <v>LABEL</v>
          </cell>
          <cell r="H5606" t="str">
            <v>LAB1648</v>
          </cell>
        </row>
        <row r="5607">
          <cell r="F5607" t="str">
            <v>DC93-00787J(QR)</v>
          </cell>
          <cell r="G5607" t="str">
            <v>LABEL</v>
          </cell>
          <cell r="H5607" t="str">
            <v>LAB1647</v>
          </cell>
        </row>
        <row r="5608">
          <cell r="F5608" t="str">
            <v>DC93-00917B(QR)</v>
          </cell>
          <cell r="G5608" t="str">
            <v>LABEL</v>
          </cell>
          <cell r="H5608" t="str">
            <v>LAB1646</v>
          </cell>
        </row>
        <row r="5609">
          <cell r="F5609" t="str">
            <v>DA96-01338E</v>
          </cell>
          <cell r="G5609" t="str">
            <v>LABEL</v>
          </cell>
          <cell r="H5609" t="str">
            <v>LAB1645</v>
          </cell>
        </row>
        <row r="5610">
          <cell r="F5610" t="str">
            <v>DA96-01338D</v>
          </cell>
          <cell r="G5610" t="str">
            <v>LABEL</v>
          </cell>
          <cell r="H5610" t="str">
            <v>LAB1644</v>
          </cell>
        </row>
        <row r="5611">
          <cell r="F5611" t="str">
            <v>DA96-01476Y(QR)</v>
          </cell>
          <cell r="G5611" t="str">
            <v>LABEL</v>
          </cell>
          <cell r="H5611" t="str">
            <v>LAB1643</v>
          </cell>
        </row>
        <row r="5612">
          <cell r="F5612" t="str">
            <v>DA96-01476Y</v>
          </cell>
          <cell r="G5612" t="str">
            <v>LABEL</v>
          </cell>
          <cell r="H5612" t="str">
            <v>LAB1642</v>
          </cell>
        </row>
        <row r="5613">
          <cell r="F5613" t="str">
            <v>DA96-01476X(QR)</v>
          </cell>
          <cell r="G5613" t="str">
            <v>LABEL</v>
          </cell>
          <cell r="H5613" t="str">
            <v>LAB1641</v>
          </cell>
        </row>
        <row r="5614">
          <cell r="F5614" t="str">
            <v>DA96-01476W(QR)</v>
          </cell>
          <cell r="G5614" t="str">
            <v>LABEL</v>
          </cell>
          <cell r="H5614" t="str">
            <v>LAB1640</v>
          </cell>
        </row>
        <row r="5615">
          <cell r="F5615" t="str">
            <v>DA96-01476X</v>
          </cell>
          <cell r="G5615" t="str">
            <v>LABEL</v>
          </cell>
          <cell r="H5615" t="str">
            <v>LAB1639</v>
          </cell>
        </row>
        <row r="5616">
          <cell r="F5616" t="str">
            <v>DA96-01476W</v>
          </cell>
          <cell r="G5616" t="str">
            <v>LABEL</v>
          </cell>
          <cell r="H5616" t="str">
            <v>LAB1638</v>
          </cell>
        </row>
        <row r="5617">
          <cell r="F5617" t="str">
            <v>DA96-01460Q(QR)</v>
          </cell>
          <cell r="G5617" t="str">
            <v>LABEL</v>
          </cell>
          <cell r="H5617" t="str">
            <v>LAB1637</v>
          </cell>
        </row>
        <row r="5618">
          <cell r="F5618" t="str">
            <v>DC93-00912E(QR)</v>
          </cell>
          <cell r="G5618" t="str">
            <v>LABEL</v>
          </cell>
          <cell r="H5618" t="str">
            <v>LAB1636</v>
          </cell>
        </row>
        <row r="5619">
          <cell r="F5619" t="str">
            <v>DC93-00912D(QR)</v>
          </cell>
          <cell r="G5619" t="str">
            <v>LABEL</v>
          </cell>
          <cell r="H5619" t="str">
            <v>LAB1635</v>
          </cell>
        </row>
        <row r="5620">
          <cell r="F5620" t="str">
            <v>DC93-00912C(QR)</v>
          </cell>
          <cell r="G5620" t="str">
            <v>LABEL</v>
          </cell>
          <cell r="H5620" t="str">
            <v>LAB1634</v>
          </cell>
        </row>
        <row r="5621">
          <cell r="F5621" t="str">
            <v>DC93-00912B(QR)</v>
          </cell>
          <cell r="G5621" t="str">
            <v>LABEL</v>
          </cell>
          <cell r="H5621" t="str">
            <v>LAB1633</v>
          </cell>
        </row>
        <row r="5622">
          <cell r="F5622" t="str">
            <v>DC93-00912A(QR)</v>
          </cell>
          <cell r="G5622" t="str">
            <v>LABEL</v>
          </cell>
          <cell r="H5622" t="str">
            <v>LAB1632</v>
          </cell>
        </row>
        <row r="5623">
          <cell r="F5623" t="str">
            <v>DA96-01462E</v>
          </cell>
          <cell r="G5623" t="str">
            <v>LABEL</v>
          </cell>
          <cell r="H5623" t="str">
            <v>LAB1631</v>
          </cell>
        </row>
        <row r="5624">
          <cell r="F5624" t="str">
            <v>DC93-00917A(QR)</v>
          </cell>
          <cell r="G5624" t="str">
            <v>LABEL</v>
          </cell>
          <cell r="H5624" t="str">
            <v>LAB1630</v>
          </cell>
        </row>
        <row r="5625">
          <cell r="F5625" t="str">
            <v>DA96-01476V</v>
          </cell>
          <cell r="G5625" t="str">
            <v>LABEL</v>
          </cell>
          <cell r="H5625" t="str">
            <v>LAB1629</v>
          </cell>
        </row>
        <row r="5626">
          <cell r="F5626" t="str">
            <v>DA96-01476U</v>
          </cell>
          <cell r="G5626" t="str">
            <v>LABEL</v>
          </cell>
          <cell r="H5626" t="str">
            <v>LAB1628</v>
          </cell>
        </row>
        <row r="5627">
          <cell r="F5627" t="str">
            <v>DA96-01476T</v>
          </cell>
          <cell r="G5627" t="str">
            <v>LABEL</v>
          </cell>
          <cell r="H5627" t="str">
            <v>LAB1627</v>
          </cell>
        </row>
        <row r="5628">
          <cell r="F5628" t="str">
            <v>DA96-01476V(QR)</v>
          </cell>
          <cell r="G5628" t="str">
            <v>LABEL</v>
          </cell>
          <cell r="H5628" t="str">
            <v>LAB1626</v>
          </cell>
        </row>
        <row r="5629">
          <cell r="F5629" t="str">
            <v>DA96-01476U(QR)</v>
          </cell>
          <cell r="G5629" t="str">
            <v>LABEL</v>
          </cell>
          <cell r="H5629" t="str">
            <v>LAB1625</v>
          </cell>
        </row>
        <row r="5630">
          <cell r="F5630" t="str">
            <v>DA96-01476T(QR)</v>
          </cell>
          <cell r="G5630" t="str">
            <v>LABEL</v>
          </cell>
          <cell r="H5630" t="str">
            <v>LAB1624</v>
          </cell>
        </row>
        <row r="5631">
          <cell r="F5631" t="str">
            <v>DA96-01460P(QR)</v>
          </cell>
          <cell r="G5631" t="str">
            <v>LABEL</v>
          </cell>
          <cell r="H5631" t="str">
            <v>LAB1623</v>
          </cell>
        </row>
        <row r="5632">
          <cell r="F5632" t="str">
            <v>Bending Label(Hanwha,25x180)</v>
          </cell>
          <cell r="G5632" t="str">
            <v>LABEL</v>
          </cell>
          <cell r="H5632" t="str">
            <v>LAB1622</v>
          </cell>
        </row>
        <row r="5633">
          <cell r="F5633" t="str">
            <v>DA96-01476S(QR)</v>
          </cell>
          <cell r="G5633" t="str">
            <v>LABEL</v>
          </cell>
          <cell r="H5633" t="str">
            <v>LAB1621</v>
          </cell>
        </row>
        <row r="5634">
          <cell r="F5634" t="str">
            <v>DA96-01476R(QR)</v>
          </cell>
          <cell r="G5634" t="str">
            <v>LABEL</v>
          </cell>
          <cell r="H5634" t="str">
            <v>LAB1620</v>
          </cell>
        </row>
        <row r="5635">
          <cell r="F5635" t="str">
            <v>DA96-01476Q(QR)</v>
          </cell>
          <cell r="G5635" t="str">
            <v>LABEL</v>
          </cell>
          <cell r="H5635" t="str">
            <v>LAB1619</v>
          </cell>
        </row>
        <row r="5636">
          <cell r="F5636" t="str">
            <v>DA96-01476P(QR)</v>
          </cell>
          <cell r="G5636" t="str">
            <v>LABEL</v>
          </cell>
          <cell r="H5636" t="str">
            <v>LAB1618</v>
          </cell>
        </row>
        <row r="5637">
          <cell r="F5637" t="str">
            <v>DA96-01476N(QR)</v>
          </cell>
          <cell r="G5637" t="str">
            <v>LABEL</v>
          </cell>
          <cell r="H5637" t="str">
            <v>LAB1617</v>
          </cell>
        </row>
        <row r="5638">
          <cell r="F5638" t="str">
            <v>DA96-01476M(QR)</v>
          </cell>
          <cell r="G5638" t="str">
            <v>LABEL</v>
          </cell>
          <cell r="H5638" t="str">
            <v>LAB1616</v>
          </cell>
        </row>
        <row r="5639">
          <cell r="F5639" t="str">
            <v>DA96-01476L(QR)</v>
          </cell>
          <cell r="G5639" t="str">
            <v>LABEL</v>
          </cell>
          <cell r="H5639" t="str">
            <v>LAB1615</v>
          </cell>
        </row>
        <row r="5640">
          <cell r="F5640" t="str">
            <v>DA96-01476K(QR)</v>
          </cell>
          <cell r="G5640" t="str">
            <v>LABEL</v>
          </cell>
          <cell r="H5640" t="str">
            <v>LAB1614</v>
          </cell>
        </row>
        <row r="5641">
          <cell r="F5641" t="str">
            <v>DA96-01476J(QR)</v>
          </cell>
          <cell r="G5641" t="str">
            <v>LABEL</v>
          </cell>
          <cell r="H5641" t="str">
            <v>LAB1613</v>
          </cell>
        </row>
        <row r="5642">
          <cell r="F5642" t="str">
            <v>DA96-01476H(QR)</v>
          </cell>
          <cell r="G5642" t="str">
            <v>LABEL</v>
          </cell>
          <cell r="H5642" t="str">
            <v>LAB1612</v>
          </cell>
        </row>
        <row r="5643">
          <cell r="F5643" t="str">
            <v>DA96-01476G(QR)</v>
          </cell>
          <cell r="G5643" t="str">
            <v>LABEL</v>
          </cell>
          <cell r="H5643" t="str">
            <v>LAB1611</v>
          </cell>
        </row>
        <row r="5644">
          <cell r="F5644" t="str">
            <v>DA96-01476F(QR)</v>
          </cell>
          <cell r="G5644" t="str">
            <v>LABEL</v>
          </cell>
          <cell r="H5644" t="str">
            <v>LAB1610</v>
          </cell>
        </row>
        <row r="5645">
          <cell r="F5645" t="str">
            <v>DA96-01476E(QR)</v>
          </cell>
          <cell r="G5645" t="str">
            <v>LABEL</v>
          </cell>
          <cell r="H5645" t="str">
            <v>LAB1609</v>
          </cell>
        </row>
        <row r="5646">
          <cell r="F5646" t="str">
            <v>DA96-01476D(QR)</v>
          </cell>
          <cell r="G5646" t="str">
            <v>LABEL</v>
          </cell>
          <cell r="H5646" t="str">
            <v>LAB1608</v>
          </cell>
        </row>
        <row r="5647">
          <cell r="F5647" t="str">
            <v>DA96-01476C(QR)</v>
          </cell>
          <cell r="G5647" t="str">
            <v>LABEL</v>
          </cell>
          <cell r="H5647" t="str">
            <v>LAB1607</v>
          </cell>
        </row>
        <row r="5648">
          <cell r="F5648" t="str">
            <v>DA96-01476B(QR)</v>
          </cell>
          <cell r="G5648" t="str">
            <v>LABEL</v>
          </cell>
          <cell r="H5648" t="str">
            <v>LAB1606</v>
          </cell>
        </row>
        <row r="5649">
          <cell r="F5649" t="str">
            <v>DA96-01476A(QR)</v>
          </cell>
          <cell r="G5649" t="str">
            <v>LABEL</v>
          </cell>
          <cell r="H5649" t="str">
            <v>LAB1605</v>
          </cell>
        </row>
        <row r="5650">
          <cell r="F5650" t="str">
            <v>DA96-01476S</v>
          </cell>
          <cell r="G5650" t="str">
            <v>LABEL</v>
          </cell>
          <cell r="H5650" t="str">
            <v>LAB1604</v>
          </cell>
        </row>
        <row r="5651">
          <cell r="F5651" t="str">
            <v>DA96-01476R</v>
          </cell>
          <cell r="G5651" t="str">
            <v>LABEL</v>
          </cell>
          <cell r="H5651" t="str">
            <v>LAB1603</v>
          </cell>
        </row>
        <row r="5652">
          <cell r="F5652" t="str">
            <v>DA96-01476Q</v>
          </cell>
          <cell r="G5652" t="str">
            <v>LABEL</v>
          </cell>
          <cell r="H5652" t="str">
            <v>LAB1602</v>
          </cell>
        </row>
        <row r="5653">
          <cell r="F5653" t="str">
            <v>DA96-01476P</v>
          </cell>
          <cell r="G5653" t="str">
            <v>LABEL</v>
          </cell>
          <cell r="H5653" t="str">
            <v>LAB1601</v>
          </cell>
        </row>
        <row r="5654">
          <cell r="F5654" t="str">
            <v>DA96-01476N</v>
          </cell>
          <cell r="G5654" t="str">
            <v>LABEL</v>
          </cell>
          <cell r="H5654" t="str">
            <v>LAB1600</v>
          </cell>
        </row>
        <row r="5655">
          <cell r="F5655" t="str">
            <v>DA96-01476M</v>
          </cell>
          <cell r="G5655" t="str">
            <v>LABEL</v>
          </cell>
          <cell r="H5655" t="str">
            <v>LAB1599</v>
          </cell>
        </row>
        <row r="5656">
          <cell r="F5656" t="str">
            <v>DA96-01476L</v>
          </cell>
          <cell r="G5656" t="str">
            <v>LABEL</v>
          </cell>
          <cell r="H5656" t="str">
            <v>LAB1598</v>
          </cell>
        </row>
        <row r="5657">
          <cell r="F5657" t="str">
            <v>DA96-01476K</v>
          </cell>
          <cell r="G5657" t="str">
            <v>LABEL</v>
          </cell>
          <cell r="H5657" t="str">
            <v>LAB1597</v>
          </cell>
        </row>
        <row r="5658">
          <cell r="F5658" t="str">
            <v>DA96-01476J</v>
          </cell>
          <cell r="G5658" t="str">
            <v>LABEL</v>
          </cell>
          <cell r="H5658" t="str">
            <v>LAB1596</v>
          </cell>
        </row>
        <row r="5659">
          <cell r="F5659" t="str">
            <v>DA96-01476H</v>
          </cell>
          <cell r="G5659" t="str">
            <v>LABEL</v>
          </cell>
          <cell r="H5659" t="str">
            <v>LAB1595</v>
          </cell>
        </row>
        <row r="5660">
          <cell r="F5660" t="str">
            <v>DA96-01476G</v>
          </cell>
          <cell r="G5660" t="str">
            <v>LABEL</v>
          </cell>
          <cell r="H5660" t="str">
            <v>LAB1594</v>
          </cell>
        </row>
        <row r="5661">
          <cell r="F5661" t="str">
            <v>DA96-01476F</v>
          </cell>
          <cell r="G5661" t="str">
            <v>LABEL</v>
          </cell>
          <cell r="H5661" t="str">
            <v>LAB1593</v>
          </cell>
        </row>
        <row r="5662">
          <cell r="F5662" t="str">
            <v>DA96-01476E</v>
          </cell>
          <cell r="G5662" t="str">
            <v>LABEL</v>
          </cell>
          <cell r="H5662" t="str">
            <v>LAB1592</v>
          </cell>
        </row>
        <row r="5663">
          <cell r="F5663" t="str">
            <v>DA96-01476D</v>
          </cell>
          <cell r="G5663" t="str">
            <v>LABEL</v>
          </cell>
          <cell r="H5663" t="str">
            <v>LAB1591</v>
          </cell>
        </row>
        <row r="5664">
          <cell r="F5664" t="str">
            <v>DA96-01476C</v>
          </cell>
          <cell r="G5664" t="str">
            <v>LABEL</v>
          </cell>
          <cell r="H5664" t="str">
            <v>LAB1590</v>
          </cell>
        </row>
        <row r="5665">
          <cell r="F5665" t="str">
            <v>DA96-01476B</v>
          </cell>
          <cell r="G5665" t="str">
            <v>LABEL</v>
          </cell>
          <cell r="H5665" t="str">
            <v>LAB1589</v>
          </cell>
        </row>
        <row r="5666">
          <cell r="F5666" t="str">
            <v>DA96-01476A</v>
          </cell>
          <cell r="G5666" t="str">
            <v>LABEL</v>
          </cell>
          <cell r="H5666" t="str">
            <v>LAB1588</v>
          </cell>
        </row>
        <row r="5667">
          <cell r="F5667" t="str">
            <v>DA96-01421C</v>
          </cell>
          <cell r="G5667" t="str">
            <v>LABEL</v>
          </cell>
          <cell r="H5667" t="str">
            <v>LAB1587</v>
          </cell>
        </row>
        <row r="5668">
          <cell r="F5668" t="str">
            <v>DA96-01460N(QR)</v>
          </cell>
          <cell r="G5668" t="str">
            <v>LABEL</v>
          </cell>
          <cell r="H5668" t="str">
            <v>LAB1586</v>
          </cell>
        </row>
        <row r="5669">
          <cell r="F5669" t="str">
            <v>DA96-01460M(QR)</v>
          </cell>
          <cell r="G5669" t="str">
            <v>LABEL</v>
          </cell>
          <cell r="H5669" t="str">
            <v>LAB1585</v>
          </cell>
        </row>
        <row r="5670">
          <cell r="F5670" t="str">
            <v>DA96-01460L(QR)</v>
          </cell>
          <cell r="G5670" t="str">
            <v>LABEL</v>
          </cell>
          <cell r="H5670" t="str">
            <v>LAB1584</v>
          </cell>
        </row>
        <row r="5671">
          <cell r="F5671" t="str">
            <v>DA96-01460K(QR)</v>
          </cell>
          <cell r="G5671" t="str">
            <v>LABEL</v>
          </cell>
          <cell r="H5671" t="str">
            <v>LAB1583</v>
          </cell>
        </row>
        <row r="5672">
          <cell r="F5672" t="str">
            <v>DA96-01460J(QR)</v>
          </cell>
          <cell r="G5672" t="str">
            <v>LABEL</v>
          </cell>
          <cell r="H5672" t="str">
            <v>LAB1582</v>
          </cell>
        </row>
        <row r="5673">
          <cell r="F5673" t="str">
            <v>DA96-01460H(QR)</v>
          </cell>
          <cell r="G5673" t="str">
            <v>LABEL</v>
          </cell>
          <cell r="H5673" t="str">
            <v>LAB1581</v>
          </cell>
        </row>
        <row r="5674">
          <cell r="F5674" t="str">
            <v>DA96-01460G(QR)</v>
          </cell>
          <cell r="G5674" t="str">
            <v>LABEL</v>
          </cell>
          <cell r="H5674" t="str">
            <v>LAB1580</v>
          </cell>
        </row>
        <row r="5675">
          <cell r="F5675" t="str">
            <v>DA96-01460F(QR)</v>
          </cell>
          <cell r="G5675" t="str">
            <v>LABEL</v>
          </cell>
          <cell r="H5675" t="str">
            <v>LAB1579</v>
          </cell>
        </row>
        <row r="5676">
          <cell r="F5676" t="str">
            <v>DA96-01460E(QR)</v>
          </cell>
          <cell r="G5676" t="str">
            <v>LABEL</v>
          </cell>
          <cell r="H5676" t="str">
            <v>LAB1578</v>
          </cell>
        </row>
        <row r="5677">
          <cell r="F5677" t="str">
            <v>DA96-01460D(QR)</v>
          </cell>
          <cell r="G5677" t="str">
            <v>LABEL</v>
          </cell>
          <cell r="H5677" t="str">
            <v>LAB1577</v>
          </cell>
        </row>
        <row r="5678">
          <cell r="F5678" t="str">
            <v>DA96-01460C(QR)</v>
          </cell>
          <cell r="G5678" t="str">
            <v>LABEL</v>
          </cell>
          <cell r="H5678" t="str">
            <v>LAB1576</v>
          </cell>
        </row>
        <row r="5679">
          <cell r="F5679" t="str">
            <v>DA96-01460B(QR)</v>
          </cell>
          <cell r="G5679" t="str">
            <v>LABEL</v>
          </cell>
          <cell r="H5679" t="str">
            <v>LAB1575</v>
          </cell>
        </row>
        <row r="5680">
          <cell r="F5680" t="str">
            <v>DA96-01460A(QR)</v>
          </cell>
          <cell r="G5680" t="str">
            <v>LABEL</v>
          </cell>
          <cell r="H5680" t="str">
            <v>LAB1574</v>
          </cell>
        </row>
        <row r="5681">
          <cell r="F5681" t="str">
            <v>DA96-01467F</v>
          </cell>
          <cell r="G5681" t="str">
            <v>LABEL</v>
          </cell>
          <cell r="H5681" t="str">
            <v>LAB1573</v>
          </cell>
        </row>
        <row r="5682">
          <cell r="F5682" t="str">
            <v>DA96-01467E</v>
          </cell>
          <cell r="G5682" t="str">
            <v>LABEL</v>
          </cell>
          <cell r="H5682" t="str">
            <v>LAB1572</v>
          </cell>
        </row>
        <row r="5683">
          <cell r="F5683" t="str">
            <v>DA96-01467D</v>
          </cell>
          <cell r="G5683" t="str">
            <v>LABEL</v>
          </cell>
          <cell r="H5683" t="str">
            <v>LAB1571</v>
          </cell>
        </row>
        <row r="5684">
          <cell r="F5684" t="str">
            <v>DA96-01467C</v>
          </cell>
          <cell r="G5684" t="str">
            <v>LABEL</v>
          </cell>
          <cell r="H5684" t="str">
            <v>LAB1570</v>
          </cell>
        </row>
        <row r="5685">
          <cell r="F5685" t="str">
            <v>DA96-01467B</v>
          </cell>
          <cell r="G5685" t="str">
            <v>LABEL</v>
          </cell>
          <cell r="H5685" t="str">
            <v>LAB1569</v>
          </cell>
        </row>
        <row r="5686">
          <cell r="F5686" t="str">
            <v>DA96-01467A</v>
          </cell>
          <cell r="G5686" t="str">
            <v>LABEL</v>
          </cell>
          <cell r="H5686" t="str">
            <v>LAB1568</v>
          </cell>
        </row>
        <row r="5687">
          <cell r="F5687" t="str">
            <v>DA96-01467F(QR)</v>
          </cell>
          <cell r="G5687" t="str">
            <v>LABEL</v>
          </cell>
          <cell r="H5687" t="str">
            <v>LAB1567</v>
          </cell>
        </row>
        <row r="5688">
          <cell r="F5688" t="str">
            <v>DA96-01467E(QR)</v>
          </cell>
          <cell r="G5688" t="str">
            <v>LABEL</v>
          </cell>
          <cell r="H5688" t="str">
            <v>LAB1566</v>
          </cell>
        </row>
        <row r="5689">
          <cell r="F5689" t="str">
            <v>DA96-01467D(QR)</v>
          </cell>
          <cell r="G5689" t="str">
            <v>LABEL</v>
          </cell>
          <cell r="H5689" t="str">
            <v>LAB1565</v>
          </cell>
        </row>
        <row r="5690">
          <cell r="F5690" t="str">
            <v>DA96-01467C(QR)</v>
          </cell>
          <cell r="G5690" t="str">
            <v>LABEL</v>
          </cell>
          <cell r="H5690" t="str">
            <v>LAB1564</v>
          </cell>
        </row>
        <row r="5691">
          <cell r="F5691" t="str">
            <v>DA96-01467B(QR)</v>
          </cell>
          <cell r="G5691" t="str">
            <v>LABEL</v>
          </cell>
          <cell r="H5691" t="str">
            <v>LAB1563</v>
          </cell>
        </row>
        <row r="5692">
          <cell r="F5692" t="str">
            <v>DA96-01467A(QR)</v>
          </cell>
          <cell r="G5692" t="str">
            <v>LABEL</v>
          </cell>
          <cell r="H5692" t="str">
            <v>LAB1562</v>
          </cell>
        </row>
        <row r="5693">
          <cell r="F5693" t="str">
            <v>DA96-01469F(QR)</v>
          </cell>
          <cell r="G5693" t="str">
            <v>LABEL</v>
          </cell>
          <cell r="H5693" t="str">
            <v>LAB1561</v>
          </cell>
        </row>
        <row r="5694">
          <cell r="F5694" t="str">
            <v>DA96-01469E(QR)</v>
          </cell>
          <cell r="G5694" t="str">
            <v>LABEL</v>
          </cell>
          <cell r="H5694" t="str">
            <v>LAB1560</v>
          </cell>
        </row>
        <row r="5695">
          <cell r="F5695" t="str">
            <v>DA96-01469D(QR)</v>
          </cell>
          <cell r="G5695" t="str">
            <v>LABEL</v>
          </cell>
          <cell r="H5695" t="str">
            <v>LAB1559</v>
          </cell>
        </row>
        <row r="5696">
          <cell r="F5696" t="str">
            <v>DA96-01469C(QR)</v>
          </cell>
          <cell r="G5696" t="str">
            <v>LABEL</v>
          </cell>
          <cell r="H5696" t="str">
            <v>LAB1558</v>
          </cell>
        </row>
        <row r="5697">
          <cell r="F5697" t="str">
            <v>DA96-01469B(QR)</v>
          </cell>
          <cell r="G5697" t="str">
            <v>LABEL</v>
          </cell>
          <cell r="H5697" t="str">
            <v>LAB1557</v>
          </cell>
        </row>
        <row r="5698">
          <cell r="F5698" t="str">
            <v>DA96-01469A(QR)</v>
          </cell>
          <cell r="G5698" t="str">
            <v>LABEL</v>
          </cell>
          <cell r="H5698" t="str">
            <v>LAB1556</v>
          </cell>
        </row>
        <row r="5699">
          <cell r="F5699" t="str">
            <v>DC93-00910A</v>
          </cell>
          <cell r="G5699" t="str">
            <v>LABEL</v>
          </cell>
          <cell r="H5699" t="str">
            <v>LAB1555</v>
          </cell>
        </row>
        <row r="5700">
          <cell r="F5700" t="str">
            <v>DC93-00909J(QR)</v>
          </cell>
          <cell r="G5700" t="str">
            <v>LABEL</v>
          </cell>
          <cell r="H5700" t="str">
            <v>LAB1554</v>
          </cell>
        </row>
        <row r="5701">
          <cell r="F5701" t="str">
            <v>DC93-00909H(QR)</v>
          </cell>
          <cell r="G5701" t="str">
            <v>LABEL</v>
          </cell>
          <cell r="H5701" t="str">
            <v>LAB1553</v>
          </cell>
        </row>
        <row r="5702">
          <cell r="F5702" t="str">
            <v>DC93-00909G(QR)</v>
          </cell>
          <cell r="G5702" t="str">
            <v>LABEL</v>
          </cell>
          <cell r="H5702" t="str">
            <v>LAB1552</v>
          </cell>
        </row>
        <row r="5703">
          <cell r="F5703" t="str">
            <v>DC93-00909F(QR)</v>
          </cell>
          <cell r="G5703" t="str">
            <v>LABEL</v>
          </cell>
          <cell r="H5703" t="str">
            <v>LAB1551</v>
          </cell>
        </row>
        <row r="5704">
          <cell r="F5704" t="str">
            <v>DC93-00909E(QR)</v>
          </cell>
          <cell r="G5704" t="str">
            <v>LABEL</v>
          </cell>
          <cell r="H5704" t="str">
            <v>LAB1550</v>
          </cell>
        </row>
        <row r="5705">
          <cell r="F5705" t="str">
            <v>DC93-00909D(QR)</v>
          </cell>
          <cell r="G5705" t="str">
            <v>LABEL</v>
          </cell>
          <cell r="H5705" t="str">
            <v>LAB1549</v>
          </cell>
        </row>
        <row r="5706">
          <cell r="F5706" t="str">
            <v>DC93-00909C(QR)</v>
          </cell>
          <cell r="G5706" t="str">
            <v>LABEL</v>
          </cell>
          <cell r="H5706" t="str">
            <v>LAB1548</v>
          </cell>
        </row>
        <row r="5707">
          <cell r="F5707" t="str">
            <v>DC93-00909B(QR)</v>
          </cell>
          <cell r="G5707" t="str">
            <v>LABEL</v>
          </cell>
          <cell r="H5707" t="str">
            <v>LAB1547</v>
          </cell>
        </row>
        <row r="5708">
          <cell r="F5708" t="str">
            <v>DC93-00909A(QR)</v>
          </cell>
          <cell r="G5708" t="str">
            <v>LABEL</v>
          </cell>
          <cell r="H5708" t="str">
            <v>LAB1546</v>
          </cell>
        </row>
        <row r="5709">
          <cell r="F5709" t="str">
            <v>DA96-01464D</v>
          </cell>
          <cell r="G5709" t="str">
            <v>LABEL</v>
          </cell>
          <cell r="H5709" t="str">
            <v>LAB1545</v>
          </cell>
        </row>
        <row r="5710">
          <cell r="F5710" t="str">
            <v>DA96-01464C</v>
          </cell>
          <cell r="G5710" t="str">
            <v>LABEL</v>
          </cell>
          <cell r="H5710" t="str">
            <v>LAB1544</v>
          </cell>
        </row>
        <row r="5711">
          <cell r="F5711" t="str">
            <v>DA96-01464B</v>
          </cell>
          <cell r="G5711" t="str">
            <v>LABEL</v>
          </cell>
          <cell r="H5711" t="str">
            <v>LAB1543</v>
          </cell>
        </row>
        <row r="5712">
          <cell r="F5712" t="str">
            <v>DA96-01464A</v>
          </cell>
          <cell r="G5712" t="str">
            <v>LABEL</v>
          </cell>
          <cell r="H5712" t="str">
            <v>LAB1542</v>
          </cell>
        </row>
        <row r="5713">
          <cell r="F5713" t="str">
            <v>DC93-00862E(QR)</v>
          </cell>
          <cell r="G5713" t="str">
            <v>LABEL</v>
          </cell>
          <cell r="H5713" t="str">
            <v>LAB1541</v>
          </cell>
        </row>
        <row r="5714">
          <cell r="F5714" t="str">
            <v>DA96-01391K</v>
          </cell>
          <cell r="G5714" t="str">
            <v>LABEL</v>
          </cell>
          <cell r="H5714" t="str">
            <v>LAB1540</v>
          </cell>
        </row>
        <row r="5715">
          <cell r="F5715" t="str">
            <v>DA96-01462D</v>
          </cell>
          <cell r="G5715" t="str">
            <v>LABEL</v>
          </cell>
          <cell r="H5715" t="str">
            <v>LAB1539</v>
          </cell>
        </row>
        <row r="5716">
          <cell r="F5716" t="str">
            <v>DA96-01462C</v>
          </cell>
          <cell r="G5716" t="str">
            <v>LABEL</v>
          </cell>
          <cell r="H5716" t="str">
            <v>LAB1538</v>
          </cell>
        </row>
        <row r="5717">
          <cell r="F5717" t="str">
            <v>DA96-01462B</v>
          </cell>
          <cell r="G5717" t="str">
            <v>LABEL</v>
          </cell>
          <cell r="H5717" t="str">
            <v>LAB1537</v>
          </cell>
        </row>
        <row r="5718">
          <cell r="F5718" t="str">
            <v>DA96-01462A</v>
          </cell>
          <cell r="G5718" t="str">
            <v>LABEL</v>
          </cell>
          <cell r="H5718" t="str">
            <v>LAB1536</v>
          </cell>
        </row>
        <row r="5719">
          <cell r="F5719" t="str">
            <v>DA96-01461A</v>
          </cell>
          <cell r="G5719" t="str">
            <v>LABEL</v>
          </cell>
          <cell r="H5719" t="str">
            <v>LAB1535</v>
          </cell>
        </row>
        <row r="5720">
          <cell r="F5720" t="str">
            <v>LABEL(DRYER)</v>
          </cell>
          <cell r="G5720" t="str">
            <v>LABEL</v>
          </cell>
          <cell r="H5720" t="str">
            <v>LAB1534</v>
          </cell>
        </row>
        <row r="5721">
          <cell r="F5721" t="str">
            <v>LABEL(WASHER)</v>
          </cell>
          <cell r="G5721" t="str">
            <v>LABEL</v>
          </cell>
          <cell r="H5721" t="str">
            <v>LAB1533</v>
          </cell>
        </row>
        <row r="5722">
          <cell r="F5722" t="str">
            <v>DA96-00406A(QR)</v>
          </cell>
          <cell r="G5722" t="str">
            <v>LABEL</v>
          </cell>
          <cell r="H5722" t="str">
            <v>LAB1532</v>
          </cell>
        </row>
        <row r="5723">
          <cell r="F5723" t="str">
            <v>DA96-00915A(QR)</v>
          </cell>
          <cell r="G5723" t="str">
            <v>LABEL</v>
          </cell>
          <cell r="H5723" t="str">
            <v>LAB1531</v>
          </cell>
        </row>
        <row r="5724">
          <cell r="F5724" t="str">
            <v>DA96-01468K(QR)</v>
          </cell>
          <cell r="G5724" t="str">
            <v>LABEL</v>
          </cell>
          <cell r="H5724" t="str">
            <v>LAB1530</v>
          </cell>
        </row>
        <row r="5725">
          <cell r="F5725" t="str">
            <v>DA96-01468K</v>
          </cell>
          <cell r="G5725" t="str">
            <v>LABEL</v>
          </cell>
          <cell r="H5725" t="str">
            <v>LAB1529</v>
          </cell>
        </row>
        <row r="5726">
          <cell r="F5726" t="str">
            <v>DA96-01468J(QR)</v>
          </cell>
          <cell r="G5726" t="str">
            <v>LABEL</v>
          </cell>
          <cell r="H5726" t="str">
            <v>LAB1528</v>
          </cell>
        </row>
        <row r="5727">
          <cell r="F5727" t="str">
            <v>DA96-01468J</v>
          </cell>
          <cell r="G5727" t="str">
            <v>LABEL</v>
          </cell>
          <cell r="H5727" t="str">
            <v>LAB1527</v>
          </cell>
        </row>
        <row r="5728">
          <cell r="F5728" t="str">
            <v>DA96-01468H(QR)</v>
          </cell>
          <cell r="G5728" t="str">
            <v>LABEL</v>
          </cell>
          <cell r="H5728" t="str">
            <v>LAB1526</v>
          </cell>
        </row>
        <row r="5729">
          <cell r="F5729" t="str">
            <v>DA96-01468H</v>
          </cell>
          <cell r="G5729" t="str">
            <v>LABEL</v>
          </cell>
          <cell r="H5729" t="str">
            <v>LAB1525</v>
          </cell>
        </row>
        <row r="5730">
          <cell r="F5730" t="str">
            <v>DA96-01468F(QR)</v>
          </cell>
          <cell r="G5730" t="str">
            <v>LABEL</v>
          </cell>
          <cell r="H5730" t="str">
            <v>LAB1524</v>
          </cell>
        </row>
        <row r="5731">
          <cell r="F5731" t="str">
            <v>DA96-01468F</v>
          </cell>
          <cell r="G5731" t="str">
            <v>LABEL</v>
          </cell>
          <cell r="H5731" t="str">
            <v>LAB1523</v>
          </cell>
        </row>
        <row r="5732">
          <cell r="F5732" t="str">
            <v>DA96-01468D(QR)</v>
          </cell>
          <cell r="G5732" t="str">
            <v>LABEL</v>
          </cell>
          <cell r="H5732" t="str">
            <v>LAB1522</v>
          </cell>
        </row>
        <row r="5733">
          <cell r="F5733" t="str">
            <v>DA96-01468D</v>
          </cell>
          <cell r="G5733" t="str">
            <v>LABEL</v>
          </cell>
          <cell r="H5733" t="str">
            <v>LAB1521</v>
          </cell>
        </row>
        <row r="5734">
          <cell r="F5734" t="str">
            <v>DA96-01468C(QR)</v>
          </cell>
          <cell r="G5734" t="str">
            <v>LABEL</v>
          </cell>
          <cell r="H5734" t="str">
            <v>LAB1520</v>
          </cell>
        </row>
        <row r="5735">
          <cell r="F5735" t="str">
            <v>DA96-01468C</v>
          </cell>
          <cell r="G5735" t="str">
            <v>LABEL</v>
          </cell>
          <cell r="H5735" t="str">
            <v>LAB1519</v>
          </cell>
        </row>
        <row r="5736">
          <cell r="F5736" t="str">
            <v>DA96-01468B(QR)</v>
          </cell>
          <cell r="G5736" t="str">
            <v>LABEL</v>
          </cell>
          <cell r="H5736" t="str">
            <v>LAB1518</v>
          </cell>
        </row>
        <row r="5737">
          <cell r="F5737" t="str">
            <v>DA96-01468B</v>
          </cell>
          <cell r="G5737" t="str">
            <v>LABEL</v>
          </cell>
          <cell r="H5737" t="str">
            <v>LAB1517</v>
          </cell>
        </row>
        <row r="5738">
          <cell r="F5738" t="str">
            <v>DA96-01468A(QR)</v>
          </cell>
          <cell r="G5738" t="str">
            <v>LABEL</v>
          </cell>
          <cell r="H5738" t="str">
            <v>LAB1516</v>
          </cell>
        </row>
        <row r="5739">
          <cell r="F5739" t="str">
            <v>DA96-01468A</v>
          </cell>
          <cell r="G5739" t="str">
            <v>LABEL</v>
          </cell>
          <cell r="H5739" t="str">
            <v>LAB1515</v>
          </cell>
        </row>
        <row r="5740">
          <cell r="F5740" t="str">
            <v>DA96-01459K(QR)</v>
          </cell>
          <cell r="G5740" t="str">
            <v>LABEL</v>
          </cell>
          <cell r="H5740" t="str">
            <v>LAB1514</v>
          </cell>
        </row>
        <row r="5741">
          <cell r="F5741" t="str">
            <v>DA96-01459K</v>
          </cell>
          <cell r="G5741" t="str">
            <v>LABEL</v>
          </cell>
          <cell r="H5741" t="str">
            <v>LAB1513</v>
          </cell>
        </row>
        <row r="5742">
          <cell r="F5742" t="str">
            <v>DA96-01459J(QR)</v>
          </cell>
          <cell r="G5742" t="str">
            <v>LABEL</v>
          </cell>
          <cell r="H5742" t="str">
            <v>LAB1512</v>
          </cell>
        </row>
        <row r="5743">
          <cell r="F5743" t="str">
            <v>DA96-01459J</v>
          </cell>
          <cell r="G5743" t="str">
            <v>LABEL</v>
          </cell>
          <cell r="H5743" t="str">
            <v>LAB1511</v>
          </cell>
        </row>
        <row r="5744">
          <cell r="F5744" t="str">
            <v>DA96-01459H(QR)</v>
          </cell>
          <cell r="G5744" t="str">
            <v>LABEL</v>
          </cell>
          <cell r="H5744" t="str">
            <v>LAB1510</v>
          </cell>
        </row>
        <row r="5745">
          <cell r="F5745" t="str">
            <v>DA96-01459H</v>
          </cell>
          <cell r="G5745" t="str">
            <v>LABEL</v>
          </cell>
          <cell r="H5745" t="str">
            <v>LAB1509</v>
          </cell>
        </row>
        <row r="5746">
          <cell r="F5746" t="str">
            <v>DA96-01459G(QR)</v>
          </cell>
          <cell r="G5746" t="str">
            <v>LABEL</v>
          </cell>
          <cell r="H5746" t="str">
            <v>LAB1508</v>
          </cell>
        </row>
        <row r="5747">
          <cell r="F5747" t="str">
            <v>DA96-01459G</v>
          </cell>
          <cell r="G5747" t="str">
            <v>LABEL</v>
          </cell>
          <cell r="H5747" t="str">
            <v>LAB1507</v>
          </cell>
        </row>
        <row r="5748">
          <cell r="F5748" t="str">
            <v>DA96-01459F(QR)</v>
          </cell>
          <cell r="G5748" t="str">
            <v>LABEL</v>
          </cell>
          <cell r="H5748" t="str">
            <v>LAB1506</v>
          </cell>
        </row>
        <row r="5749">
          <cell r="F5749" t="str">
            <v>DA96-01459F</v>
          </cell>
          <cell r="G5749" t="str">
            <v>LABEL</v>
          </cell>
          <cell r="H5749" t="str">
            <v>LAB1505</v>
          </cell>
        </row>
        <row r="5750">
          <cell r="F5750" t="str">
            <v>DA96-01459D(QR)</v>
          </cell>
          <cell r="G5750" t="str">
            <v>LABEL</v>
          </cell>
          <cell r="H5750" t="str">
            <v>LAB1504</v>
          </cell>
        </row>
        <row r="5751">
          <cell r="F5751" t="str">
            <v>DA96-01459D</v>
          </cell>
          <cell r="G5751" t="str">
            <v>LABEL</v>
          </cell>
          <cell r="H5751" t="str">
            <v>LAB1503</v>
          </cell>
        </row>
        <row r="5752">
          <cell r="F5752" t="str">
            <v>DA96-01459C(QR)</v>
          </cell>
          <cell r="G5752" t="str">
            <v>LABEL</v>
          </cell>
          <cell r="H5752" t="str">
            <v>LAB1502</v>
          </cell>
        </row>
        <row r="5753">
          <cell r="F5753" t="str">
            <v>DA96-01459C</v>
          </cell>
          <cell r="G5753" t="str">
            <v>LABEL</v>
          </cell>
          <cell r="H5753" t="str">
            <v>LAB1501</v>
          </cell>
        </row>
        <row r="5754">
          <cell r="F5754" t="str">
            <v>DA96-01459B(QR)</v>
          </cell>
          <cell r="G5754" t="str">
            <v>LABEL</v>
          </cell>
          <cell r="H5754" t="str">
            <v>LAB1500</v>
          </cell>
        </row>
        <row r="5755">
          <cell r="F5755" t="str">
            <v>DA96-01459B</v>
          </cell>
          <cell r="G5755" t="str">
            <v>LABEL</v>
          </cell>
          <cell r="H5755" t="str">
            <v>LAB1499</v>
          </cell>
        </row>
        <row r="5756">
          <cell r="F5756" t="str">
            <v>DA96-01459A(QR)</v>
          </cell>
          <cell r="G5756" t="str">
            <v>LABEL</v>
          </cell>
          <cell r="H5756" t="str">
            <v>LAB1498</v>
          </cell>
        </row>
        <row r="5757">
          <cell r="F5757" t="str">
            <v>DA96-01459A</v>
          </cell>
          <cell r="G5757" t="str">
            <v>LABEL</v>
          </cell>
          <cell r="H5757" t="str">
            <v>LAB1497</v>
          </cell>
        </row>
        <row r="5758">
          <cell r="F5758" t="str">
            <v>DA96-01459E(QR)</v>
          </cell>
          <cell r="G5758" t="str">
            <v>LABEL</v>
          </cell>
          <cell r="H5758" t="str">
            <v>LAB1496</v>
          </cell>
        </row>
        <row r="5759">
          <cell r="F5759" t="str">
            <v>DA96-01459E</v>
          </cell>
          <cell r="G5759" t="str">
            <v>LABEL</v>
          </cell>
          <cell r="H5759" t="str">
            <v>LAB1495</v>
          </cell>
        </row>
        <row r="5760">
          <cell r="F5760" t="str">
            <v>DA96-01468G(QR)</v>
          </cell>
          <cell r="G5760" t="str">
            <v>LABEL</v>
          </cell>
          <cell r="H5760" t="str">
            <v>LAB1494</v>
          </cell>
        </row>
        <row r="5761">
          <cell r="F5761" t="str">
            <v>DA96-01468G</v>
          </cell>
          <cell r="G5761" t="str">
            <v>LABEL</v>
          </cell>
          <cell r="H5761" t="str">
            <v>LAB1493</v>
          </cell>
        </row>
        <row r="5762">
          <cell r="F5762" t="str">
            <v>DA96-01468E(QR)</v>
          </cell>
          <cell r="G5762" t="str">
            <v>LABEL</v>
          </cell>
          <cell r="H5762" t="str">
            <v>LAB1492</v>
          </cell>
        </row>
        <row r="5763">
          <cell r="F5763" t="str">
            <v>DA96-01468E</v>
          </cell>
          <cell r="G5763" t="str">
            <v>LABEL</v>
          </cell>
          <cell r="H5763" t="str">
            <v>LAB1491</v>
          </cell>
        </row>
        <row r="5764">
          <cell r="F5764" t="str">
            <v>DA96-01369Y</v>
          </cell>
          <cell r="G5764" t="str">
            <v>LABEL</v>
          </cell>
          <cell r="H5764" t="str">
            <v>LAB1490</v>
          </cell>
        </row>
        <row r="5765">
          <cell r="F5765" t="str">
            <v>DA96-01369Y(QR)</v>
          </cell>
          <cell r="G5765" t="str">
            <v>LABEL</v>
          </cell>
          <cell r="H5765" t="str">
            <v>LAB1489</v>
          </cell>
        </row>
        <row r="5766">
          <cell r="F5766" t="str">
            <v>DA96-01369X</v>
          </cell>
          <cell r="G5766" t="str">
            <v>LABEL</v>
          </cell>
          <cell r="H5766" t="str">
            <v>LAB1488</v>
          </cell>
        </row>
        <row r="5767">
          <cell r="F5767" t="str">
            <v>DA96-01369X(QR)</v>
          </cell>
          <cell r="G5767" t="str">
            <v>LABEL</v>
          </cell>
          <cell r="H5767" t="str">
            <v>LAB1487</v>
          </cell>
        </row>
        <row r="5768">
          <cell r="F5768" t="str">
            <v>DA96-01369W</v>
          </cell>
          <cell r="G5768" t="str">
            <v>LABEL</v>
          </cell>
          <cell r="H5768" t="str">
            <v>LAB1486</v>
          </cell>
        </row>
        <row r="5769">
          <cell r="F5769" t="str">
            <v>DA96-01369W(QR)</v>
          </cell>
          <cell r="G5769" t="str">
            <v>LABEL</v>
          </cell>
          <cell r="H5769" t="str">
            <v>LAB1485</v>
          </cell>
        </row>
        <row r="5770">
          <cell r="F5770" t="str">
            <v>DA96-01369V</v>
          </cell>
          <cell r="G5770" t="str">
            <v>LABEL</v>
          </cell>
          <cell r="H5770" t="str">
            <v>LAB1484</v>
          </cell>
        </row>
        <row r="5771">
          <cell r="F5771" t="str">
            <v>DA96-01369V(QR)</v>
          </cell>
          <cell r="G5771" t="str">
            <v>LABEL</v>
          </cell>
          <cell r="H5771" t="str">
            <v>LAB1483</v>
          </cell>
        </row>
        <row r="5772">
          <cell r="F5772" t="str">
            <v>DA96-01369U</v>
          </cell>
          <cell r="G5772" t="str">
            <v>LABEL</v>
          </cell>
          <cell r="H5772" t="str">
            <v>LAB1482</v>
          </cell>
        </row>
        <row r="5773">
          <cell r="F5773" t="str">
            <v>DA96-01369U(QR)</v>
          </cell>
          <cell r="G5773" t="str">
            <v>LABEL</v>
          </cell>
          <cell r="H5773" t="str">
            <v>LAB1481</v>
          </cell>
        </row>
        <row r="5774">
          <cell r="F5774" t="str">
            <v>DA96-01369T</v>
          </cell>
          <cell r="G5774" t="str">
            <v>LABEL</v>
          </cell>
          <cell r="H5774" t="str">
            <v>LAB1480</v>
          </cell>
        </row>
        <row r="5775">
          <cell r="F5775" t="str">
            <v>DA96-01369T(QR)</v>
          </cell>
          <cell r="G5775" t="str">
            <v>LABEL</v>
          </cell>
          <cell r="H5775" t="str">
            <v>LAB1479</v>
          </cell>
        </row>
        <row r="5776">
          <cell r="F5776" t="str">
            <v>DA96-01369S</v>
          </cell>
          <cell r="G5776" t="str">
            <v>LABEL</v>
          </cell>
          <cell r="H5776" t="str">
            <v>LAB1478</v>
          </cell>
        </row>
        <row r="5777">
          <cell r="F5777" t="str">
            <v>DA96-01369S(QR)</v>
          </cell>
          <cell r="G5777" t="str">
            <v>LABEL</v>
          </cell>
          <cell r="H5777" t="str">
            <v>LAB1477</v>
          </cell>
        </row>
        <row r="5778">
          <cell r="F5778" t="str">
            <v>DA96-01369R(QR)</v>
          </cell>
          <cell r="G5778" t="str">
            <v>LABEL</v>
          </cell>
          <cell r="H5778" t="str">
            <v>LAB1476</v>
          </cell>
        </row>
        <row r="5779">
          <cell r="F5779" t="str">
            <v>DA96-01369R</v>
          </cell>
          <cell r="G5779" t="str">
            <v>LABEL</v>
          </cell>
          <cell r="H5779" t="str">
            <v>LAB1475</v>
          </cell>
        </row>
        <row r="5780">
          <cell r="F5780" t="str">
            <v>DC93-00898D(QR)</v>
          </cell>
          <cell r="G5780" t="str">
            <v>LABEL</v>
          </cell>
          <cell r="H5780" t="str">
            <v>LAB1474</v>
          </cell>
        </row>
        <row r="5781">
          <cell r="F5781" t="str">
            <v>DC93-00898C(QR)</v>
          </cell>
          <cell r="G5781" t="str">
            <v>LABEL</v>
          </cell>
          <cell r="H5781" t="str">
            <v>LAB1473</v>
          </cell>
        </row>
        <row r="5782">
          <cell r="F5782" t="str">
            <v>DC93-00898B(QR)</v>
          </cell>
          <cell r="G5782" t="str">
            <v>LABEL</v>
          </cell>
          <cell r="H5782" t="str">
            <v>LAB1472</v>
          </cell>
        </row>
        <row r="5783">
          <cell r="F5783" t="str">
            <v>DC93-00898A(QR)</v>
          </cell>
          <cell r="G5783" t="str">
            <v>LABEL</v>
          </cell>
          <cell r="H5783" t="str">
            <v>LAB1471</v>
          </cell>
        </row>
        <row r="5784">
          <cell r="F5784" t="str">
            <v>18X18 ART(QR)</v>
          </cell>
          <cell r="G5784" t="str">
            <v>LABEL</v>
          </cell>
          <cell r="H5784" t="str">
            <v>LAB1470</v>
          </cell>
        </row>
        <row r="5785">
          <cell r="F5785" t="str">
            <v>DA96-01348N</v>
          </cell>
          <cell r="G5785" t="str">
            <v>LABEL</v>
          </cell>
          <cell r="H5785" t="str">
            <v>LAB1468</v>
          </cell>
        </row>
        <row r="5786">
          <cell r="F5786" t="str">
            <v>DA96-01348N(QR)</v>
          </cell>
          <cell r="G5786" t="str">
            <v>LABEL</v>
          </cell>
          <cell r="H5786" t="str">
            <v>LAB1467</v>
          </cell>
        </row>
        <row r="5787">
          <cell r="F5787" t="str">
            <v>DA96-01141L(QR)</v>
          </cell>
          <cell r="G5787" t="str">
            <v>LABEL</v>
          </cell>
          <cell r="H5787" t="str">
            <v>LAB1466</v>
          </cell>
        </row>
        <row r="5788">
          <cell r="F5788" t="str">
            <v>DA96-01141R(QR)</v>
          </cell>
          <cell r="G5788" t="str">
            <v>LABEL</v>
          </cell>
          <cell r="H5788" t="str">
            <v>LAB1465</v>
          </cell>
        </row>
        <row r="5789">
          <cell r="F5789" t="str">
            <v>DA96-01421B</v>
          </cell>
          <cell r="G5789" t="str">
            <v>LABEL</v>
          </cell>
          <cell r="H5789" t="str">
            <v>LAB1464</v>
          </cell>
        </row>
        <row r="5790">
          <cell r="F5790" t="str">
            <v>DA96-01421A</v>
          </cell>
          <cell r="G5790" t="str">
            <v>LABEL</v>
          </cell>
          <cell r="H5790" t="str">
            <v>LAB1463</v>
          </cell>
        </row>
        <row r="5791">
          <cell r="F5791" t="str">
            <v>DA96-01450A</v>
          </cell>
          <cell r="G5791" t="str">
            <v>LABEL</v>
          </cell>
          <cell r="H5791" t="str">
            <v>LAB1462</v>
          </cell>
        </row>
        <row r="5792">
          <cell r="F5792" t="str">
            <v>DA96-01451D</v>
          </cell>
          <cell r="G5792" t="str">
            <v>LABEL</v>
          </cell>
          <cell r="H5792" t="str">
            <v>LAB1461</v>
          </cell>
        </row>
        <row r="5793">
          <cell r="F5793" t="str">
            <v>DA96-01451C</v>
          </cell>
          <cell r="G5793" t="str">
            <v>LABEL</v>
          </cell>
          <cell r="H5793" t="str">
            <v>LAB1460</v>
          </cell>
        </row>
        <row r="5794">
          <cell r="F5794" t="str">
            <v>DA96-01451B</v>
          </cell>
          <cell r="G5794" t="str">
            <v>LABEL</v>
          </cell>
          <cell r="H5794" t="str">
            <v>LAB1459</v>
          </cell>
        </row>
        <row r="5795">
          <cell r="F5795" t="str">
            <v>DA96-01451A</v>
          </cell>
          <cell r="G5795" t="str">
            <v>LABEL</v>
          </cell>
          <cell r="H5795" t="str">
            <v>LAB1458</v>
          </cell>
        </row>
        <row r="5796">
          <cell r="F5796" t="str">
            <v>DA96-01415K</v>
          </cell>
          <cell r="G5796" t="str">
            <v>LABEL</v>
          </cell>
          <cell r="H5796" t="str">
            <v>LAB1457</v>
          </cell>
        </row>
        <row r="5797">
          <cell r="F5797" t="str">
            <v>DC93-00861E(QR)</v>
          </cell>
          <cell r="G5797" t="str">
            <v>LABEL</v>
          </cell>
          <cell r="H5797" t="str">
            <v>LAB1456</v>
          </cell>
        </row>
        <row r="5798">
          <cell r="F5798" t="str">
            <v>DA96-01350C(QR)</v>
          </cell>
          <cell r="G5798" t="str">
            <v>LABEL</v>
          </cell>
          <cell r="H5798" t="str">
            <v>LAB1455</v>
          </cell>
        </row>
        <row r="5799">
          <cell r="F5799" t="str">
            <v>DA96-01350C</v>
          </cell>
          <cell r="G5799" t="str">
            <v>LABEL</v>
          </cell>
          <cell r="H5799" t="str">
            <v>LAB1454</v>
          </cell>
        </row>
        <row r="5800">
          <cell r="F5800" t="str">
            <v>DA96-01449D(QR)</v>
          </cell>
          <cell r="G5800" t="str">
            <v>LABEL</v>
          </cell>
          <cell r="H5800" t="str">
            <v>LAB1453</v>
          </cell>
        </row>
        <row r="5801">
          <cell r="F5801" t="str">
            <v>DA96-01449C(QR)</v>
          </cell>
          <cell r="G5801" t="str">
            <v>LABEL</v>
          </cell>
          <cell r="H5801" t="str">
            <v>LAB1452</v>
          </cell>
        </row>
        <row r="5802">
          <cell r="F5802" t="str">
            <v>DA96-01449B(QR)</v>
          </cell>
          <cell r="G5802" t="str">
            <v>LABEL</v>
          </cell>
          <cell r="H5802" t="str">
            <v>LAB1451</v>
          </cell>
        </row>
        <row r="5803">
          <cell r="F5803" t="str">
            <v>DA96-01449A(QR)</v>
          </cell>
          <cell r="G5803" t="str">
            <v>LABEL</v>
          </cell>
          <cell r="H5803" t="str">
            <v>LAB1450</v>
          </cell>
        </row>
        <row r="5804">
          <cell r="F5804" t="str">
            <v>DA96-01448B(QR)</v>
          </cell>
          <cell r="G5804" t="str">
            <v>LABEL</v>
          </cell>
          <cell r="H5804" t="str">
            <v>LAB1449</v>
          </cell>
        </row>
        <row r="5805">
          <cell r="F5805" t="str">
            <v>DA96-01448A(QR)</v>
          </cell>
          <cell r="G5805" t="str">
            <v>LABEL</v>
          </cell>
          <cell r="H5805" t="str">
            <v>LAB1448</v>
          </cell>
        </row>
        <row r="5806">
          <cell r="F5806" t="str">
            <v>DA96-01449D</v>
          </cell>
          <cell r="G5806" t="str">
            <v>LABEL</v>
          </cell>
          <cell r="H5806" t="str">
            <v>LAB1447</v>
          </cell>
        </row>
        <row r="5807">
          <cell r="F5807" t="str">
            <v>DA96-01449C</v>
          </cell>
          <cell r="G5807" t="str">
            <v>LABEL</v>
          </cell>
          <cell r="H5807" t="str">
            <v>LAB1446</v>
          </cell>
        </row>
        <row r="5808">
          <cell r="F5808" t="str">
            <v>DA96-01449B</v>
          </cell>
          <cell r="G5808" t="str">
            <v>LABEL</v>
          </cell>
          <cell r="H5808" t="str">
            <v>LAB1445</v>
          </cell>
        </row>
        <row r="5809">
          <cell r="F5809" t="str">
            <v>DA96-01449A</v>
          </cell>
          <cell r="G5809" t="str">
            <v>LABEL</v>
          </cell>
          <cell r="H5809" t="str">
            <v>LAB1444</v>
          </cell>
        </row>
        <row r="5810">
          <cell r="F5810" t="str">
            <v>DA96-01448B</v>
          </cell>
          <cell r="G5810" t="str">
            <v>LABEL</v>
          </cell>
          <cell r="H5810" t="str">
            <v>LAB1443</v>
          </cell>
        </row>
        <row r="5811">
          <cell r="F5811" t="str">
            <v>DA96-01448A</v>
          </cell>
          <cell r="G5811" t="str">
            <v>LABEL</v>
          </cell>
          <cell r="H5811" t="str">
            <v>LAB1442</v>
          </cell>
        </row>
        <row r="5812">
          <cell r="F5812" t="str">
            <v>CE Bending Label(60M,Hanwha,25x90)</v>
          </cell>
          <cell r="G5812" t="str">
            <v>LABEL</v>
          </cell>
          <cell r="H5812" t="str">
            <v>LAB1441</v>
          </cell>
        </row>
        <row r="5813">
          <cell r="F5813" t="str">
            <v>DA96-01348L</v>
          </cell>
          <cell r="G5813" t="str">
            <v>LABEL</v>
          </cell>
          <cell r="H5813" t="str">
            <v>LAB1440</v>
          </cell>
        </row>
        <row r="5814">
          <cell r="F5814" t="str">
            <v>DA96-01348L(QR)</v>
          </cell>
          <cell r="G5814" t="str">
            <v>LABEL</v>
          </cell>
          <cell r="H5814" t="str">
            <v>LAB1439</v>
          </cell>
        </row>
        <row r="5815">
          <cell r="F5815" t="str">
            <v>CE Color length label(9M,Hanwha,30X50)</v>
          </cell>
          <cell r="G5815" t="str">
            <v>LABEL</v>
          </cell>
          <cell r="H5815" t="str">
            <v>LAB1438</v>
          </cell>
        </row>
        <row r="5816">
          <cell r="F5816" t="str">
            <v>CE Color length label(70M,Hanwha,30X50)</v>
          </cell>
          <cell r="G5816" t="str">
            <v>LABEL</v>
          </cell>
          <cell r="H5816" t="str">
            <v>LAB1437</v>
          </cell>
        </row>
        <row r="5817">
          <cell r="F5817" t="str">
            <v>DC93-00786D(QR)</v>
          </cell>
          <cell r="G5817" t="str">
            <v>LABEL</v>
          </cell>
          <cell r="H5817" t="str">
            <v>LAB1436</v>
          </cell>
        </row>
        <row r="5818">
          <cell r="F5818" t="str">
            <v>DC93-00788D(QR)</v>
          </cell>
          <cell r="G5818" t="str">
            <v>LABEL</v>
          </cell>
          <cell r="H5818" t="str">
            <v>LAB1435</v>
          </cell>
        </row>
        <row r="5819">
          <cell r="F5819" t="str">
            <v>DC93-00788C(QR)</v>
          </cell>
          <cell r="G5819" t="str">
            <v>LABEL</v>
          </cell>
          <cell r="H5819" t="str">
            <v>LAB1434</v>
          </cell>
        </row>
        <row r="5820">
          <cell r="F5820" t="str">
            <v>DC93-00787H(QR)</v>
          </cell>
          <cell r="G5820" t="str">
            <v>LABEL</v>
          </cell>
          <cell r="H5820" t="str">
            <v>LAB1433</v>
          </cell>
        </row>
        <row r="5821">
          <cell r="F5821" t="str">
            <v>DC93-00787G(QR)</v>
          </cell>
          <cell r="G5821" t="str">
            <v>LABEL</v>
          </cell>
          <cell r="H5821" t="str">
            <v>LAB1432</v>
          </cell>
        </row>
        <row r="5822">
          <cell r="F5822" t="str">
            <v>DC93-00786F(QR)</v>
          </cell>
          <cell r="G5822" t="str">
            <v>LABEL</v>
          </cell>
          <cell r="H5822" t="str">
            <v>LAB1431</v>
          </cell>
        </row>
        <row r="5823">
          <cell r="F5823" t="str">
            <v>DC93-00786E(QR)</v>
          </cell>
          <cell r="G5823" t="str">
            <v>LABEL</v>
          </cell>
          <cell r="H5823" t="str">
            <v>LAB1430</v>
          </cell>
        </row>
        <row r="5824">
          <cell r="F5824" t="str">
            <v>DA96-01348M(QR)</v>
          </cell>
          <cell r="G5824" t="str">
            <v>LABEL</v>
          </cell>
          <cell r="H5824" t="str">
            <v>LAB1429</v>
          </cell>
        </row>
        <row r="5825">
          <cell r="F5825" t="str">
            <v>DA96-01348K(QR)</v>
          </cell>
          <cell r="G5825" t="str">
            <v>LABEL</v>
          </cell>
          <cell r="H5825" t="str">
            <v>LAB1428</v>
          </cell>
        </row>
        <row r="5826">
          <cell r="F5826" t="str">
            <v>DA96-01348J(QR)</v>
          </cell>
          <cell r="G5826" t="str">
            <v>LABEL</v>
          </cell>
          <cell r="H5826" t="str">
            <v>LAB1427</v>
          </cell>
        </row>
        <row r="5827">
          <cell r="F5827" t="str">
            <v>DA96-01348H(QR)</v>
          </cell>
          <cell r="G5827" t="str">
            <v>LABEL</v>
          </cell>
          <cell r="H5827" t="str">
            <v>LAB1426</v>
          </cell>
        </row>
        <row r="5828">
          <cell r="F5828" t="str">
            <v>DA96-01348G(QR)</v>
          </cell>
          <cell r="G5828" t="str">
            <v>LABEL</v>
          </cell>
          <cell r="H5828" t="str">
            <v>LAB1425</v>
          </cell>
        </row>
        <row r="5829">
          <cell r="F5829" t="str">
            <v>DA96-01348F(QR)</v>
          </cell>
          <cell r="G5829" t="str">
            <v>LABEL</v>
          </cell>
          <cell r="H5829" t="str">
            <v>LAB1424</v>
          </cell>
        </row>
        <row r="5830">
          <cell r="F5830" t="str">
            <v>DA96-01348E(QR)</v>
          </cell>
          <cell r="G5830" t="str">
            <v>LABEL</v>
          </cell>
          <cell r="H5830" t="str">
            <v>LAB1423</v>
          </cell>
        </row>
        <row r="5831">
          <cell r="F5831" t="str">
            <v>DA96-01348D(QR)</v>
          </cell>
          <cell r="G5831" t="str">
            <v>LABEL</v>
          </cell>
          <cell r="H5831" t="str">
            <v>LAB1422</v>
          </cell>
        </row>
        <row r="5832">
          <cell r="F5832" t="str">
            <v>DA96-01348C(QR)</v>
          </cell>
          <cell r="G5832" t="str">
            <v>LABEL</v>
          </cell>
          <cell r="H5832" t="str">
            <v>LAB1421</v>
          </cell>
        </row>
        <row r="5833">
          <cell r="F5833" t="str">
            <v>DA96-01348B(QR)</v>
          </cell>
          <cell r="G5833" t="str">
            <v>LABEL</v>
          </cell>
          <cell r="H5833" t="str">
            <v>LAB1420</v>
          </cell>
        </row>
        <row r="5834">
          <cell r="F5834" t="str">
            <v>DA96-01348A(QR)</v>
          </cell>
          <cell r="G5834" t="str">
            <v>LABEL</v>
          </cell>
          <cell r="H5834" t="str">
            <v>LAB1419</v>
          </cell>
        </row>
        <row r="5835">
          <cell r="F5835" t="str">
            <v>DA96-01348M</v>
          </cell>
          <cell r="G5835" t="str">
            <v>LABEL</v>
          </cell>
          <cell r="H5835" t="str">
            <v>LAB1418</v>
          </cell>
        </row>
        <row r="5836">
          <cell r="F5836" t="str">
            <v>DA96-01348K</v>
          </cell>
          <cell r="G5836" t="str">
            <v>LABEL</v>
          </cell>
          <cell r="H5836" t="str">
            <v>LAB1417</v>
          </cell>
        </row>
        <row r="5837">
          <cell r="F5837" t="str">
            <v>DA96-01348J</v>
          </cell>
          <cell r="G5837" t="str">
            <v>LABEL</v>
          </cell>
          <cell r="H5837" t="str">
            <v>LAB1416</v>
          </cell>
        </row>
        <row r="5838">
          <cell r="F5838" t="str">
            <v>DA96-01348H</v>
          </cell>
          <cell r="G5838" t="str">
            <v>LABEL</v>
          </cell>
          <cell r="H5838" t="str">
            <v>LAB1415</v>
          </cell>
        </row>
        <row r="5839">
          <cell r="F5839" t="str">
            <v>DA96-01415J</v>
          </cell>
          <cell r="G5839" t="str">
            <v>LABEL</v>
          </cell>
          <cell r="H5839" t="str">
            <v>LAB1414</v>
          </cell>
        </row>
        <row r="5840">
          <cell r="F5840" t="str">
            <v>DA96-01351D(QR)</v>
          </cell>
          <cell r="G5840" t="str">
            <v>LABEL</v>
          </cell>
          <cell r="H5840" t="str">
            <v>LAB1413</v>
          </cell>
        </row>
        <row r="5841">
          <cell r="F5841" t="str">
            <v>DA96-01369Q(QR)</v>
          </cell>
          <cell r="G5841" t="str">
            <v>LABEL</v>
          </cell>
          <cell r="H5841" t="str">
            <v>LAB1412</v>
          </cell>
        </row>
        <row r="5842">
          <cell r="F5842" t="str">
            <v>DA96-01369P(QR)</v>
          </cell>
          <cell r="G5842" t="str">
            <v>LABEL</v>
          </cell>
          <cell r="H5842" t="str">
            <v>LAB1411</v>
          </cell>
        </row>
        <row r="5843">
          <cell r="F5843" t="str">
            <v>DA96-01369M(QR)</v>
          </cell>
          <cell r="G5843" t="str">
            <v>LABEL</v>
          </cell>
          <cell r="H5843" t="str">
            <v>LAB1410</v>
          </cell>
        </row>
        <row r="5844">
          <cell r="F5844" t="str">
            <v>DA96-01369L(QR)</v>
          </cell>
          <cell r="G5844" t="str">
            <v>LABEL</v>
          </cell>
          <cell r="H5844" t="str">
            <v>LAB1409</v>
          </cell>
        </row>
        <row r="5845">
          <cell r="F5845" t="str">
            <v>DA96-01369K(QR)</v>
          </cell>
          <cell r="G5845" t="str">
            <v>LABEL</v>
          </cell>
          <cell r="H5845" t="str">
            <v>LAB1408</v>
          </cell>
        </row>
        <row r="5846">
          <cell r="F5846" t="str">
            <v>DA96-01352F(QR)</v>
          </cell>
          <cell r="G5846" t="str">
            <v>LABEL</v>
          </cell>
          <cell r="H5846" t="str">
            <v>LAB1407</v>
          </cell>
        </row>
        <row r="5847">
          <cell r="F5847" t="str">
            <v>DA96-01352E(QR)</v>
          </cell>
          <cell r="G5847" t="str">
            <v>LABEL</v>
          </cell>
          <cell r="H5847" t="str">
            <v>LAB1406</v>
          </cell>
        </row>
        <row r="5848">
          <cell r="F5848" t="str">
            <v>DA96-01352D(QR)</v>
          </cell>
          <cell r="G5848" t="str">
            <v>LABEL</v>
          </cell>
          <cell r="H5848" t="str">
            <v>LAB1405</v>
          </cell>
        </row>
        <row r="5849">
          <cell r="F5849" t="str">
            <v>DA96-01352C(QR)</v>
          </cell>
          <cell r="G5849" t="str">
            <v>LABEL</v>
          </cell>
          <cell r="H5849" t="str">
            <v>LAB1404</v>
          </cell>
        </row>
        <row r="5850">
          <cell r="F5850" t="str">
            <v>DA96-01352B(QR)</v>
          </cell>
          <cell r="G5850" t="str">
            <v>LABEL</v>
          </cell>
          <cell r="H5850" t="str">
            <v>LAB1403</v>
          </cell>
        </row>
        <row r="5851">
          <cell r="F5851" t="str">
            <v>DA96-01352A(QR)</v>
          </cell>
          <cell r="G5851" t="str">
            <v>LABEL</v>
          </cell>
          <cell r="H5851" t="str">
            <v>LAB1402</v>
          </cell>
        </row>
        <row r="5852">
          <cell r="F5852" t="str">
            <v>DA96-01351E(QR)</v>
          </cell>
          <cell r="G5852" t="str">
            <v>LABEL</v>
          </cell>
          <cell r="H5852" t="str">
            <v>LAB1401</v>
          </cell>
        </row>
        <row r="5853">
          <cell r="F5853" t="str">
            <v>DA96-01351C(QR)</v>
          </cell>
          <cell r="G5853" t="str">
            <v>LABEL</v>
          </cell>
          <cell r="H5853" t="str">
            <v>LAB1400</v>
          </cell>
        </row>
        <row r="5854">
          <cell r="F5854" t="str">
            <v>DA96-01351B(QR)</v>
          </cell>
          <cell r="G5854" t="str">
            <v>LABEL</v>
          </cell>
          <cell r="H5854" t="str">
            <v>LAB1399</v>
          </cell>
        </row>
        <row r="5855">
          <cell r="F5855" t="str">
            <v>DA96-01351A(QR)</v>
          </cell>
          <cell r="G5855" t="str">
            <v>LABEL</v>
          </cell>
          <cell r="H5855" t="str">
            <v>LAB1398</v>
          </cell>
        </row>
        <row r="5856">
          <cell r="F5856" t="str">
            <v>DA96-01350B(QR)</v>
          </cell>
          <cell r="G5856" t="str">
            <v>LABEL</v>
          </cell>
          <cell r="H5856" t="str">
            <v>LAB1397</v>
          </cell>
        </row>
        <row r="5857">
          <cell r="F5857" t="str">
            <v>DA96-01350A(QR)</v>
          </cell>
          <cell r="G5857" t="str">
            <v>LABEL</v>
          </cell>
          <cell r="H5857" t="str">
            <v>LAB1396</v>
          </cell>
        </row>
        <row r="5858">
          <cell r="F5858" t="str">
            <v>DA96-01235D(QR)</v>
          </cell>
          <cell r="G5858" t="str">
            <v>LABEL</v>
          </cell>
          <cell r="H5858" t="str">
            <v>LAB1395</v>
          </cell>
        </row>
        <row r="5859">
          <cell r="F5859" t="str">
            <v>DA96-01235C(QR)</v>
          </cell>
          <cell r="G5859" t="str">
            <v>LABEL</v>
          </cell>
          <cell r="H5859" t="str">
            <v>LAB1394</v>
          </cell>
        </row>
        <row r="5860">
          <cell r="F5860" t="str">
            <v>DA96-01235B(QR)</v>
          </cell>
          <cell r="G5860" t="str">
            <v>LABEL</v>
          </cell>
          <cell r="H5860" t="str">
            <v>LAB1393</v>
          </cell>
        </row>
        <row r="5861">
          <cell r="F5861" t="str">
            <v>DA96-01235A(QR)</v>
          </cell>
          <cell r="G5861" t="str">
            <v>LABEL</v>
          </cell>
          <cell r="H5861" t="str">
            <v>LAB1392</v>
          </cell>
        </row>
        <row r="5862">
          <cell r="F5862" t="str">
            <v>DA96-01179E(QR)</v>
          </cell>
          <cell r="G5862" t="str">
            <v>LABEL</v>
          </cell>
          <cell r="H5862" t="str">
            <v>LAB1391</v>
          </cell>
        </row>
        <row r="5863">
          <cell r="F5863" t="str">
            <v>DA96-01179A(QR)</v>
          </cell>
          <cell r="G5863" t="str">
            <v>LABEL</v>
          </cell>
          <cell r="H5863" t="str">
            <v>LAB1390</v>
          </cell>
        </row>
        <row r="5864">
          <cell r="F5864" t="str">
            <v>DA96-01171B(QR)</v>
          </cell>
          <cell r="G5864" t="str">
            <v>LABEL</v>
          </cell>
          <cell r="H5864" t="str">
            <v>LAB1389</v>
          </cell>
        </row>
        <row r="5865">
          <cell r="F5865" t="str">
            <v>DA96-01171A(QR)</v>
          </cell>
          <cell r="G5865" t="str">
            <v>LABEL</v>
          </cell>
          <cell r="H5865" t="str">
            <v>LAB1388</v>
          </cell>
        </row>
        <row r="5866">
          <cell r="F5866" t="str">
            <v>DA96-01141Q(QR)</v>
          </cell>
          <cell r="G5866" t="str">
            <v>LABEL</v>
          </cell>
          <cell r="H5866" t="str">
            <v>LAB1387</v>
          </cell>
        </row>
        <row r="5867">
          <cell r="F5867" t="str">
            <v>DA96-01141P(QR)</v>
          </cell>
          <cell r="G5867" t="str">
            <v>LABEL</v>
          </cell>
          <cell r="H5867" t="str">
            <v>LAB1386</v>
          </cell>
        </row>
        <row r="5868">
          <cell r="F5868" t="str">
            <v>DA96-01141K(QR)</v>
          </cell>
          <cell r="G5868" t="str">
            <v>LABEL</v>
          </cell>
          <cell r="H5868" t="str">
            <v>LAB1385</v>
          </cell>
        </row>
        <row r="5869">
          <cell r="F5869" t="str">
            <v>DA96-01141J(QR)</v>
          </cell>
          <cell r="G5869" t="str">
            <v>LABEL</v>
          </cell>
          <cell r="H5869" t="str">
            <v>LAB1384</v>
          </cell>
        </row>
        <row r="5870">
          <cell r="F5870" t="str">
            <v>DA96-01141H(QR)</v>
          </cell>
          <cell r="G5870" t="str">
            <v>LABEL</v>
          </cell>
          <cell r="H5870" t="str">
            <v>LAB1383</v>
          </cell>
        </row>
        <row r="5871">
          <cell r="F5871" t="str">
            <v>DA96-01141F(QR)</v>
          </cell>
          <cell r="G5871" t="str">
            <v>LABEL</v>
          </cell>
          <cell r="H5871" t="str">
            <v>LAB1382</v>
          </cell>
        </row>
        <row r="5872">
          <cell r="F5872" t="str">
            <v>DA96-01141E(QR)</v>
          </cell>
          <cell r="G5872" t="str">
            <v>LABEL</v>
          </cell>
          <cell r="H5872" t="str">
            <v>LAB1381</v>
          </cell>
        </row>
        <row r="5873">
          <cell r="F5873" t="str">
            <v>DA96-01141B(QR)</v>
          </cell>
          <cell r="G5873" t="str">
            <v>LABEL</v>
          </cell>
          <cell r="H5873" t="str">
            <v>LAB1380</v>
          </cell>
        </row>
        <row r="5874">
          <cell r="F5874" t="str">
            <v>DA96-01120N(QR)</v>
          </cell>
          <cell r="G5874" t="str">
            <v>LABEL</v>
          </cell>
          <cell r="H5874" t="str">
            <v>LAB1379</v>
          </cell>
        </row>
        <row r="5875">
          <cell r="F5875" t="str">
            <v>DA96-01120M(QR)</v>
          </cell>
          <cell r="G5875" t="str">
            <v>LABEL</v>
          </cell>
          <cell r="H5875" t="str">
            <v>LAB1378</v>
          </cell>
        </row>
        <row r="5876">
          <cell r="F5876" t="str">
            <v>DA96-01120L(QR)</v>
          </cell>
          <cell r="G5876" t="str">
            <v>LABEL</v>
          </cell>
          <cell r="H5876" t="str">
            <v>LAB1377</v>
          </cell>
        </row>
        <row r="5877">
          <cell r="F5877" t="str">
            <v>DA96-01120K(QR)</v>
          </cell>
          <cell r="G5877" t="str">
            <v>LABEL</v>
          </cell>
          <cell r="H5877" t="str">
            <v>LAB1376</v>
          </cell>
        </row>
        <row r="5878">
          <cell r="F5878" t="str">
            <v>DA96-01120H(QR)</v>
          </cell>
          <cell r="G5878" t="str">
            <v>LABEL</v>
          </cell>
          <cell r="H5878" t="str">
            <v>LAB1375</v>
          </cell>
        </row>
        <row r="5879">
          <cell r="F5879" t="str">
            <v>DA96-01120E(QR)</v>
          </cell>
          <cell r="G5879" t="str">
            <v>LABEL</v>
          </cell>
          <cell r="H5879" t="str">
            <v>LAB1374</v>
          </cell>
        </row>
        <row r="5880">
          <cell r="F5880" t="str">
            <v>DA96-01120D(QR)</v>
          </cell>
          <cell r="G5880" t="str">
            <v>LABEL</v>
          </cell>
          <cell r="H5880" t="str">
            <v>LAB1373</v>
          </cell>
        </row>
        <row r="5881">
          <cell r="F5881" t="str">
            <v>DA96-01133A(QR)</v>
          </cell>
          <cell r="G5881" t="str">
            <v>LABEL</v>
          </cell>
          <cell r="H5881" t="str">
            <v>LAB1372</v>
          </cell>
        </row>
        <row r="5882">
          <cell r="F5882" t="str">
            <v>DA96-01079M(QR)</v>
          </cell>
          <cell r="G5882" t="str">
            <v>LABEL</v>
          </cell>
          <cell r="H5882" t="str">
            <v>LAB1371</v>
          </cell>
        </row>
        <row r="5883">
          <cell r="F5883" t="str">
            <v>DA96-01079A(QR)</v>
          </cell>
          <cell r="G5883" t="str">
            <v>LABEL</v>
          </cell>
          <cell r="H5883" t="str">
            <v>LAB1370</v>
          </cell>
        </row>
        <row r="5884">
          <cell r="F5884" t="str">
            <v>DA96-01022A(QR)</v>
          </cell>
          <cell r="G5884" t="str">
            <v>LABEL</v>
          </cell>
          <cell r="H5884" t="str">
            <v>LAB1369</v>
          </cell>
        </row>
        <row r="5885">
          <cell r="F5885" t="str">
            <v>DC93-00861D(QR)</v>
          </cell>
          <cell r="G5885" t="str">
            <v>LABEL</v>
          </cell>
          <cell r="H5885" t="str">
            <v>LAB1368</v>
          </cell>
        </row>
        <row r="5886">
          <cell r="F5886" t="str">
            <v>CE Color length label(80M,Hanwha,30X50)</v>
          </cell>
          <cell r="G5886" t="str">
            <v>LABEL</v>
          </cell>
          <cell r="H5886" t="str">
            <v>LAB1367</v>
          </cell>
        </row>
        <row r="5887">
          <cell r="F5887" t="str">
            <v>CE Color length label(60M,Hanwha,30X50)</v>
          </cell>
          <cell r="G5887" t="str">
            <v>LABEL</v>
          </cell>
          <cell r="H5887" t="str">
            <v>LAB1366</v>
          </cell>
        </row>
        <row r="5888">
          <cell r="F5888" t="str">
            <v>DA96-01206J</v>
          </cell>
          <cell r="G5888" t="str">
            <v>LABEL</v>
          </cell>
          <cell r="H5888" t="str">
            <v>LAB1365</v>
          </cell>
        </row>
        <row r="5889">
          <cell r="F5889" t="str">
            <v>DA96-01206H</v>
          </cell>
          <cell r="G5889" t="str">
            <v>LABEL</v>
          </cell>
          <cell r="H5889" t="str">
            <v>LAB1364</v>
          </cell>
        </row>
        <row r="5890">
          <cell r="F5890" t="str">
            <v>DC93-00530D(QR)</v>
          </cell>
          <cell r="G5890" t="str">
            <v>LABEL</v>
          </cell>
          <cell r="H5890" t="str">
            <v>LAB1363</v>
          </cell>
        </row>
        <row r="5891">
          <cell r="F5891" t="str">
            <v>DA96-01415H</v>
          </cell>
          <cell r="G5891" t="str">
            <v>LABEL</v>
          </cell>
          <cell r="H5891" t="str">
            <v>LAB1362</v>
          </cell>
        </row>
        <row r="5892">
          <cell r="F5892" t="str">
            <v>DA96-01415G</v>
          </cell>
          <cell r="G5892" t="str">
            <v>LABEL</v>
          </cell>
          <cell r="H5892" t="str">
            <v>LAB1361</v>
          </cell>
        </row>
        <row r="5893">
          <cell r="F5893" t="str">
            <v>DA96-01415F</v>
          </cell>
          <cell r="G5893" t="str">
            <v>LABEL</v>
          </cell>
          <cell r="H5893" t="str">
            <v>LAB1360</v>
          </cell>
        </row>
        <row r="5894">
          <cell r="F5894" t="str">
            <v>DA96-01415E</v>
          </cell>
          <cell r="G5894" t="str">
            <v>LABEL</v>
          </cell>
          <cell r="H5894" t="str">
            <v>LAB1359</v>
          </cell>
        </row>
        <row r="5895">
          <cell r="F5895" t="str">
            <v>DA96-01415D</v>
          </cell>
          <cell r="G5895" t="str">
            <v>LABEL</v>
          </cell>
          <cell r="H5895" t="str">
            <v>LAB1358</v>
          </cell>
        </row>
        <row r="5896">
          <cell r="F5896" t="str">
            <v>DA96-01415C</v>
          </cell>
          <cell r="G5896" t="str">
            <v>LABEL</v>
          </cell>
          <cell r="H5896" t="str">
            <v>LAB1357</v>
          </cell>
        </row>
        <row r="5897">
          <cell r="F5897" t="str">
            <v>DA96-01415B</v>
          </cell>
          <cell r="G5897" t="str">
            <v>LABEL</v>
          </cell>
          <cell r="H5897" t="str">
            <v>LAB1356</v>
          </cell>
        </row>
        <row r="5898">
          <cell r="F5898" t="str">
            <v>DA96-01415A</v>
          </cell>
          <cell r="G5898" t="str">
            <v>LABEL</v>
          </cell>
          <cell r="H5898" t="str">
            <v>LAB1355</v>
          </cell>
        </row>
        <row r="5899">
          <cell r="F5899" t="str">
            <v>DC93-00530B(QR)</v>
          </cell>
          <cell r="G5899" t="str">
            <v>LABEL</v>
          </cell>
          <cell r="H5899" t="str">
            <v>LAB1354</v>
          </cell>
        </row>
        <row r="5900">
          <cell r="F5900" t="str">
            <v>DC93-00530A(QR)</v>
          </cell>
          <cell r="G5900" t="str">
            <v>LABEL</v>
          </cell>
          <cell r="H5900" t="str">
            <v>LAB1353</v>
          </cell>
        </row>
        <row r="5901">
          <cell r="F5901" t="str">
            <v>DC93-00530C(QR)</v>
          </cell>
          <cell r="G5901" t="str">
            <v>LABEL</v>
          </cell>
          <cell r="H5901" t="str">
            <v>LAB1352</v>
          </cell>
        </row>
        <row r="5902">
          <cell r="F5902" t="str">
            <v>DB81-05903A</v>
          </cell>
          <cell r="G5902" t="str">
            <v>LABEL</v>
          </cell>
          <cell r="H5902" t="str">
            <v>LAB1351</v>
          </cell>
        </row>
        <row r="5903">
          <cell r="F5903" t="str">
            <v>DB81-05902A</v>
          </cell>
          <cell r="G5903" t="str">
            <v>LABEL</v>
          </cell>
          <cell r="H5903" t="str">
            <v>LAB1350</v>
          </cell>
        </row>
        <row r="5904">
          <cell r="F5904" t="str">
            <v>CE Bending Label(18M,Hanwha)</v>
          </cell>
          <cell r="G5904" t="str">
            <v>LABEL</v>
          </cell>
          <cell r="H5904" t="str">
            <v>LAB1349</v>
          </cell>
        </row>
        <row r="5905">
          <cell r="F5905" t="str">
            <v>CE Color length label(20M,Hanwha,30X50)</v>
          </cell>
          <cell r="G5905" t="str">
            <v>LABEL</v>
          </cell>
          <cell r="H5905" t="str">
            <v>LAB1348</v>
          </cell>
        </row>
        <row r="5906">
          <cell r="F5906" t="str">
            <v>CE Color length label(15M,Hanwha,30X50)</v>
          </cell>
          <cell r="G5906" t="str">
            <v>LABEL</v>
          </cell>
          <cell r="H5906" t="str">
            <v>LAB1347</v>
          </cell>
        </row>
        <row r="5907">
          <cell r="F5907" t="str">
            <v>CE Color length label(50M,Hanwha,30X50)</v>
          </cell>
          <cell r="G5907" t="str">
            <v>LABEL</v>
          </cell>
          <cell r="H5907" t="str">
            <v>LAB1346</v>
          </cell>
        </row>
        <row r="5908">
          <cell r="F5908" t="str">
            <v>CE Color length label(40M,Hanwha,30X50)</v>
          </cell>
          <cell r="G5908" t="str">
            <v>LABEL</v>
          </cell>
          <cell r="H5908" t="str">
            <v>LAB1345</v>
          </cell>
        </row>
        <row r="5909">
          <cell r="F5909" t="str">
            <v>CE Color length label(30M,Hanwha,30X50)</v>
          </cell>
          <cell r="G5909" t="str">
            <v>LABEL</v>
          </cell>
          <cell r="H5909" t="str">
            <v>LAB1344</v>
          </cell>
        </row>
        <row r="5910">
          <cell r="F5910" t="str">
            <v>CE Color length label(25M,Hanwha,30X50)</v>
          </cell>
          <cell r="G5910" t="str">
            <v>LABEL</v>
          </cell>
          <cell r="H5910" t="str">
            <v>LAB1343</v>
          </cell>
        </row>
        <row r="5911">
          <cell r="F5911" t="str">
            <v>CE Color length label(18M,Hanwha,30X50)</v>
          </cell>
          <cell r="G5911" t="str">
            <v>LABEL</v>
          </cell>
          <cell r="H5911" t="str">
            <v>LAB1342</v>
          </cell>
        </row>
        <row r="5912">
          <cell r="F5912" t="str">
            <v>CE Color length label(12M,Hanwha,30X50)</v>
          </cell>
          <cell r="G5912" t="str">
            <v>LABEL</v>
          </cell>
          <cell r="H5912" t="str">
            <v>LAB1341</v>
          </cell>
        </row>
        <row r="5913">
          <cell r="F5913" t="str">
            <v>CE Color length label(6M,Hanwha,30X50)</v>
          </cell>
          <cell r="G5913" t="str">
            <v>LABEL</v>
          </cell>
          <cell r="H5913" t="str">
            <v>LAB1340</v>
          </cell>
        </row>
        <row r="5914">
          <cell r="F5914" t="str">
            <v>CE Bending Label(50M,Hanwha,25x90)</v>
          </cell>
          <cell r="G5914" t="str">
            <v>LABEL</v>
          </cell>
          <cell r="H5914" t="str">
            <v>LAB1339</v>
          </cell>
        </row>
        <row r="5915">
          <cell r="F5915" t="str">
            <v>CE Bending Label(40M,Hanwha,25x90)</v>
          </cell>
          <cell r="G5915" t="str">
            <v>LABEL</v>
          </cell>
          <cell r="H5915" t="str">
            <v>LAB1338</v>
          </cell>
        </row>
        <row r="5916">
          <cell r="F5916" t="str">
            <v>CE Bending Label(30M,Hanwha,25x90)</v>
          </cell>
          <cell r="G5916" t="str">
            <v>LABEL</v>
          </cell>
          <cell r="H5916" t="str">
            <v>LAB1337</v>
          </cell>
        </row>
        <row r="5917">
          <cell r="F5917" t="str">
            <v>CE Bending Label(25M,Hanwha,25x90)</v>
          </cell>
          <cell r="G5917" t="str">
            <v>LABEL</v>
          </cell>
          <cell r="H5917" t="str">
            <v>LAB1336</v>
          </cell>
        </row>
        <row r="5918">
          <cell r="F5918" t="str">
            <v>CE Bending Label(20M,Hanwha,25x90)</v>
          </cell>
          <cell r="G5918" t="str">
            <v>LABEL</v>
          </cell>
          <cell r="H5918" t="str">
            <v>LAB1335</v>
          </cell>
        </row>
        <row r="5919">
          <cell r="F5919" t="str">
            <v>CE Bending Label(15M,Hanwha,25x90)</v>
          </cell>
          <cell r="G5919" t="str">
            <v>LABEL</v>
          </cell>
          <cell r="H5919" t="str">
            <v>LAB1334</v>
          </cell>
        </row>
        <row r="5920">
          <cell r="F5920" t="str">
            <v>DA96-01417H</v>
          </cell>
          <cell r="G5920" t="str">
            <v>LABEL</v>
          </cell>
          <cell r="H5920" t="str">
            <v>LAB1333</v>
          </cell>
        </row>
        <row r="5921">
          <cell r="F5921" t="str">
            <v>DA96-01417G</v>
          </cell>
          <cell r="G5921" t="str">
            <v>LABEL</v>
          </cell>
          <cell r="H5921" t="str">
            <v>LAB1332</v>
          </cell>
        </row>
        <row r="5922">
          <cell r="F5922" t="str">
            <v>DA96-01417F</v>
          </cell>
          <cell r="G5922" t="str">
            <v>LABEL</v>
          </cell>
          <cell r="H5922" t="str">
            <v>LAB1331</v>
          </cell>
        </row>
        <row r="5923">
          <cell r="F5923" t="str">
            <v>DA96-01417E</v>
          </cell>
          <cell r="G5923" t="str">
            <v>LABEL</v>
          </cell>
          <cell r="H5923" t="str">
            <v>LAB1330</v>
          </cell>
        </row>
        <row r="5924">
          <cell r="F5924" t="str">
            <v>DA96-01417D</v>
          </cell>
          <cell r="G5924" t="str">
            <v>LABEL</v>
          </cell>
          <cell r="H5924" t="str">
            <v>LAB1329</v>
          </cell>
        </row>
        <row r="5925">
          <cell r="F5925" t="str">
            <v>DA96-01417C</v>
          </cell>
          <cell r="G5925" t="str">
            <v>LABEL</v>
          </cell>
          <cell r="H5925" t="str">
            <v>LAB1328</v>
          </cell>
        </row>
        <row r="5926">
          <cell r="F5926" t="str">
            <v>DA96-01417B</v>
          </cell>
          <cell r="G5926" t="str">
            <v>LABEL</v>
          </cell>
          <cell r="H5926" t="str">
            <v>LAB1327</v>
          </cell>
        </row>
        <row r="5927">
          <cell r="F5927" t="str">
            <v>DA96-01417A</v>
          </cell>
          <cell r="G5927" t="str">
            <v>LABEL</v>
          </cell>
          <cell r="H5927" t="str">
            <v>LAB1326</v>
          </cell>
        </row>
        <row r="5928">
          <cell r="F5928" t="str">
            <v>공정이동표 90X65</v>
          </cell>
          <cell r="G5928" t="str">
            <v>LABEL</v>
          </cell>
          <cell r="H5928" t="str">
            <v>LAB1325</v>
          </cell>
        </row>
        <row r="5929">
          <cell r="F5929" t="str">
            <v>DA96-01369Q</v>
          </cell>
          <cell r="G5929" t="str">
            <v>LABEL</v>
          </cell>
          <cell r="H5929" t="str">
            <v>LAB1324</v>
          </cell>
        </row>
        <row r="5930">
          <cell r="F5930" t="str">
            <v>CE Bending Label(15M,Hanwha)</v>
          </cell>
          <cell r="G5930" t="str">
            <v>LABEL</v>
          </cell>
          <cell r="H5930" t="str">
            <v>LAB1322</v>
          </cell>
        </row>
        <row r="5931">
          <cell r="F5931" t="str">
            <v>CE Bending Label(12M,Hanwha,25x90)</v>
          </cell>
          <cell r="G5931" t="str">
            <v>LABEL</v>
          </cell>
          <cell r="H5931" t="str">
            <v>LAB1321</v>
          </cell>
        </row>
        <row r="5932">
          <cell r="F5932" t="str">
            <v>DC93-00867A(NORMAL)</v>
          </cell>
          <cell r="G5932" t="str">
            <v>LABEL</v>
          </cell>
          <cell r="H5932" t="str">
            <v>LAB1320</v>
          </cell>
        </row>
        <row r="5933">
          <cell r="F5933" t="str">
            <v>DC93-00862D(QR)</v>
          </cell>
          <cell r="G5933" t="str">
            <v>LABEL</v>
          </cell>
          <cell r="H5933" t="str">
            <v>LAB1319</v>
          </cell>
        </row>
        <row r="5934">
          <cell r="F5934" t="str">
            <v>DC93-00862C(QR)</v>
          </cell>
          <cell r="G5934" t="str">
            <v>LABEL</v>
          </cell>
          <cell r="H5934" t="str">
            <v>LAB1318</v>
          </cell>
        </row>
        <row r="5935">
          <cell r="F5935" t="str">
            <v>DA81-07133A</v>
          </cell>
          <cell r="G5935" t="str">
            <v>LABEL</v>
          </cell>
          <cell r="H5935" t="str">
            <v>LAB1317</v>
          </cell>
        </row>
        <row r="5936">
          <cell r="F5936" t="str">
            <v>DA81-07132A</v>
          </cell>
          <cell r="G5936" t="str">
            <v>LABEL</v>
          </cell>
          <cell r="H5936" t="str">
            <v>LAB1316</v>
          </cell>
        </row>
        <row r="5937">
          <cell r="F5937" t="str">
            <v>DA81-06852A</v>
          </cell>
          <cell r="G5937" t="str">
            <v>LABEL</v>
          </cell>
          <cell r="H5937" t="str">
            <v>LAB1315</v>
          </cell>
        </row>
        <row r="5938">
          <cell r="F5938" t="str">
            <v>DA81-06851A</v>
          </cell>
          <cell r="G5938" t="str">
            <v>LABEL</v>
          </cell>
          <cell r="H5938" t="str">
            <v>LAB1314</v>
          </cell>
        </row>
        <row r="5939">
          <cell r="F5939" t="str">
            <v>DA96-01391H</v>
          </cell>
          <cell r="G5939" t="str">
            <v>LABEL</v>
          </cell>
          <cell r="H5939" t="str">
            <v>LAB1313</v>
          </cell>
        </row>
        <row r="5940">
          <cell r="F5940" t="str">
            <v>DA96-01369P</v>
          </cell>
          <cell r="G5940" t="str">
            <v>LABEL</v>
          </cell>
          <cell r="H5940" t="str">
            <v>LAB1312</v>
          </cell>
        </row>
        <row r="5941">
          <cell r="F5941" t="str">
            <v>DA96-01369N</v>
          </cell>
          <cell r="G5941" t="str">
            <v>LABEL</v>
          </cell>
          <cell r="H5941" t="str">
            <v>LAB1311</v>
          </cell>
        </row>
        <row r="5942">
          <cell r="F5942" t="str">
            <v>CE Bending Label(9M,Hanwha)</v>
          </cell>
          <cell r="G5942" t="str">
            <v>LABEL</v>
          </cell>
          <cell r="H5942" t="str">
            <v>LAB1310</v>
          </cell>
        </row>
        <row r="5943">
          <cell r="F5943" t="str">
            <v>CE Bending Label(6M,Hanwha,25x90)</v>
          </cell>
          <cell r="G5943" t="str">
            <v>LABEL</v>
          </cell>
          <cell r="H5943" t="str">
            <v>LAB1309</v>
          </cell>
        </row>
        <row r="5944">
          <cell r="F5944" t="str">
            <v>CE LABEL(HANWHA)</v>
          </cell>
          <cell r="G5944" t="str">
            <v>LABEL</v>
          </cell>
          <cell r="H5944" t="str">
            <v>LAB1308</v>
          </cell>
        </row>
        <row r="5945">
          <cell r="F5945" t="str">
            <v>DC93-00862B(QR)</v>
          </cell>
          <cell r="G5945" t="str">
            <v>LABEL</v>
          </cell>
          <cell r="H5945" t="str">
            <v>LAB1307</v>
          </cell>
        </row>
        <row r="5946">
          <cell r="F5946" t="str">
            <v>DC93-00862A(QR)</v>
          </cell>
          <cell r="G5946" t="str">
            <v>LABEL</v>
          </cell>
          <cell r="H5946" t="str">
            <v>LAB1306</v>
          </cell>
        </row>
        <row r="5947">
          <cell r="F5947" t="str">
            <v>DC93-00861C(QR)</v>
          </cell>
          <cell r="G5947" t="str">
            <v>LABEL</v>
          </cell>
          <cell r="H5947" t="str">
            <v>LAB1305</v>
          </cell>
        </row>
        <row r="5948">
          <cell r="F5948" t="str">
            <v>DC93-00861B(QR)</v>
          </cell>
          <cell r="G5948" t="str">
            <v>LABEL</v>
          </cell>
          <cell r="H5948" t="str">
            <v>LAB1304</v>
          </cell>
        </row>
        <row r="5949">
          <cell r="F5949" t="str">
            <v>DC93-00861A(QR)</v>
          </cell>
          <cell r="G5949" t="str">
            <v>LABEL</v>
          </cell>
          <cell r="H5949" t="str">
            <v>LAB1303</v>
          </cell>
        </row>
        <row r="5950">
          <cell r="F5950" t="str">
            <v>DC93-00789E(QR)</v>
          </cell>
          <cell r="G5950" t="str">
            <v>LABEL</v>
          </cell>
          <cell r="H5950" t="str">
            <v>LAB1302</v>
          </cell>
        </row>
        <row r="5951">
          <cell r="F5951" t="str">
            <v>DA96-01149R</v>
          </cell>
          <cell r="G5951" t="str">
            <v>LABEL</v>
          </cell>
          <cell r="H5951" t="str">
            <v>LAB1301</v>
          </cell>
        </row>
        <row r="5952">
          <cell r="F5952" t="str">
            <v>DA96-01149Q</v>
          </cell>
          <cell r="G5952" t="str">
            <v>LABEL</v>
          </cell>
          <cell r="H5952" t="str">
            <v>LAB1300</v>
          </cell>
        </row>
        <row r="5953">
          <cell r="F5953" t="str">
            <v>DC93-00693C(NORMAL)</v>
          </cell>
          <cell r="G5953" t="str">
            <v>LABEL</v>
          </cell>
          <cell r="H5953" t="str">
            <v>LAB1299</v>
          </cell>
        </row>
        <row r="5954">
          <cell r="F5954" t="str">
            <v>DC93-00693B(NORMAL)</v>
          </cell>
          <cell r="G5954" t="str">
            <v>LABEL</v>
          </cell>
          <cell r="H5954" t="str">
            <v>LAB1298</v>
          </cell>
        </row>
        <row r="5955">
          <cell r="F5955" t="str">
            <v>DA96-01391G</v>
          </cell>
          <cell r="G5955" t="str">
            <v>LABEL</v>
          </cell>
          <cell r="H5955" t="str">
            <v>LAB1297</v>
          </cell>
        </row>
        <row r="5956">
          <cell r="F5956" t="str">
            <v>DA96-01391F</v>
          </cell>
          <cell r="G5956" t="str">
            <v>LABEL</v>
          </cell>
          <cell r="H5956" t="str">
            <v>LAB1296</v>
          </cell>
        </row>
        <row r="5957">
          <cell r="F5957" t="str">
            <v>DA96-01391E</v>
          </cell>
          <cell r="G5957" t="str">
            <v>LABEL</v>
          </cell>
          <cell r="H5957" t="str">
            <v>LAB1295</v>
          </cell>
        </row>
        <row r="5958">
          <cell r="F5958" t="str">
            <v>DA96-01391D</v>
          </cell>
          <cell r="G5958" t="str">
            <v>LABEL</v>
          </cell>
          <cell r="H5958" t="str">
            <v>LAB1294</v>
          </cell>
        </row>
        <row r="5959">
          <cell r="F5959" t="str">
            <v>DA96-01391C</v>
          </cell>
          <cell r="G5959" t="str">
            <v>LABEL</v>
          </cell>
          <cell r="H5959" t="str">
            <v>LAB1293</v>
          </cell>
        </row>
        <row r="5960">
          <cell r="F5960" t="str">
            <v>DA96-01391B</v>
          </cell>
          <cell r="G5960" t="str">
            <v>LABEL</v>
          </cell>
          <cell r="H5960" t="str">
            <v>LAB1292</v>
          </cell>
        </row>
        <row r="5961">
          <cell r="F5961" t="str">
            <v>DA96-01391A</v>
          </cell>
          <cell r="G5961" t="str">
            <v>LABEL</v>
          </cell>
          <cell r="H5961" t="str">
            <v>LAB1291</v>
          </cell>
        </row>
        <row r="5962">
          <cell r="F5962" t="str">
            <v>DC93-00786C(QR)</v>
          </cell>
          <cell r="G5962" t="str">
            <v>LABEL</v>
          </cell>
          <cell r="H5962" t="str">
            <v>LAB1290</v>
          </cell>
        </row>
        <row r="5963">
          <cell r="F5963" t="str">
            <v>DC93-00787F(QR)</v>
          </cell>
          <cell r="G5963" t="str">
            <v>LABEL</v>
          </cell>
          <cell r="H5963" t="str">
            <v>LAB1289</v>
          </cell>
        </row>
        <row r="5964">
          <cell r="F5964" t="str">
            <v>DA96-01244D</v>
          </cell>
          <cell r="G5964" t="str">
            <v>LABEL</v>
          </cell>
          <cell r="H5964" t="str">
            <v>LAB1288</v>
          </cell>
        </row>
        <row r="5965">
          <cell r="F5965" t="str">
            <v>DA96-01243D</v>
          </cell>
          <cell r="G5965" t="str">
            <v>LABEL</v>
          </cell>
          <cell r="H5965" t="str">
            <v>LAB1287</v>
          </cell>
        </row>
        <row r="5966">
          <cell r="F5966" t="str">
            <v>DA96-01369M</v>
          </cell>
          <cell r="G5966" t="str">
            <v>LABEL</v>
          </cell>
          <cell r="H5966" t="str">
            <v>LAB1286</v>
          </cell>
        </row>
        <row r="5967">
          <cell r="F5967" t="str">
            <v>DA96-01369L</v>
          </cell>
          <cell r="G5967" t="str">
            <v>LABEL</v>
          </cell>
          <cell r="H5967" t="str">
            <v>LAB1285</v>
          </cell>
        </row>
        <row r="5968">
          <cell r="F5968" t="str">
            <v>DA96-01369K</v>
          </cell>
          <cell r="G5968" t="str">
            <v>LABEL</v>
          </cell>
          <cell r="H5968" t="str">
            <v>LAB1284</v>
          </cell>
        </row>
        <row r="5969">
          <cell r="F5969" t="str">
            <v>DC93-00787E(QR)</v>
          </cell>
          <cell r="G5969" t="str">
            <v>LABEL</v>
          </cell>
          <cell r="H5969" t="str">
            <v>LAB1283</v>
          </cell>
        </row>
        <row r="5970">
          <cell r="F5970" t="str">
            <v>DC93-00788B(QR)</v>
          </cell>
          <cell r="G5970" t="str">
            <v>LABEL</v>
          </cell>
          <cell r="H5970" t="str">
            <v>LAB1282</v>
          </cell>
        </row>
        <row r="5971">
          <cell r="F5971" t="str">
            <v>DC93-00789C(QR)</v>
          </cell>
          <cell r="G5971" t="str">
            <v>LABEL</v>
          </cell>
          <cell r="H5971" t="str">
            <v>LAB1281</v>
          </cell>
        </row>
        <row r="5972">
          <cell r="F5972" t="str">
            <v>DC93-00788A(QR)</v>
          </cell>
          <cell r="G5972" t="str">
            <v>LABEL</v>
          </cell>
          <cell r="H5972" t="str">
            <v>LAB1280</v>
          </cell>
        </row>
        <row r="5973">
          <cell r="F5973" t="str">
            <v>DC93-00787D(QR)</v>
          </cell>
          <cell r="G5973" t="str">
            <v>LABEL</v>
          </cell>
          <cell r="H5973" t="str">
            <v>LAB1279</v>
          </cell>
        </row>
        <row r="5974">
          <cell r="F5974" t="str">
            <v>DC93-00787C(QR)</v>
          </cell>
          <cell r="G5974" t="str">
            <v>LABEL</v>
          </cell>
          <cell r="H5974" t="str">
            <v>LAB1278</v>
          </cell>
        </row>
        <row r="5975">
          <cell r="F5975" t="str">
            <v>DC93-00786B(QR)</v>
          </cell>
          <cell r="G5975" t="str">
            <v>LABEL</v>
          </cell>
          <cell r="H5975" t="str">
            <v>LAB1277</v>
          </cell>
        </row>
        <row r="5976">
          <cell r="F5976" t="str">
            <v>DA96-01338C</v>
          </cell>
          <cell r="G5976" t="str">
            <v>LABEL</v>
          </cell>
          <cell r="H5976" t="str">
            <v>LAB1272</v>
          </cell>
        </row>
        <row r="5977">
          <cell r="F5977" t="str">
            <v>DA96-01369J</v>
          </cell>
          <cell r="G5977" t="str">
            <v>LABEL</v>
          </cell>
          <cell r="H5977" t="str">
            <v>LAB1271</v>
          </cell>
        </row>
        <row r="5978">
          <cell r="F5978" t="str">
            <v>DA96-01369H</v>
          </cell>
          <cell r="G5978" t="str">
            <v>LABEL</v>
          </cell>
          <cell r="H5978" t="str">
            <v>LAB1270</v>
          </cell>
        </row>
        <row r="5979">
          <cell r="F5979" t="str">
            <v>DC93-00651E(QR)</v>
          </cell>
          <cell r="G5979" t="str">
            <v>LABEL</v>
          </cell>
          <cell r="H5979" t="str">
            <v>LAB1269</v>
          </cell>
        </row>
        <row r="5980">
          <cell r="F5980" t="str">
            <v>DC93-00842D(QR)</v>
          </cell>
          <cell r="G5980" t="str">
            <v>LABEL</v>
          </cell>
          <cell r="H5980" t="str">
            <v>LAB1268</v>
          </cell>
        </row>
        <row r="5981">
          <cell r="F5981" t="str">
            <v>DC93-00842C(QR)</v>
          </cell>
          <cell r="G5981" t="str">
            <v>LABEL</v>
          </cell>
          <cell r="H5981" t="str">
            <v>LAB1267</v>
          </cell>
        </row>
        <row r="5982">
          <cell r="F5982" t="str">
            <v>DC93-00842B(QR)</v>
          </cell>
          <cell r="G5982" t="str">
            <v>LABEL</v>
          </cell>
          <cell r="H5982" t="str">
            <v>LAB1266</v>
          </cell>
        </row>
        <row r="5983">
          <cell r="F5983" t="str">
            <v>DC93-00842A(QR)</v>
          </cell>
          <cell r="G5983" t="str">
            <v>LABEL</v>
          </cell>
          <cell r="H5983" t="str">
            <v>LAB1265</v>
          </cell>
        </row>
        <row r="5984">
          <cell r="F5984" t="str">
            <v>DA96-01141S</v>
          </cell>
          <cell r="G5984" t="str">
            <v>LABEL</v>
          </cell>
          <cell r="H5984" t="str">
            <v>LAB1264</v>
          </cell>
        </row>
        <row r="5985">
          <cell r="F5985" t="str">
            <v>DA96-01377L</v>
          </cell>
          <cell r="G5985" t="str">
            <v>LABEL</v>
          </cell>
          <cell r="H5985" t="str">
            <v>LAB1263</v>
          </cell>
        </row>
        <row r="5986">
          <cell r="F5986" t="str">
            <v>DA96-01377K</v>
          </cell>
          <cell r="G5986" t="str">
            <v>LABEL</v>
          </cell>
          <cell r="H5986" t="str">
            <v>LAB1262</v>
          </cell>
        </row>
        <row r="5987">
          <cell r="F5987" t="str">
            <v>DA96-01377J</v>
          </cell>
          <cell r="G5987" t="str">
            <v>LABEL</v>
          </cell>
          <cell r="H5987" t="str">
            <v>LAB1261</v>
          </cell>
        </row>
        <row r="5988">
          <cell r="F5988" t="str">
            <v>DA96-01377H</v>
          </cell>
          <cell r="G5988" t="str">
            <v>LABEL</v>
          </cell>
          <cell r="H5988" t="str">
            <v>LAB1260</v>
          </cell>
        </row>
        <row r="5989">
          <cell r="F5989" t="str">
            <v>DA96-01377G</v>
          </cell>
          <cell r="G5989" t="str">
            <v>LABEL</v>
          </cell>
          <cell r="H5989" t="str">
            <v>LAB1259</v>
          </cell>
        </row>
        <row r="5990">
          <cell r="F5990" t="str">
            <v>DA96-01377F</v>
          </cell>
          <cell r="G5990" t="str">
            <v>LABEL</v>
          </cell>
          <cell r="H5990" t="str">
            <v>LAB1258</v>
          </cell>
        </row>
        <row r="5991">
          <cell r="F5991" t="str">
            <v>DA96-01377E</v>
          </cell>
          <cell r="G5991" t="str">
            <v>LABEL</v>
          </cell>
          <cell r="H5991" t="str">
            <v>LAB1257</v>
          </cell>
        </row>
        <row r="5992">
          <cell r="F5992" t="str">
            <v>DA96-01377D</v>
          </cell>
          <cell r="G5992" t="str">
            <v>LABEL</v>
          </cell>
          <cell r="H5992" t="str">
            <v>LAB1256</v>
          </cell>
        </row>
        <row r="5993">
          <cell r="F5993" t="str">
            <v>DA96-01377C</v>
          </cell>
          <cell r="G5993" t="str">
            <v>LABEL</v>
          </cell>
          <cell r="H5993" t="str">
            <v>LAB1255</v>
          </cell>
        </row>
        <row r="5994">
          <cell r="F5994" t="str">
            <v>DA96-01377B</v>
          </cell>
          <cell r="G5994" t="str">
            <v>LABEL</v>
          </cell>
          <cell r="H5994" t="str">
            <v>LAB1254</v>
          </cell>
        </row>
        <row r="5995">
          <cell r="F5995" t="str">
            <v>DA96-01377A</v>
          </cell>
          <cell r="G5995" t="str">
            <v>LABEL</v>
          </cell>
          <cell r="H5995" t="str">
            <v>LAB1253</v>
          </cell>
        </row>
        <row r="5996">
          <cell r="F5996" t="str">
            <v>18X18 ART(QR)-GS1</v>
          </cell>
          <cell r="G5996" t="str">
            <v>LABEL</v>
          </cell>
          <cell r="H5996" t="str">
            <v>LAB1252</v>
          </cell>
        </row>
        <row r="5997">
          <cell r="F5997" t="str">
            <v>DA96-01371A</v>
          </cell>
          <cell r="G5997" t="str">
            <v>LABEL</v>
          </cell>
          <cell r="H5997" t="str">
            <v>LAB1251</v>
          </cell>
        </row>
        <row r="5998">
          <cell r="F5998" t="str">
            <v>DA96-01206G</v>
          </cell>
          <cell r="G5998" t="str">
            <v>LABEL</v>
          </cell>
          <cell r="H5998" t="str">
            <v>LAB1250</v>
          </cell>
        </row>
        <row r="5999">
          <cell r="F5999" t="str">
            <v>DA96-01206F</v>
          </cell>
          <cell r="G5999" t="str">
            <v>LABEL</v>
          </cell>
          <cell r="H5999" t="str">
            <v>LAB1249</v>
          </cell>
        </row>
        <row r="6000">
          <cell r="F6000" t="str">
            <v>DA96-01206E</v>
          </cell>
          <cell r="G6000" t="str">
            <v>LABEL</v>
          </cell>
          <cell r="H6000" t="str">
            <v>LAB1248</v>
          </cell>
        </row>
        <row r="6001">
          <cell r="F6001" t="str">
            <v>DC93-00759C(QR)</v>
          </cell>
          <cell r="G6001" t="str">
            <v>LABEL</v>
          </cell>
          <cell r="H6001" t="str">
            <v>LAB1247</v>
          </cell>
        </row>
        <row r="6002">
          <cell r="F6002" t="str">
            <v>DA96-01369G</v>
          </cell>
          <cell r="G6002" t="str">
            <v>LABEL</v>
          </cell>
          <cell r="H6002" t="str">
            <v>LAB1246</v>
          </cell>
        </row>
        <row r="6003">
          <cell r="F6003" t="str">
            <v>DA96-01369F</v>
          </cell>
          <cell r="G6003" t="str">
            <v>LABEL</v>
          </cell>
          <cell r="H6003" t="str">
            <v>LAB1245</v>
          </cell>
        </row>
        <row r="6004">
          <cell r="F6004" t="str">
            <v>DA96-01369E</v>
          </cell>
          <cell r="G6004" t="str">
            <v>LABEL</v>
          </cell>
          <cell r="H6004" t="str">
            <v>LAB1244</v>
          </cell>
        </row>
        <row r="6005">
          <cell r="F6005" t="str">
            <v>DA96-01369D</v>
          </cell>
          <cell r="G6005" t="str">
            <v>LABEL</v>
          </cell>
          <cell r="H6005" t="str">
            <v>LAB1243</v>
          </cell>
        </row>
        <row r="6006">
          <cell r="F6006" t="str">
            <v>DA96-01369C</v>
          </cell>
          <cell r="G6006" t="str">
            <v>LABEL</v>
          </cell>
          <cell r="H6006" t="str">
            <v>LAB1242</v>
          </cell>
        </row>
        <row r="6007">
          <cell r="F6007" t="str">
            <v>DA96-01369B</v>
          </cell>
          <cell r="G6007" t="str">
            <v>LABEL</v>
          </cell>
          <cell r="H6007" t="str">
            <v>LAB1241</v>
          </cell>
        </row>
        <row r="6008">
          <cell r="F6008" t="str">
            <v>DA96-01369A</v>
          </cell>
          <cell r="G6008" t="str">
            <v>LABEL</v>
          </cell>
          <cell r="H6008" t="str">
            <v>LAB1240</v>
          </cell>
        </row>
        <row r="6009">
          <cell r="F6009" t="str">
            <v>DA96-01202E</v>
          </cell>
          <cell r="G6009" t="str">
            <v>LABEL</v>
          </cell>
          <cell r="H6009" t="str">
            <v>LAB1239</v>
          </cell>
        </row>
        <row r="6010">
          <cell r="F6010" t="str">
            <v>DA96-01363A</v>
          </cell>
          <cell r="G6010" t="str">
            <v>LABEL</v>
          </cell>
          <cell r="H6010" t="str">
            <v>LAB1238</v>
          </cell>
        </row>
        <row r="6011">
          <cell r="F6011" t="str">
            <v>DA96-01350B</v>
          </cell>
          <cell r="G6011" t="str">
            <v>LABEL</v>
          </cell>
          <cell r="H6011" t="str">
            <v>LAB1237</v>
          </cell>
        </row>
        <row r="6012">
          <cell r="F6012" t="str">
            <v>DA96-01350A</v>
          </cell>
          <cell r="G6012" t="str">
            <v>LABEL</v>
          </cell>
          <cell r="H6012" t="str">
            <v>LAB1236</v>
          </cell>
        </row>
        <row r="6013">
          <cell r="F6013" t="str">
            <v>DA96-01344B</v>
          </cell>
          <cell r="G6013" t="str">
            <v>LABEL</v>
          </cell>
          <cell r="H6013" t="str">
            <v>LAB1235</v>
          </cell>
        </row>
        <row r="6014">
          <cell r="F6014" t="str">
            <v>DA96-01348G</v>
          </cell>
          <cell r="G6014" t="str">
            <v>LABEL</v>
          </cell>
          <cell r="H6014" t="str">
            <v>LAB1234</v>
          </cell>
        </row>
        <row r="6015">
          <cell r="F6015" t="str">
            <v>DA96-01348F</v>
          </cell>
          <cell r="G6015" t="str">
            <v>LABEL</v>
          </cell>
          <cell r="H6015" t="str">
            <v>LAB1233</v>
          </cell>
        </row>
        <row r="6016">
          <cell r="F6016" t="str">
            <v>DA96-01348E</v>
          </cell>
          <cell r="G6016" t="str">
            <v>LABEL</v>
          </cell>
          <cell r="H6016" t="str">
            <v>LAB1232</v>
          </cell>
        </row>
        <row r="6017">
          <cell r="F6017" t="str">
            <v>DA96-01348D</v>
          </cell>
          <cell r="G6017" t="str">
            <v>LABEL</v>
          </cell>
          <cell r="H6017" t="str">
            <v>LAB1231</v>
          </cell>
        </row>
        <row r="6018">
          <cell r="F6018" t="str">
            <v>DA96-01348C</v>
          </cell>
          <cell r="G6018" t="str">
            <v>LABEL</v>
          </cell>
          <cell r="H6018" t="str">
            <v>LAB1230</v>
          </cell>
        </row>
        <row r="6019">
          <cell r="F6019" t="str">
            <v>DA96-01348B</v>
          </cell>
          <cell r="G6019" t="str">
            <v>LABEL</v>
          </cell>
          <cell r="H6019" t="str">
            <v>LAB1229</v>
          </cell>
        </row>
        <row r="6020">
          <cell r="F6020" t="str">
            <v>DA96-01345A</v>
          </cell>
          <cell r="G6020" t="str">
            <v>LABEL</v>
          </cell>
          <cell r="H6020" t="str">
            <v>LAB1228</v>
          </cell>
        </row>
        <row r="6021">
          <cell r="F6021" t="str">
            <v>DC93-00827A(QR)</v>
          </cell>
          <cell r="G6021" t="str">
            <v>LABEL</v>
          </cell>
          <cell r="H6021" t="str">
            <v>LAB1226</v>
          </cell>
        </row>
        <row r="6022">
          <cell r="F6022" t="str">
            <v>DC93-00758D(QR)</v>
          </cell>
          <cell r="G6022" t="str">
            <v>LABEL</v>
          </cell>
          <cell r="H6022" t="str">
            <v>LAB1225</v>
          </cell>
        </row>
        <row r="6023">
          <cell r="F6023" t="str">
            <v>DC93-00758C(QR)</v>
          </cell>
          <cell r="G6023" t="str">
            <v>LABEL</v>
          </cell>
          <cell r="H6023" t="str">
            <v>LAB1224</v>
          </cell>
        </row>
        <row r="6024">
          <cell r="F6024" t="str">
            <v>DA96-01252H</v>
          </cell>
          <cell r="G6024" t="str">
            <v>LABEL</v>
          </cell>
          <cell r="H6024" t="str">
            <v>LAB1223</v>
          </cell>
        </row>
        <row r="6025">
          <cell r="F6025" t="str">
            <v>DA96-01344A</v>
          </cell>
          <cell r="G6025" t="str">
            <v>LABEL</v>
          </cell>
          <cell r="H6025" t="str">
            <v>LAB1221</v>
          </cell>
        </row>
        <row r="6026">
          <cell r="F6026" t="str">
            <v>DA96-01348A</v>
          </cell>
          <cell r="G6026" t="str">
            <v>LABEL</v>
          </cell>
          <cell r="H6026" t="str">
            <v>LAB1220</v>
          </cell>
        </row>
        <row r="6027">
          <cell r="F6027" t="str">
            <v>DA96-01352F</v>
          </cell>
          <cell r="G6027" t="str">
            <v>LABEL</v>
          </cell>
          <cell r="H6027" t="str">
            <v>LAB1219</v>
          </cell>
        </row>
        <row r="6028">
          <cell r="F6028" t="str">
            <v>DA96-01352E</v>
          </cell>
          <cell r="G6028" t="str">
            <v>LABEL</v>
          </cell>
          <cell r="H6028" t="str">
            <v>LAB1218</v>
          </cell>
        </row>
        <row r="6029">
          <cell r="F6029" t="str">
            <v>DA96-01352D</v>
          </cell>
          <cell r="G6029" t="str">
            <v>LABEL</v>
          </cell>
          <cell r="H6029" t="str">
            <v>LAB1217</v>
          </cell>
        </row>
        <row r="6030">
          <cell r="F6030" t="str">
            <v>DA96-01352C</v>
          </cell>
          <cell r="G6030" t="str">
            <v>LABEL</v>
          </cell>
          <cell r="H6030" t="str">
            <v>LAB1216</v>
          </cell>
        </row>
        <row r="6031">
          <cell r="F6031" t="str">
            <v>DA96-01352B</v>
          </cell>
          <cell r="G6031" t="str">
            <v>LABEL</v>
          </cell>
          <cell r="H6031" t="str">
            <v>LAB1215</v>
          </cell>
        </row>
        <row r="6032">
          <cell r="F6032" t="str">
            <v>DA96-01352A</v>
          </cell>
          <cell r="G6032" t="str">
            <v>LABEL</v>
          </cell>
          <cell r="H6032" t="str">
            <v>LAB1214</v>
          </cell>
        </row>
        <row r="6033">
          <cell r="F6033" t="str">
            <v>DA96-01351F</v>
          </cell>
          <cell r="G6033" t="str">
            <v>LABEL</v>
          </cell>
          <cell r="H6033" t="str">
            <v>LAB1213</v>
          </cell>
        </row>
        <row r="6034">
          <cell r="F6034" t="str">
            <v>DA96-01351E</v>
          </cell>
          <cell r="G6034" t="str">
            <v>LABEL</v>
          </cell>
          <cell r="H6034" t="str">
            <v>LAB1212</v>
          </cell>
        </row>
        <row r="6035">
          <cell r="F6035" t="str">
            <v>DA96-01351D</v>
          </cell>
          <cell r="G6035" t="str">
            <v>LABEL</v>
          </cell>
          <cell r="H6035" t="str">
            <v>LAB1211</v>
          </cell>
        </row>
        <row r="6036">
          <cell r="F6036" t="str">
            <v>DA96-01351C</v>
          </cell>
          <cell r="G6036" t="str">
            <v>LABEL</v>
          </cell>
          <cell r="H6036" t="str">
            <v>LAB1210</v>
          </cell>
        </row>
        <row r="6037">
          <cell r="F6037" t="str">
            <v>DA96-01351B</v>
          </cell>
          <cell r="G6037" t="str">
            <v>LABEL</v>
          </cell>
          <cell r="H6037" t="str">
            <v>LAB1209</v>
          </cell>
        </row>
        <row r="6038">
          <cell r="F6038" t="str">
            <v>DA96-01351A</v>
          </cell>
          <cell r="G6038" t="str">
            <v>LABEL</v>
          </cell>
          <cell r="H6038" t="str">
            <v>LAB1208</v>
          </cell>
        </row>
        <row r="6039">
          <cell r="F6039" t="str">
            <v>DC93-00721J(QR)</v>
          </cell>
          <cell r="G6039" t="str">
            <v>LABEL</v>
          </cell>
          <cell r="H6039" t="str">
            <v>LAB1207</v>
          </cell>
        </row>
        <row r="6040">
          <cell r="F6040" t="str">
            <v>DC93-00721H(QR)</v>
          </cell>
          <cell r="G6040" t="str">
            <v>LABEL</v>
          </cell>
          <cell r="H6040" t="str">
            <v>LAB1206</v>
          </cell>
        </row>
        <row r="6041">
          <cell r="F6041" t="str">
            <v>DC93-00621L(QR)</v>
          </cell>
          <cell r="G6041" t="str">
            <v>LABEL</v>
          </cell>
          <cell r="H6041" t="str">
            <v>LAB1205</v>
          </cell>
        </row>
        <row r="6042">
          <cell r="F6042" t="str">
            <v>DC93-00621K(QR)</v>
          </cell>
          <cell r="G6042" t="str">
            <v>LABEL</v>
          </cell>
          <cell r="H6042" t="str">
            <v>LAB1204</v>
          </cell>
        </row>
        <row r="6043">
          <cell r="F6043" t="str">
            <v>DC93-00621J(QR)</v>
          </cell>
          <cell r="G6043" t="str">
            <v>LABEL</v>
          </cell>
          <cell r="H6043" t="str">
            <v>LAB1203</v>
          </cell>
        </row>
        <row r="6044">
          <cell r="F6044" t="str">
            <v>WG50-00019A</v>
          </cell>
          <cell r="G6044" t="str">
            <v>LABEL</v>
          </cell>
          <cell r="H6044" t="str">
            <v>LAB1202</v>
          </cell>
        </row>
        <row r="6045">
          <cell r="F6045" t="str">
            <v>DC93-00759B(QR)</v>
          </cell>
          <cell r="G6045" t="str">
            <v>LABEL</v>
          </cell>
          <cell r="H6045" t="str">
            <v>LAB1201</v>
          </cell>
        </row>
        <row r="6046">
          <cell r="F6046" t="str">
            <v>DC93-00689F(NORMAL)</v>
          </cell>
          <cell r="G6046" t="str">
            <v>LABEL</v>
          </cell>
          <cell r="H6046" t="str">
            <v>LAB1200</v>
          </cell>
        </row>
        <row r="6047">
          <cell r="F6047" t="str">
            <v>DA96-01338B</v>
          </cell>
          <cell r="G6047" t="str">
            <v>LABEL</v>
          </cell>
          <cell r="H6047" t="str">
            <v>LAB1199</v>
          </cell>
        </row>
        <row r="6048">
          <cell r="F6048" t="str">
            <v>SM12-80001A</v>
          </cell>
          <cell r="G6048" t="str">
            <v>LABEL</v>
          </cell>
          <cell r="H6048" t="str">
            <v>LAB1198</v>
          </cell>
        </row>
        <row r="6049">
          <cell r="F6049" t="str">
            <v>LABEL 20X15</v>
          </cell>
          <cell r="G6049" t="str">
            <v>LABEL</v>
          </cell>
          <cell r="H6049" t="str">
            <v>LAB1197</v>
          </cell>
        </row>
        <row r="6050">
          <cell r="F6050" t="str">
            <v>SM12-70001A</v>
          </cell>
          <cell r="G6050" t="str">
            <v>LABEL</v>
          </cell>
          <cell r="H6050" t="str">
            <v>LAB1196</v>
          </cell>
        </row>
        <row r="6051">
          <cell r="F6051" t="str">
            <v>SM12-60001A</v>
          </cell>
          <cell r="G6051" t="str">
            <v>LABEL</v>
          </cell>
          <cell r="H6051" t="str">
            <v>LAB1195</v>
          </cell>
        </row>
        <row r="6052">
          <cell r="F6052" t="str">
            <v>SM12-50001A</v>
          </cell>
          <cell r="G6052" t="str">
            <v>LABEL</v>
          </cell>
          <cell r="H6052" t="str">
            <v>LAB1194</v>
          </cell>
        </row>
        <row r="6053">
          <cell r="F6053" t="str">
            <v>DA96-01202D</v>
          </cell>
          <cell r="G6053" t="str">
            <v>LABEL</v>
          </cell>
          <cell r="H6053" t="str">
            <v>LAB1190</v>
          </cell>
        </row>
        <row r="6054">
          <cell r="F6054" t="str">
            <v>DA96-01202C</v>
          </cell>
          <cell r="G6054" t="str">
            <v>LABEL</v>
          </cell>
          <cell r="H6054" t="str">
            <v>LAB1189</v>
          </cell>
        </row>
        <row r="6055">
          <cell r="F6055" t="str">
            <v>DA96-01338A</v>
          </cell>
          <cell r="G6055" t="str">
            <v>LABEL</v>
          </cell>
          <cell r="H6055" t="str">
            <v>LAB1188</v>
          </cell>
        </row>
        <row r="6056">
          <cell r="F6056" t="str">
            <v>DA96-01179E</v>
          </cell>
          <cell r="G6056" t="str">
            <v>LABEL</v>
          </cell>
          <cell r="H6056" t="str">
            <v>LAB1186</v>
          </cell>
        </row>
        <row r="6057">
          <cell r="F6057" t="str">
            <v>DA96-01297B</v>
          </cell>
          <cell r="G6057" t="str">
            <v>LABEL</v>
          </cell>
          <cell r="H6057" t="str">
            <v>LAB1185</v>
          </cell>
        </row>
        <row r="6058">
          <cell r="F6058" t="str">
            <v>DA96-01297A</v>
          </cell>
          <cell r="G6058" t="str">
            <v>LABEL</v>
          </cell>
          <cell r="H6058" t="str">
            <v>LAB1184</v>
          </cell>
        </row>
        <row r="6059">
          <cell r="F6059" t="str">
            <v>DA96-01120N</v>
          </cell>
          <cell r="G6059" t="str">
            <v>LABEL</v>
          </cell>
          <cell r="H6059" t="str">
            <v>LAB1183</v>
          </cell>
        </row>
        <row r="6060">
          <cell r="F6060" t="str">
            <v>DA96-01041F</v>
          </cell>
          <cell r="G6060" t="str">
            <v>LABEL</v>
          </cell>
          <cell r="H6060" t="str">
            <v>LAB1182</v>
          </cell>
        </row>
        <row r="6061">
          <cell r="F6061" t="str">
            <v>DA96-01141R</v>
          </cell>
          <cell r="G6061" t="str">
            <v>LABEL</v>
          </cell>
          <cell r="H6061" t="str">
            <v>LAB1181</v>
          </cell>
        </row>
        <row r="6062">
          <cell r="F6062" t="str">
            <v>DC93-00790B(QR)</v>
          </cell>
          <cell r="G6062" t="str">
            <v>LABEL</v>
          </cell>
          <cell r="H6062" t="str">
            <v>LAB1180</v>
          </cell>
        </row>
        <row r="6063">
          <cell r="F6063" t="str">
            <v>DC93-00790A(QR)</v>
          </cell>
          <cell r="G6063" t="str">
            <v>LABEL</v>
          </cell>
          <cell r="H6063" t="str">
            <v>LAB1179</v>
          </cell>
        </row>
        <row r="6064">
          <cell r="F6064" t="str">
            <v>DC93-00582H(NORMAL)</v>
          </cell>
          <cell r="G6064" t="str">
            <v>LABEL</v>
          </cell>
          <cell r="H6064" t="str">
            <v>LAB1178</v>
          </cell>
        </row>
        <row r="6065">
          <cell r="F6065" t="str">
            <v>DC93-00582G(NORMAL)</v>
          </cell>
          <cell r="G6065" t="str">
            <v>LABEL</v>
          </cell>
          <cell r="H6065" t="str">
            <v>LAB1177</v>
          </cell>
        </row>
        <row r="6066">
          <cell r="F6066" t="str">
            <v>DC93-00580E(NORMAL)</v>
          </cell>
          <cell r="G6066" t="str">
            <v>LABEL</v>
          </cell>
          <cell r="H6066" t="str">
            <v>LAB1176</v>
          </cell>
        </row>
        <row r="6067">
          <cell r="F6067" t="str">
            <v>DA96-01274B</v>
          </cell>
          <cell r="G6067" t="str">
            <v>LABEL</v>
          </cell>
          <cell r="H6067" t="str">
            <v>LAB1175</v>
          </cell>
        </row>
        <row r="6068">
          <cell r="F6068" t="str">
            <v>DC93-00580A(NORMAL)</v>
          </cell>
          <cell r="G6068" t="str">
            <v>LABEL</v>
          </cell>
          <cell r="H6068" t="str">
            <v>LAB1174</v>
          </cell>
        </row>
        <row r="6069">
          <cell r="F6069" t="str">
            <v>DC93-00759A(QR)</v>
          </cell>
          <cell r="G6069" t="str">
            <v>LABEL</v>
          </cell>
          <cell r="H6069" t="str">
            <v>LAB1173</v>
          </cell>
        </row>
        <row r="6070">
          <cell r="F6070" t="str">
            <v>DC93-00758B(QR)</v>
          </cell>
          <cell r="G6070" t="str">
            <v>LABEL</v>
          </cell>
          <cell r="H6070" t="str">
            <v>LAB1172</v>
          </cell>
        </row>
        <row r="6071">
          <cell r="F6071" t="str">
            <v>DC93-00758A(QR)</v>
          </cell>
          <cell r="G6071" t="str">
            <v>LABEL</v>
          </cell>
          <cell r="H6071" t="str">
            <v>LAB1171</v>
          </cell>
        </row>
        <row r="6072">
          <cell r="F6072" t="str">
            <v>DC93-00757E(QR)</v>
          </cell>
          <cell r="G6072" t="str">
            <v>LABEL</v>
          </cell>
          <cell r="H6072" t="str">
            <v>LAB1170</v>
          </cell>
        </row>
        <row r="6073">
          <cell r="F6073" t="str">
            <v>DC93-00757D(QR)</v>
          </cell>
          <cell r="G6073" t="str">
            <v>LABEL</v>
          </cell>
          <cell r="H6073" t="str">
            <v>LAB1169</v>
          </cell>
        </row>
        <row r="6074">
          <cell r="F6074" t="str">
            <v>DC93-00757C(QR)</v>
          </cell>
          <cell r="G6074" t="str">
            <v>LABEL</v>
          </cell>
          <cell r="H6074" t="str">
            <v>LAB1168</v>
          </cell>
        </row>
        <row r="6075">
          <cell r="F6075" t="str">
            <v>DC93-00757B(QR)</v>
          </cell>
          <cell r="G6075" t="str">
            <v>LABEL</v>
          </cell>
          <cell r="H6075" t="str">
            <v>LAB1167</v>
          </cell>
        </row>
        <row r="6076">
          <cell r="F6076" t="str">
            <v>DC93-00757A(QR)</v>
          </cell>
          <cell r="G6076" t="str">
            <v>LABEL</v>
          </cell>
          <cell r="H6076" t="str">
            <v>LAB1166</v>
          </cell>
        </row>
        <row r="6077">
          <cell r="F6077" t="str">
            <v>DA96-01311L</v>
          </cell>
          <cell r="G6077" t="str">
            <v>LABEL</v>
          </cell>
          <cell r="H6077" t="str">
            <v>LAB1164</v>
          </cell>
        </row>
        <row r="6078">
          <cell r="F6078" t="str">
            <v>DA96-01311K</v>
          </cell>
          <cell r="G6078" t="str">
            <v>LABEL</v>
          </cell>
          <cell r="H6078" t="str">
            <v>LAB1163</v>
          </cell>
        </row>
        <row r="6079">
          <cell r="F6079" t="str">
            <v>DA96-01311J</v>
          </cell>
          <cell r="G6079" t="str">
            <v>LABEL</v>
          </cell>
          <cell r="H6079" t="str">
            <v>LAB1162</v>
          </cell>
        </row>
        <row r="6080">
          <cell r="F6080" t="str">
            <v>DA96-01311H</v>
          </cell>
          <cell r="G6080" t="str">
            <v>LABEL</v>
          </cell>
          <cell r="H6080" t="str">
            <v>LAB1161</v>
          </cell>
        </row>
        <row r="6081">
          <cell r="F6081" t="str">
            <v>DA96-01311G</v>
          </cell>
          <cell r="G6081" t="str">
            <v>LABEL</v>
          </cell>
          <cell r="H6081" t="str">
            <v>LAB1160</v>
          </cell>
        </row>
        <row r="6082">
          <cell r="F6082" t="str">
            <v>DA96-01311F</v>
          </cell>
          <cell r="G6082" t="str">
            <v>LABEL</v>
          </cell>
          <cell r="H6082" t="str">
            <v>LAB1159</v>
          </cell>
        </row>
        <row r="6083">
          <cell r="F6083" t="str">
            <v>DA96-01311E</v>
          </cell>
          <cell r="G6083" t="str">
            <v>LABEL</v>
          </cell>
          <cell r="H6083" t="str">
            <v>LAB1158</v>
          </cell>
        </row>
        <row r="6084">
          <cell r="F6084" t="str">
            <v>DA96-01311D</v>
          </cell>
          <cell r="G6084" t="str">
            <v>LABEL</v>
          </cell>
          <cell r="H6084" t="str">
            <v>LAB1157</v>
          </cell>
        </row>
        <row r="6085">
          <cell r="F6085" t="str">
            <v>DA96-01311C</v>
          </cell>
          <cell r="G6085" t="str">
            <v>LABEL</v>
          </cell>
          <cell r="H6085" t="str">
            <v>LAB1156</v>
          </cell>
        </row>
        <row r="6086">
          <cell r="F6086" t="str">
            <v>DA96-01311B</v>
          </cell>
          <cell r="G6086" t="str">
            <v>LABEL</v>
          </cell>
          <cell r="H6086" t="str">
            <v>LAB1155</v>
          </cell>
        </row>
        <row r="6087">
          <cell r="F6087" t="str">
            <v>DA96-01325B</v>
          </cell>
          <cell r="G6087" t="str">
            <v>LABEL</v>
          </cell>
          <cell r="H6087" t="str">
            <v>LAB1154</v>
          </cell>
        </row>
        <row r="6088">
          <cell r="F6088" t="str">
            <v>DA96-01325A</v>
          </cell>
          <cell r="G6088" t="str">
            <v>LABEL</v>
          </cell>
          <cell r="H6088" t="str">
            <v>LAB1153</v>
          </cell>
        </row>
        <row r="6089">
          <cell r="F6089" t="str">
            <v>DA96-01324A</v>
          </cell>
          <cell r="G6089" t="str">
            <v>LABEL</v>
          </cell>
          <cell r="H6089" t="str">
            <v>LAB1152</v>
          </cell>
        </row>
        <row r="6090">
          <cell r="F6090" t="str">
            <v>DA96-01312C</v>
          </cell>
          <cell r="G6090" t="str">
            <v>LABEL</v>
          </cell>
          <cell r="H6090" t="str">
            <v>LAB1151</v>
          </cell>
        </row>
        <row r="6091">
          <cell r="F6091" t="str">
            <v>DA96-01312A</v>
          </cell>
          <cell r="G6091" t="str">
            <v>LABEL</v>
          </cell>
          <cell r="H6091" t="str">
            <v>LAB1150</v>
          </cell>
        </row>
        <row r="6092">
          <cell r="F6092" t="str">
            <v>DA96-01311A</v>
          </cell>
          <cell r="G6092" t="str">
            <v>LABEL</v>
          </cell>
          <cell r="H6092" t="str">
            <v>LAB1149</v>
          </cell>
        </row>
        <row r="6093">
          <cell r="F6093" t="str">
            <v>DC93-00721G(QR)</v>
          </cell>
          <cell r="G6093" t="str">
            <v>LABEL</v>
          </cell>
          <cell r="H6093" t="str">
            <v>LAB1148</v>
          </cell>
        </row>
        <row r="6094">
          <cell r="F6094" t="str">
            <v>DC93-00721F(QR)</v>
          </cell>
          <cell r="G6094" t="str">
            <v>LABEL</v>
          </cell>
          <cell r="H6094" t="str">
            <v>LAB1147</v>
          </cell>
        </row>
        <row r="6095">
          <cell r="F6095" t="str">
            <v>DC93-00721E(QR)</v>
          </cell>
          <cell r="G6095" t="str">
            <v>LABEL</v>
          </cell>
          <cell r="H6095" t="str">
            <v>LAB1146</v>
          </cell>
        </row>
        <row r="6096">
          <cell r="F6096" t="str">
            <v>LABEL 30X15</v>
          </cell>
          <cell r="G6096" t="str">
            <v>LABEL</v>
          </cell>
          <cell r="H6096" t="str">
            <v>LAB1145</v>
          </cell>
        </row>
        <row r="6097">
          <cell r="F6097" t="str">
            <v>DA96-01003G</v>
          </cell>
          <cell r="G6097" t="str">
            <v>LABEL</v>
          </cell>
          <cell r="H6097" t="str">
            <v>LAB1143</v>
          </cell>
        </row>
        <row r="6098">
          <cell r="F6098" t="str">
            <v>DC93-00503F(QR)</v>
          </cell>
          <cell r="G6098" t="str">
            <v>LABEL</v>
          </cell>
          <cell r="H6098" t="str">
            <v>LAB1140</v>
          </cell>
        </row>
        <row r="6099">
          <cell r="F6099" t="str">
            <v>DC93-00530J(QR)</v>
          </cell>
          <cell r="G6099" t="str">
            <v>LABEL</v>
          </cell>
          <cell r="H6099" t="str">
            <v>LAB1139</v>
          </cell>
        </row>
        <row r="6100">
          <cell r="F6100" t="str">
            <v>DC93-00530H(QR)</v>
          </cell>
          <cell r="G6100" t="str">
            <v>LABEL</v>
          </cell>
          <cell r="H6100" t="str">
            <v>LAB1138</v>
          </cell>
        </row>
        <row r="6101">
          <cell r="F6101" t="str">
            <v>DC96-01567C(QR)</v>
          </cell>
          <cell r="G6101" t="str">
            <v>LABEL</v>
          </cell>
          <cell r="H6101" t="str">
            <v>LAB1137</v>
          </cell>
        </row>
        <row r="6102">
          <cell r="F6102" t="str">
            <v>DC93-00652A(QR)</v>
          </cell>
          <cell r="G6102" t="str">
            <v>LABEL</v>
          </cell>
          <cell r="H6102" t="str">
            <v>LAB1136</v>
          </cell>
        </row>
        <row r="6103">
          <cell r="F6103" t="str">
            <v>DC93-00651D(QR)</v>
          </cell>
          <cell r="G6103" t="str">
            <v>LABEL</v>
          </cell>
          <cell r="H6103" t="str">
            <v>LAB1135</v>
          </cell>
        </row>
        <row r="6104">
          <cell r="F6104" t="str">
            <v>DC93-00651C(QR)</v>
          </cell>
          <cell r="G6104" t="str">
            <v>LABEL</v>
          </cell>
          <cell r="H6104" t="str">
            <v>LAB1134</v>
          </cell>
        </row>
        <row r="6105">
          <cell r="F6105" t="str">
            <v>DC93-00651B(QR)</v>
          </cell>
          <cell r="G6105" t="str">
            <v>LABEL</v>
          </cell>
          <cell r="H6105" t="str">
            <v>LAB1133</v>
          </cell>
        </row>
        <row r="6106">
          <cell r="F6106" t="str">
            <v>DC93-00651A(QR)</v>
          </cell>
          <cell r="G6106" t="str">
            <v>LABEL</v>
          </cell>
          <cell r="H6106" t="str">
            <v>LAB1132</v>
          </cell>
        </row>
        <row r="6107">
          <cell r="F6107" t="str">
            <v>DC93-00552H(QR)</v>
          </cell>
          <cell r="G6107" t="str">
            <v>LABEL</v>
          </cell>
          <cell r="H6107" t="str">
            <v>LAB1131</v>
          </cell>
        </row>
        <row r="6108">
          <cell r="F6108" t="str">
            <v>DC93-00552G(QR)</v>
          </cell>
          <cell r="G6108" t="str">
            <v>LABEL</v>
          </cell>
          <cell r="H6108" t="str">
            <v>LAB1130</v>
          </cell>
        </row>
        <row r="6109">
          <cell r="F6109" t="str">
            <v>DC93-00552E(QR)</v>
          </cell>
          <cell r="G6109" t="str">
            <v>LABEL</v>
          </cell>
          <cell r="H6109" t="str">
            <v>LAB1129</v>
          </cell>
        </row>
        <row r="6110">
          <cell r="F6110" t="str">
            <v>DC93-00552A(QR)</v>
          </cell>
          <cell r="G6110" t="str">
            <v>LABEL</v>
          </cell>
          <cell r="H6110" t="str">
            <v>LAB1128</v>
          </cell>
        </row>
        <row r="6111">
          <cell r="F6111" t="str">
            <v>DC93-00499F(QR)</v>
          </cell>
          <cell r="G6111" t="str">
            <v>LABEL</v>
          </cell>
          <cell r="H6111" t="str">
            <v>LAB1127</v>
          </cell>
        </row>
        <row r="6112">
          <cell r="F6112" t="str">
            <v>DC93-00499E(QR)</v>
          </cell>
          <cell r="G6112" t="str">
            <v>LABEL</v>
          </cell>
          <cell r="H6112" t="str">
            <v>LAB1126</v>
          </cell>
        </row>
        <row r="6113">
          <cell r="F6113" t="str">
            <v>DA96-01284B</v>
          </cell>
          <cell r="G6113" t="str">
            <v>LABEL</v>
          </cell>
          <cell r="H6113" t="str">
            <v>LAB1124</v>
          </cell>
        </row>
        <row r="6114">
          <cell r="F6114" t="str">
            <v>DA96-01284A</v>
          </cell>
          <cell r="G6114" t="str">
            <v>LABEL</v>
          </cell>
          <cell r="H6114" t="str">
            <v>LAB1123</v>
          </cell>
        </row>
        <row r="6115">
          <cell r="F6115" t="str">
            <v>DA96-01283B</v>
          </cell>
          <cell r="G6115" t="str">
            <v>LABEL</v>
          </cell>
          <cell r="H6115" t="str">
            <v>LAB1122</v>
          </cell>
        </row>
        <row r="6116">
          <cell r="F6116" t="str">
            <v>DA96-01283A</v>
          </cell>
          <cell r="G6116" t="str">
            <v>LABEL</v>
          </cell>
          <cell r="H6116" t="str">
            <v>LAB1121</v>
          </cell>
        </row>
        <row r="6117">
          <cell r="F6117" t="str">
            <v>DA96-01003F</v>
          </cell>
          <cell r="G6117" t="str">
            <v>LABEL</v>
          </cell>
          <cell r="H6117" t="str">
            <v>LAB1120</v>
          </cell>
        </row>
        <row r="6118">
          <cell r="F6118" t="str">
            <v>DA96-01232C</v>
          </cell>
          <cell r="G6118" t="str">
            <v>LABEL</v>
          </cell>
          <cell r="H6118" t="str">
            <v>LAB1119</v>
          </cell>
        </row>
        <row r="6119">
          <cell r="F6119" t="str">
            <v>DA96-01232B</v>
          </cell>
          <cell r="G6119" t="str">
            <v>LABEL</v>
          </cell>
          <cell r="H6119" t="str">
            <v>LAB1118</v>
          </cell>
        </row>
        <row r="6120">
          <cell r="F6120" t="str">
            <v>DA96-00600G</v>
          </cell>
          <cell r="G6120" t="str">
            <v>LABEL</v>
          </cell>
          <cell r="H6120" t="str">
            <v>LAB1117</v>
          </cell>
        </row>
        <row r="6121">
          <cell r="F6121" t="str">
            <v>DA96-00600F</v>
          </cell>
          <cell r="G6121" t="str">
            <v>LABEL</v>
          </cell>
          <cell r="H6121" t="str">
            <v>LAB1116</v>
          </cell>
        </row>
        <row r="6122">
          <cell r="F6122" t="str">
            <v>DA96-01231B</v>
          </cell>
          <cell r="G6122" t="str">
            <v>LABEL</v>
          </cell>
          <cell r="H6122" t="str">
            <v>LAB1115</v>
          </cell>
        </row>
        <row r="6123">
          <cell r="F6123" t="str">
            <v>DA96-00601G</v>
          </cell>
          <cell r="G6123" t="str">
            <v>LABEL</v>
          </cell>
          <cell r="H6123" t="str">
            <v>LAB1114</v>
          </cell>
        </row>
        <row r="6124">
          <cell r="F6124" t="str">
            <v>DA96-00603G</v>
          </cell>
          <cell r="G6124" t="str">
            <v>LABEL</v>
          </cell>
          <cell r="H6124" t="str">
            <v>LAB1113</v>
          </cell>
        </row>
        <row r="6125">
          <cell r="F6125" t="str">
            <v>DA96-00603F</v>
          </cell>
          <cell r="G6125" t="str">
            <v>LABEL</v>
          </cell>
          <cell r="H6125" t="str">
            <v>LAB1112</v>
          </cell>
        </row>
        <row r="6126">
          <cell r="F6126" t="str">
            <v>DA96-00604G</v>
          </cell>
          <cell r="G6126" t="str">
            <v>LABEL</v>
          </cell>
          <cell r="H6126" t="str">
            <v>LAB1111</v>
          </cell>
        </row>
        <row r="6127">
          <cell r="F6127" t="str">
            <v>DC93-00639B(QR)</v>
          </cell>
          <cell r="G6127" t="str">
            <v>LABEL</v>
          </cell>
          <cell r="H6127" t="str">
            <v>LAB1110</v>
          </cell>
        </row>
        <row r="6128">
          <cell r="F6128" t="str">
            <v>DC93-00639A(QR)</v>
          </cell>
          <cell r="G6128" t="str">
            <v>LABEL</v>
          </cell>
          <cell r="H6128" t="str">
            <v>LAB1109</v>
          </cell>
        </row>
        <row r="6129">
          <cell r="F6129" t="str">
            <v>DA96-01242P</v>
          </cell>
          <cell r="G6129" t="str">
            <v>LABEL</v>
          </cell>
          <cell r="H6129" t="str">
            <v>LAB1108</v>
          </cell>
        </row>
        <row r="6130">
          <cell r="F6130" t="str">
            <v>DA96-01242N</v>
          </cell>
          <cell r="G6130" t="str">
            <v>LABEL</v>
          </cell>
          <cell r="H6130" t="str">
            <v>LAB1107</v>
          </cell>
        </row>
        <row r="6131">
          <cell r="F6131" t="str">
            <v>DA96-01249D</v>
          </cell>
          <cell r="G6131" t="str">
            <v>LABEL</v>
          </cell>
          <cell r="H6131" t="str">
            <v>LAB1106</v>
          </cell>
        </row>
        <row r="6132">
          <cell r="F6132" t="str">
            <v>DA96-01291C</v>
          </cell>
          <cell r="G6132" t="str">
            <v>LABEL</v>
          </cell>
          <cell r="H6132" t="str">
            <v>LAB1105</v>
          </cell>
        </row>
        <row r="6133">
          <cell r="F6133" t="str">
            <v>DA96-01291B</v>
          </cell>
          <cell r="G6133" t="str">
            <v>LABEL</v>
          </cell>
          <cell r="H6133" t="str">
            <v>LAB1104</v>
          </cell>
        </row>
        <row r="6134">
          <cell r="F6134" t="str">
            <v>무지LABEL 70X30</v>
          </cell>
          <cell r="G6134" t="str">
            <v>LABEL</v>
          </cell>
          <cell r="H6134" t="str">
            <v>LAB1103</v>
          </cell>
        </row>
        <row r="6135">
          <cell r="F6135" t="str">
            <v>DC93-00721D(QR)</v>
          </cell>
          <cell r="G6135" t="str">
            <v>LABEL</v>
          </cell>
          <cell r="H6135" t="str">
            <v>LAB1102</v>
          </cell>
        </row>
        <row r="6136">
          <cell r="F6136" t="str">
            <v>DC93-00721C(QR)</v>
          </cell>
          <cell r="G6136" t="str">
            <v>LABEL</v>
          </cell>
          <cell r="H6136" t="str">
            <v>LAB1101</v>
          </cell>
        </row>
        <row r="6137">
          <cell r="F6137" t="str">
            <v>DC93-00690C(NORMAL)</v>
          </cell>
          <cell r="G6137" t="str">
            <v>LABEL</v>
          </cell>
          <cell r="H6137" t="str">
            <v>LAB1099</v>
          </cell>
        </row>
        <row r="6138">
          <cell r="F6138" t="str">
            <v>DC93-00690B(NORMAL)</v>
          </cell>
          <cell r="G6138" t="str">
            <v>LABEL</v>
          </cell>
          <cell r="H6138" t="str">
            <v>LAB1098</v>
          </cell>
        </row>
        <row r="6139">
          <cell r="F6139" t="str">
            <v>DC93-00690A(NORMAL)</v>
          </cell>
          <cell r="G6139" t="str">
            <v>LABEL</v>
          </cell>
          <cell r="H6139" t="str">
            <v>LAB1097</v>
          </cell>
        </row>
        <row r="6140">
          <cell r="F6140" t="str">
            <v>DC93-00721B(QR)</v>
          </cell>
          <cell r="G6140" t="str">
            <v>LABEL</v>
          </cell>
          <cell r="H6140" t="str">
            <v>LAB1091</v>
          </cell>
        </row>
        <row r="6141">
          <cell r="F6141" t="str">
            <v>DA96-01252G</v>
          </cell>
          <cell r="G6141" t="str">
            <v>LABEL</v>
          </cell>
          <cell r="H6141" t="str">
            <v>LAB1090</v>
          </cell>
        </row>
        <row r="6142">
          <cell r="F6142" t="str">
            <v>DA96-01288B</v>
          </cell>
          <cell r="G6142" t="str">
            <v>LABEL</v>
          </cell>
          <cell r="H6142" t="str">
            <v>LAB1089</v>
          </cell>
        </row>
        <row r="6143">
          <cell r="F6143" t="str">
            <v>DA96-01288A</v>
          </cell>
          <cell r="G6143" t="str">
            <v>LABEL</v>
          </cell>
          <cell r="H6143" t="str">
            <v>LAB1088</v>
          </cell>
        </row>
        <row r="6144">
          <cell r="F6144" t="str">
            <v>DA96-00636T</v>
          </cell>
          <cell r="G6144" t="str">
            <v>LABEL</v>
          </cell>
          <cell r="H6144" t="str">
            <v>LAB1087</v>
          </cell>
        </row>
        <row r="6145">
          <cell r="F6145" t="str">
            <v>DC93-00717A(QR)</v>
          </cell>
          <cell r="G6145" t="str">
            <v>LABEL</v>
          </cell>
          <cell r="H6145" t="str">
            <v>LAB1086</v>
          </cell>
        </row>
        <row r="6146">
          <cell r="F6146" t="str">
            <v>DA96-01202B</v>
          </cell>
          <cell r="G6146" t="str">
            <v>LABEL</v>
          </cell>
          <cell r="H6146" t="str">
            <v>LAB1085</v>
          </cell>
        </row>
        <row r="6147">
          <cell r="F6147" t="str">
            <v>DC93-00721A(QR)</v>
          </cell>
          <cell r="G6147" t="str">
            <v>LABEL</v>
          </cell>
          <cell r="H6147" t="str">
            <v>LAB1084</v>
          </cell>
        </row>
        <row r="6148">
          <cell r="F6148" t="str">
            <v>DA96-01179C</v>
          </cell>
          <cell r="G6148" t="str">
            <v>LABEL</v>
          </cell>
          <cell r="H6148" t="str">
            <v>LAB1083</v>
          </cell>
        </row>
        <row r="6149">
          <cell r="F6149" t="str">
            <v>DA96-01252A</v>
          </cell>
          <cell r="G6149" t="str">
            <v>LABEL</v>
          </cell>
          <cell r="H6149" t="str">
            <v>LAB1082</v>
          </cell>
        </row>
        <row r="6150">
          <cell r="F6150" t="str">
            <v>DA96-01274A</v>
          </cell>
          <cell r="G6150" t="str">
            <v>LABEL</v>
          </cell>
          <cell r="H6150" t="str">
            <v>LAB1081</v>
          </cell>
        </row>
        <row r="6151">
          <cell r="F6151" t="str">
            <v>DB93-14039A</v>
          </cell>
          <cell r="G6151" t="str">
            <v>LABEL</v>
          </cell>
          <cell r="H6151" t="str">
            <v>LAB1080</v>
          </cell>
        </row>
        <row r="6152">
          <cell r="F6152" t="str">
            <v>DC93-00582E(NORMAL)</v>
          </cell>
          <cell r="G6152" t="str">
            <v>LABEL</v>
          </cell>
          <cell r="H6152" t="str">
            <v>LAB1078</v>
          </cell>
        </row>
        <row r="6153">
          <cell r="F6153" t="str">
            <v>DC93-00621H(QR)</v>
          </cell>
          <cell r="G6153" t="str">
            <v>LABEL</v>
          </cell>
          <cell r="H6153" t="str">
            <v>LAB1077</v>
          </cell>
        </row>
        <row r="6154">
          <cell r="F6154" t="str">
            <v>DC93-00621G(QR)</v>
          </cell>
          <cell r="G6154" t="str">
            <v>LABEL</v>
          </cell>
          <cell r="H6154" t="str">
            <v>LAB1076</v>
          </cell>
        </row>
        <row r="6155">
          <cell r="F6155" t="str">
            <v>Bending Label(6M,Hanwha)</v>
          </cell>
          <cell r="G6155" t="str">
            <v>LABEL</v>
          </cell>
          <cell r="H6155" t="str">
            <v>LAB1075</v>
          </cell>
        </row>
        <row r="6156">
          <cell r="F6156" t="str">
            <v>DA96-01204C</v>
          </cell>
          <cell r="G6156" t="str">
            <v>LABEL</v>
          </cell>
          <cell r="H6156" t="str">
            <v>LAB1074</v>
          </cell>
        </row>
        <row r="6157">
          <cell r="F6157" t="str">
            <v>DA96-01204B</v>
          </cell>
          <cell r="G6157" t="str">
            <v>LABEL</v>
          </cell>
          <cell r="H6157" t="str">
            <v>LAB1073</v>
          </cell>
        </row>
        <row r="6158">
          <cell r="F6158" t="str">
            <v>DA96-01204A</v>
          </cell>
          <cell r="G6158" t="str">
            <v>LABEL</v>
          </cell>
          <cell r="H6158" t="str">
            <v>LAB1072</v>
          </cell>
        </row>
        <row r="6159">
          <cell r="F6159" t="str">
            <v>DA96-01255D</v>
          </cell>
          <cell r="G6159" t="str">
            <v>LABEL</v>
          </cell>
          <cell r="H6159" t="str">
            <v>LAB1071</v>
          </cell>
        </row>
        <row r="6160">
          <cell r="F6160" t="str">
            <v>DA96-01255C</v>
          </cell>
          <cell r="G6160" t="str">
            <v>LABEL</v>
          </cell>
          <cell r="H6160" t="str">
            <v>LAB1070</v>
          </cell>
        </row>
        <row r="6161">
          <cell r="F6161" t="str">
            <v>DA96-01255B</v>
          </cell>
          <cell r="G6161" t="str">
            <v>LABEL</v>
          </cell>
          <cell r="H6161" t="str">
            <v>LAB1069</v>
          </cell>
        </row>
        <row r="6162">
          <cell r="F6162" t="str">
            <v>DA96-01255A</v>
          </cell>
          <cell r="G6162" t="str">
            <v>LABEL</v>
          </cell>
          <cell r="H6162" t="str">
            <v>LAB1068</v>
          </cell>
        </row>
        <row r="6163">
          <cell r="F6163" t="str">
            <v>DA96-01252E</v>
          </cell>
          <cell r="G6163" t="str">
            <v>LABEL</v>
          </cell>
          <cell r="H6163" t="str">
            <v>LAB1067</v>
          </cell>
        </row>
        <row r="6164">
          <cell r="F6164" t="str">
            <v>DC93-00704A(NORMAL)</v>
          </cell>
          <cell r="G6164" t="str">
            <v>LABEL</v>
          </cell>
          <cell r="H6164" t="str">
            <v>LAB1066</v>
          </cell>
        </row>
        <row r="6165">
          <cell r="F6165" t="str">
            <v>DC93-00693A(NORMAL)</v>
          </cell>
          <cell r="G6165" t="str">
            <v>LABEL</v>
          </cell>
          <cell r="H6165" t="str">
            <v>LAB1065</v>
          </cell>
        </row>
        <row r="6166">
          <cell r="F6166" t="str">
            <v>DC93-00688A(NORMAL)</v>
          </cell>
          <cell r="G6166" t="str">
            <v>LABEL</v>
          </cell>
          <cell r="H6166" t="str">
            <v>LAB1064</v>
          </cell>
        </row>
        <row r="6167">
          <cell r="F6167" t="str">
            <v>DC93-00691C(NORMAL)</v>
          </cell>
          <cell r="G6167" t="str">
            <v>LABEL</v>
          </cell>
          <cell r="H6167" t="str">
            <v>LAB1063</v>
          </cell>
        </row>
        <row r="6168">
          <cell r="F6168" t="str">
            <v>DC93-00691B(NORMAL)</v>
          </cell>
          <cell r="G6168" t="str">
            <v>LABEL</v>
          </cell>
          <cell r="H6168" t="str">
            <v>LAB1062</v>
          </cell>
        </row>
        <row r="6169">
          <cell r="F6169" t="str">
            <v>DC93-00691A(NORMAL)</v>
          </cell>
          <cell r="G6169" t="str">
            <v>LABEL</v>
          </cell>
          <cell r="H6169" t="str">
            <v>LAB1061</v>
          </cell>
        </row>
        <row r="6170">
          <cell r="F6170" t="str">
            <v>DC93-00687A(NORMAL)</v>
          </cell>
          <cell r="G6170" t="str">
            <v>LABEL</v>
          </cell>
          <cell r="H6170" t="str">
            <v>LAB1060</v>
          </cell>
        </row>
        <row r="6171">
          <cell r="F6171" t="str">
            <v>DA96-01114E</v>
          </cell>
          <cell r="G6171" t="str">
            <v>LABEL</v>
          </cell>
          <cell r="H6171" t="str">
            <v>LAB1059</v>
          </cell>
        </row>
        <row r="6172">
          <cell r="F6172" t="str">
            <v>DA96-01235D</v>
          </cell>
          <cell r="G6172" t="str">
            <v>LABEL</v>
          </cell>
          <cell r="H6172" t="str">
            <v>LAB1058</v>
          </cell>
        </row>
        <row r="6173">
          <cell r="F6173" t="str">
            <v>DA96-01249B</v>
          </cell>
          <cell r="G6173" t="str">
            <v>LABEL</v>
          </cell>
          <cell r="H6173" t="str">
            <v>LAB1057</v>
          </cell>
        </row>
        <row r="6174">
          <cell r="F6174" t="str">
            <v>DA96-01248B</v>
          </cell>
          <cell r="G6174" t="str">
            <v>LABEL</v>
          </cell>
          <cell r="H6174" t="str">
            <v>LAB1056</v>
          </cell>
        </row>
        <row r="6175">
          <cell r="F6175" t="str">
            <v>DA96-01244A</v>
          </cell>
          <cell r="G6175" t="str">
            <v>LABEL</v>
          </cell>
          <cell r="H6175" t="str">
            <v>LAB1055</v>
          </cell>
        </row>
        <row r="6176">
          <cell r="F6176" t="str">
            <v>DA96-01243A</v>
          </cell>
          <cell r="G6176" t="str">
            <v>LABEL</v>
          </cell>
          <cell r="H6176" t="str">
            <v>LAB1054</v>
          </cell>
        </row>
        <row r="6177">
          <cell r="F6177" t="str">
            <v>DA96-01241B</v>
          </cell>
          <cell r="G6177" t="str">
            <v>LABEL</v>
          </cell>
          <cell r="H6177" t="str">
            <v>LAB1053</v>
          </cell>
        </row>
        <row r="6178">
          <cell r="F6178" t="str">
            <v>DA96-01241A</v>
          </cell>
          <cell r="G6178" t="str">
            <v>LABEL</v>
          </cell>
          <cell r="H6178" t="str">
            <v>LAB1052</v>
          </cell>
        </row>
        <row r="6179">
          <cell r="F6179" t="str">
            <v>DA96-01120L</v>
          </cell>
          <cell r="G6179" t="str">
            <v>LABEL</v>
          </cell>
          <cell r="H6179" t="str">
            <v>LAB1051</v>
          </cell>
        </row>
        <row r="6180">
          <cell r="F6180" t="str">
            <v>DA96-01249A</v>
          </cell>
          <cell r="G6180" t="str">
            <v>LABEL</v>
          </cell>
          <cell r="H6180" t="str">
            <v>LAB1049</v>
          </cell>
        </row>
        <row r="6181">
          <cell r="F6181" t="str">
            <v>DA96-01248A</v>
          </cell>
          <cell r="G6181" t="str">
            <v>LABEL</v>
          </cell>
          <cell r="H6181" t="str">
            <v>LAB1048</v>
          </cell>
        </row>
        <row r="6182">
          <cell r="F6182" t="str">
            <v>DA96-01244B</v>
          </cell>
          <cell r="G6182" t="str">
            <v>LABEL</v>
          </cell>
          <cell r="H6182" t="str">
            <v>LAB1047</v>
          </cell>
        </row>
        <row r="6183">
          <cell r="F6183" t="str">
            <v>DA96-01244C</v>
          </cell>
          <cell r="G6183" t="str">
            <v>LABEL</v>
          </cell>
          <cell r="H6183" t="str">
            <v>LAB1046</v>
          </cell>
        </row>
        <row r="6184">
          <cell r="F6184" t="str">
            <v>DA96-01243C</v>
          </cell>
          <cell r="G6184" t="str">
            <v>LABEL</v>
          </cell>
          <cell r="H6184" t="str">
            <v>LAB1045</v>
          </cell>
        </row>
        <row r="6185">
          <cell r="F6185" t="str">
            <v>DA96-01242M</v>
          </cell>
          <cell r="G6185" t="str">
            <v>LABEL</v>
          </cell>
          <cell r="H6185" t="str">
            <v>LAB1044</v>
          </cell>
        </row>
        <row r="6186">
          <cell r="F6186" t="str">
            <v>DA96-01242L</v>
          </cell>
          <cell r="G6186" t="str">
            <v>LABEL</v>
          </cell>
          <cell r="H6186" t="str">
            <v>LAB1043</v>
          </cell>
        </row>
        <row r="6187">
          <cell r="F6187" t="str">
            <v>DA96-01242K</v>
          </cell>
          <cell r="G6187" t="str">
            <v>LABEL</v>
          </cell>
          <cell r="H6187" t="str">
            <v>LAB1042</v>
          </cell>
        </row>
        <row r="6188">
          <cell r="F6188" t="str">
            <v>DA96-01242J</v>
          </cell>
          <cell r="G6188" t="str">
            <v>LABEL</v>
          </cell>
          <cell r="H6188" t="str">
            <v>LAB1041</v>
          </cell>
        </row>
        <row r="6189">
          <cell r="F6189" t="str">
            <v>DA96-01242H</v>
          </cell>
          <cell r="G6189" t="str">
            <v>LABEL</v>
          </cell>
          <cell r="H6189" t="str">
            <v>LAB1040</v>
          </cell>
        </row>
        <row r="6190">
          <cell r="F6190" t="str">
            <v>DA96-01242G</v>
          </cell>
          <cell r="G6190" t="str">
            <v>LABEL</v>
          </cell>
          <cell r="H6190" t="str">
            <v>LAB1039</v>
          </cell>
        </row>
        <row r="6191">
          <cell r="F6191" t="str">
            <v>DA96-01242F</v>
          </cell>
          <cell r="G6191" t="str">
            <v>LABEL</v>
          </cell>
          <cell r="H6191" t="str">
            <v>LAB1038</v>
          </cell>
        </row>
        <row r="6192">
          <cell r="F6192" t="str">
            <v>DA96-01242E</v>
          </cell>
          <cell r="G6192" t="str">
            <v>LABEL</v>
          </cell>
          <cell r="H6192" t="str">
            <v>LAB1037</v>
          </cell>
        </row>
        <row r="6193">
          <cell r="F6193" t="str">
            <v>DA96-01242D</v>
          </cell>
          <cell r="G6193" t="str">
            <v>LABEL</v>
          </cell>
          <cell r="H6193" t="str">
            <v>LAB1036</v>
          </cell>
        </row>
        <row r="6194">
          <cell r="F6194" t="str">
            <v>DA96-01242C</v>
          </cell>
          <cell r="G6194" t="str">
            <v>LABEL</v>
          </cell>
          <cell r="H6194" t="str">
            <v>LAB1035</v>
          </cell>
        </row>
        <row r="6195">
          <cell r="F6195" t="str">
            <v>DA96-01242A</v>
          </cell>
          <cell r="G6195" t="str">
            <v>LABEL</v>
          </cell>
          <cell r="H6195" t="str">
            <v>LAB1034</v>
          </cell>
        </row>
        <row r="6196">
          <cell r="F6196" t="str">
            <v>DA96-01141Q</v>
          </cell>
          <cell r="G6196" t="str">
            <v>LABEL</v>
          </cell>
          <cell r="H6196" t="str">
            <v>LAB1033</v>
          </cell>
        </row>
        <row r="6197">
          <cell r="F6197" t="str">
            <v>DA96-01141P</v>
          </cell>
          <cell r="G6197" t="str">
            <v>LABEL</v>
          </cell>
          <cell r="H6197" t="str">
            <v>LAB1032</v>
          </cell>
        </row>
        <row r="6198">
          <cell r="F6198" t="str">
            <v>DA96-01141N</v>
          </cell>
          <cell r="G6198" t="str">
            <v>LABEL</v>
          </cell>
          <cell r="H6198" t="str">
            <v>LAB1031</v>
          </cell>
        </row>
        <row r="6199">
          <cell r="F6199" t="str">
            <v>DA96-01242B</v>
          </cell>
          <cell r="G6199" t="str">
            <v>LABEL</v>
          </cell>
          <cell r="H6199" t="str">
            <v>LAB1030</v>
          </cell>
        </row>
        <row r="6200">
          <cell r="F6200" t="str">
            <v>DA96-01243B</v>
          </cell>
          <cell r="G6200" t="str">
            <v>LABEL</v>
          </cell>
          <cell r="H6200" t="str">
            <v>LAB1029</v>
          </cell>
        </row>
        <row r="6201">
          <cell r="F6201" t="str">
            <v>LN(클로버 정수기 LABEL)</v>
          </cell>
          <cell r="G6201" t="str">
            <v>LABEL</v>
          </cell>
          <cell r="H6201" t="str">
            <v>LAB1028</v>
          </cell>
        </row>
        <row r="6202">
          <cell r="F6202" t="str">
            <v>DA96-00604F</v>
          </cell>
          <cell r="G6202" t="str">
            <v>LABEL</v>
          </cell>
          <cell r="H6202" t="str">
            <v>LAB1027</v>
          </cell>
        </row>
        <row r="6203">
          <cell r="F6203" t="str">
            <v>DA96-00604E</v>
          </cell>
          <cell r="G6203" t="str">
            <v>LABEL</v>
          </cell>
          <cell r="H6203" t="str">
            <v>LAB1026</v>
          </cell>
        </row>
        <row r="6204">
          <cell r="F6204" t="str">
            <v>DA96-00606D</v>
          </cell>
          <cell r="G6204" t="str">
            <v>LABEL</v>
          </cell>
          <cell r="H6204" t="str">
            <v>LAB1024</v>
          </cell>
        </row>
        <row r="6205">
          <cell r="F6205" t="str">
            <v>지게차 주의 LABEL</v>
          </cell>
          <cell r="G6205" t="str">
            <v>LABEL</v>
          </cell>
          <cell r="H6205" t="str">
            <v>LAB1023</v>
          </cell>
        </row>
        <row r="6206">
          <cell r="F6206" t="str">
            <v>DA96-01235C</v>
          </cell>
          <cell r="G6206" t="str">
            <v>LABEL</v>
          </cell>
          <cell r="H6206" t="str">
            <v>LAB1022</v>
          </cell>
        </row>
        <row r="6207">
          <cell r="F6207" t="str">
            <v>DA96-01235B</v>
          </cell>
          <cell r="G6207" t="str">
            <v>LABEL</v>
          </cell>
          <cell r="H6207" t="str">
            <v>LAB1021</v>
          </cell>
        </row>
        <row r="6208">
          <cell r="F6208" t="str">
            <v>DA96-01235A</v>
          </cell>
          <cell r="G6208" t="str">
            <v>LABEL</v>
          </cell>
          <cell r="H6208" t="str">
            <v>LAB1020</v>
          </cell>
        </row>
        <row r="6209">
          <cell r="F6209" t="str">
            <v>DA96-01206D</v>
          </cell>
          <cell r="G6209" t="str">
            <v>LABEL</v>
          </cell>
          <cell r="H6209" t="str">
            <v>LAB1019</v>
          </cell>
        </row>
        <row r="6210">
          <cell r="F6210" t="str">
            <v>DA96-01206C</v>
          </cell>
          <cell r="G6210" t="str">
            <v>LABEL</v>
          </cell>
          <cell r="H6210" t="str">
            <v>LAB1018</v>
          </cell>
        </row>
        <row r="6211">
          <cell r="F6211" t="str">
            <v>DC93-00582D(NORMAL)</v>
          </cell>
          <cell r="G6211" t="str">
            <v>LABEL</v>
          </cell>
          <cell r="H6211" t="str">
            <v>LAB1017</v>
          </cell>
        </row>
        <row r="6212">
          <cell r="F6212" t="str">
            <v>DC93-00582C(NORMAL)</v>
          </cell>
          <cell r="G6212" t="str">
            <v>LABEL</v>
          </cell>
          <cell r="H6212" t="str">
            <v>LAB1016</v>
          </cell>
        </row>
        <row r="6213">
          <cell r="F6213" t="str">
            <v>SMAM-00100C</v>
          </cell>
          <cell r="G6213" t="str">
            <v>LABEL</v>
          </cell>
          <cell r="H6213" t="str">
            <v>LAB1014</v>
          </cell>
        </row>
        <row r="6214">
          <cell r="F6214" t="str">
            <v>DA96-01206B</v>
          </cell>
          <cell r="G6214" t="str">
            <v>LABEL</v>
          </cell>
          <cell r="H6214" t="str">
            <v>LAB1013</v>
          </cell>
        </row>
        <row r="6215">
          <cell r="F6215" t="str">
            <v>DA96-01206A</v>
          </cell>
          <cell r="G6215" t="str">
            <v>LABEL</v>
          </cell>
          <cell r="H6215" t="str">
            <v>LAB1012</v>
          </cell>
        </row>
        <row r="6216">
          <cell r="F6216" t="str">
            <v>DA96-00955L</v>
          </cell>
          <cell r="G6216" t="str">
            <v>LABEL</v>
          </cell>
          <cell r="H6216" t="str">
            <v>LAB1011</v>
          </cell>
        </row>
        <row r="6217">
          <cell r="F6217" t="str">
            <v>DA96-01202A</v>
          </cell>
          <cell r="G6217" t="str">
            <v>LABEL</v>
          </cell>
          <cell r="H6217" t="str">
            <v>LAB1010</v>
          </cell>
        </row>
        <row r="6218">
          <cell r="F6218" t="str">
            <v>DA96-01120K</v>
          </cell>
          <cell r="G6218" t="str">
            <v>LABEL</v>
          </cell>
          <cell r="H6218" t="str">
            <v>LAB1009</v>
          </cell>
        </row>
        <row r="6219">
          <cell r="F6219" t="str">
            <v>DA96-01141M</v>
          </cell>
          <cell r="G6219" t="str">
            <v>LABEL</v>
          </cell>
          <cell r="H6219" t="str">
            <v>LAB1008</v>
          </cell>
        </row>
        <row r="6220">
          <cell r="F6220" t="str">
            <v>DA96-01193A</v>
          </cell>
          <cell r="G6220" t="str">
            <v>LABEL</v>
          </cell>
          <cell r="H6220" t="str">
            <v>LAB1007</v>
          </cell>
        </row>
        <row r="6221">
          <cell r="F6221" t="str">
            <v>DC93-00650A(15X35)</v>
          </cell>
          <cell r="G6221" t="str">
            <v>LABEL</v>
          </cell>
          <cell r="H6221" t="str">
            <v>LAB1006</v>
          </cell>
        </row>
        <row r="6222">
          <cell r="F6222" t="str">
            <v>DC93-00649A(QR)</v>
          </cell>
          <cell r="G6222" t="str">
            <v>LABEL</v>
          </cell>
          <cell r="H6222" t="str">
            <v>LAB1005</v>
          </cell>
        </row>
        <row r="6223">
          <cell r="F6223" t="str">
            <v>DA96-01120M</v>
          </cell>
          <cell r="G6223" t="str">
            <v>LABEL</v>
          </cell>
          <cell r="H6223" t="str">
            <v>LAB1004</v>
          </cell>
        </row>
        <row r="6224">
          <cell r="F6224" t="str">
            <v>DA96-01045D</v>
          </cell>
          <cell r="G6224" t="str">
            <v>LABEL</v>
          </cell>
          <cell r="H6224" t="str">
            <v>LAB0993</v>
          </cell>
        </row>
        <row r="6225">
          <cell r="F6225" t="str">
            <v>DA96-01045C</v>
          </cell>
          <cell r="G6225" t="str">
            <v>LABEL</v>
          </cell>
          <cell r="H6225" t="str">
            <v>LAB0992</v>
          </cell>
        </row>
        <row r="6226">
          <cell r="F6226" t="str">
            <v>DA96-01045A</v>
          </cell>
          <cell r="G6226" t="str">
            <v>LABEL</v>
          </cell>
          <cell r="H6226" t="str">
            <v>LAB0991</v>
          </cell>
        </row>
        <row r="6227">
          <cell r="F6227" t="str">
            <v>DA96-01042E</v>
          </cell>
          <cell r="G6227" t="str">
            <v>LABEL</v>
          </cell>
          <cell r="H6227" t="str">
            <v>LAB0990</v>
          </cell>
        </row>
        <row r="6228">
          <cell r="F6228" t="str">
            <v>DA96-00625S</v>
          </cell>
          <cell r="G6228" t="str">
            <v>LABEL</v>
          </cell>
          <cell r="H6228" t="str">
            <v>LAB0989</v>
          </cell>
        </row>
        <row r="6229">
          <cell r="F6229" t="str">
            <v>DA96-01183C</v>
          </cell>
          <cell r="G6229" t="str">
            <v>LABEL</v>
          </cell>
          <cell r="H6229" t="str">
            <v>LAB0987</v>
          </cell>
        </row>
        <row r="6230">
          <cell r="F6230" t="str">
            <v>DA96-01183B</v>
          </cell>
          <cell r="G6230" t="str">
            <v>LABEL</v>
          </cell>
          <cell r="H6230" t="str">
            <v>LAB0986</v>
          </cell>
        </row>
        <row r="6231">
          <cell r="F6231" t="str">
            <v>DA96-01183A</v>
          </cell>
          <cell r="G6231" t="str">
            <v>LABEL</v>
          </cell>
          <cell r="H6231" t="str">
            <v>LAB0985</v>
          </cell>
        </row>
        <row r="6232">
          <cell r="F6232" t="str">
            <v>DC93-00621F(QR)</v>
          </cell>
          <cell r="G6232" t="str">
            <v>LABEL</v>
          </cell>
          <cell r="H6232" t="str">
            <v>LAB0984</v>
          </cell>
        </row>
        <row r="6233">
          <cell r="F6233" t="str">
            <v>DC93-00621E(QR)</v>
          </cell>
          <cell r="G6233" t="str">
            <v>LABEL</v>
          </cell>
          <cell r="H6233" t="str">
            <v>LAB0983</v>
          </cell>
        </row>
        <row r="6234">
          <cell r="F6234" t="str">
            <v>DC93-00621D(QR)</v>
          </cell>
          <cell r="G6234" t="str">
            <v>LABEL</v>
          </cell>
          <cell r="H6234" t="str">
            <v>LAB0982</v>
          </cell>
        </row>
        <row r="6235">
          <cell r="F6235" t="str">
            <v>DC93-00598A(NORMAL)</v>
          </cell>
          <cell r="G6235" t="str">
            <v>LABEL</v>
          </cell>
          <cell r="H6235" t="str">
            <v>LAB0980</v>
          </cell>
        </row>
        <row r="6236">
          <cell r="F6236" t="str">
            <v>DC93-00580B(NORMAL)</v>
          </cell>
          <cell r="G6236" t="str">
            <v>LABEL</v>
          </cell>
          <cell r="H6236" t="str">
            <v>LAB0979</v>
          </cell>
        </row>
        <row r="6237">
          <cell r="F6237" t="str">
            <v>DC93-00617B(NORMAL)</v>
          </cell>
          <cell r="G6237" t="str">
            <v>LABEL</v>
          </cell>
          <cell r="H6237" t="str">
            <v>LAB0978</v>
          </cell>
        </row>
        <row r="6238">
          <cell r="F6238" t="str">
            <v>DC93-00617A(NORMAL)</v>
          </cell>
          <cell r="G6238" t="str">
            <v>LABEL</v>
          </cell>
          <cell r="H6238" t="str">
            <v>LAB0977</v>
          </cell>
        </row>
        <row r="6239">
          <cell r="F6239" t="str">
            <v>DA96-00964T</v>
          </cell>
          <cell r="G6239" t="str">
            <v>LABEL</v>
          </cell>
          <cell r="H6239" t="str">
            <v>LAB0976</v>
          </cell>
        </row>
        <row r="6240">
          <cell r="F6240" t="str">
            <v>DA96-00964S</v>
          </cell>
          <cell r="G6240" t="str">
            <v>LABEL</v>
          </cell>
          <cell r="H6240" t="str">
            <v>LAB0975</v>
          </cell>
        </row>
        <row r="6241">
          <cell r="F6241" t="str">
            <v>DA96-00964R</v>
          </cell>
          <cell r="G6241" t="str">
            <v>LABEL</v>
          </cell>
          <cell r="H6241" t="str">
            <v>LAB0974</v>
          </cell>
        </row>
        <row r="6242">
          <cell r="F6242" t="str">
            <v>DA96-00964Q</v>
          </cell>
          <cell r="G6242" t="str">
            <v>LABEL</v>
          </cell>
          <cell r="H6242" t="str">
            <v>LAB0973</v>
          </cell>
        </row>
        <row r="6243">
          <cell r="F6243" t="str">
            <v>DA96-00964P</v>
          </cell>
          <cell r="G6243" t="str">
            <v>LABEL</v>
          </cell>
          <cell r="H6243" t="str">
            <v>LAB0972</v>
          </cell>
        </row>
        <row r="6244">
          <cell r="F6244" t="str">
            <v>DA96-00964N</v>
          </cell>
          <cell r="G6244" t="str">
            <v>LABEL</v>
          </cell>
          <cell r="H6244" t="str">
            <v>LAB0971</v>
          </cell>
        </row>
        <row r="6245">
          <cell r="F6245" t="str">
            <v>DA96-00964M</v>
          </cell>
          <cell r="G6245" t="str">
            <v>LABEL</v>
          </cell>
          <cell r="H6245" t="str">
            <v>LAB0970</v>
          </cell>
        </row>
        <row r="6246">
          <cell r="F6246" t="str">
            <v>DA96-00964L</v>
          </cell>
          <cell r="G6246" t="str">
            <v>LABEL</v>
          </cell>
          <cell r="H6246" t="str">
            <v>LAB0969</v>
          </cell>
        </row>
        <row r="6247">
          <cell r="F6247" t="str">
            <v>DA96-00964K</v>
          </cell>
          <cell r="G6247" t="str">
            <v>LABEL</v>
          </cell>
          <cell r="H6247" t="str">
            <v>LAB0968</v>
          </cell>
        </row>
        <row r="6248">
          <cell r="F6248" t="str">
            <v>DA96-01176A</v>
          </cell>
          <cell r="G6248" t="str">
            <v>LABEL</v>
          </cell>
          <cell r="H6248" t="str">
            <v>LAB0967</v>
          </cell>
        </row>
        <row r="6249">
          <cell r="F6249" t="str">
            <v>DC93-00623A(NORMAL)</v>
          </cell>
          <cell r="G6249" t="str">
            <v>LABEL</v>
          </cell>
          <cell r="H6249" t="str">
            <v>LAB0966</v>
          </cell>
        </row>
        <row r="6250">
          <cell r="F6250" t="str">
            <v>DC93-00476B(NORMAL)</v>
          </cell>
          <cell r="G6250" t="str">
            <v>LABEL</v>
          </cell>
          <cell r="H6250" t="str">
            <v>LAB0965</v>
          </cell>
        </row>
        <row r="6251">
          <cell r="F6251" t="str">
            <v>DC93-00476A</v>
          </cell>
          <cell r="G6251" t="str">
            <v>LABEL</v>
          </cell>
          <cell r="H6251" t="str">
            <v>LAB0964</v>
          </cell>
        </row>
        <row r="6252">
          <cell r="F6252" t="str">
            <v>DA96-00911D</v>
          </cell>
          <cell r="G6252" t="str">
            <v>LABEL</v>
          </cell>
          <cell r="H6252" t="str">
            <v>LAB0962</v>
          </cell>
        </row>
        <row r="6253">
          <cell r="F6253" t="str">
            <v>DA96-01120J</v>
          </cell>
          <cell r="G6253" t="str">
            <v>LABEL</v>
          </cell>
          <cell r="H6253" t="str">
            <v>LAB0961</v>
          </cell>
        </row>
        <row r="6254">
          <cell r="F6254" t="str">
            <v>DA96-00983K</v>
          </cell>
          <cell r="G6254" t="str">
            <v>LABEL</v>
          </cell>
          <cell r="H6254" t="str">
            <v>LAB0960</v>
          </cell>
        </row>
        <row r="6255">
          <cell r="F6255" t="str">
            <v>250V 2A(은무 TETRON)</v>
          </cell>
          <cell r="G6255" t="str">
            <v>LABEL</v>
          </cell>
          <cell r="H6255" t="str">
            <v>LAB0959</v>
          </cell>
        </row>
        <row r="6256">
          <cell r="F6256" t="str">
            <v>DA96-01003E</v>
          </cell>
          <cell r="G6256" t="str">
            <v>LABEL</v>
          </cell>
          <cell r="H6256" t="str">
            <v>LAB0958</v>
          </cell>
        </row>
        <row r="6257">
          <cell r="F6257" t="str">
            <v>DC93-00621B(QR)</v>
          </cell>
          <cell r="G6257" t="str">
            <v>LABEL</v>
          </cell>
          <cell r="H6257" t="str">
            <v>LAB0957</v>
          </cell>
        </row>
        <row r="6258">
          <cell r="F6258" t="str">
            <v>DC93-00621C(QR)</v>
          </cell>
          <cell r="G6258" t="str">
            <v>LABEL</v>
          </cell>
          <cell r="H6258" t="str">
            <v>LAB0956</v>
          </cell>
        </row>
        <row r="6259">
          <cell r="F6259" t="str">
            <v>DA96-01118A</v>
          </cell>
          <cell r="G6259" t="str">
            <v>LABEL</v>
          </cell>
          <cell r="H6259" t="str">
            <v>LAB0954</v>
          </cell>
        </row>
        <row r="6260">
          <cell r="F6260" t="str">
            <v>DA96-00602F</v>
          </cell>
          <cell r="G6260" t="str">
            <v>LABEL</v>
          </cell>
          <cell r="H6260" t="str">
            <v>LAB0953</v>
          </cell>
        </row>
        <row r="6261">
          <cell r="F6261" t="str">
            <v>DA96-00602E</v>
          </cell>
          <cell r="G6261" t="str">
            <v>LABEL</v>
          </cell>
          <cell r="H6261" t="str">
            <v>LAB0952</v>
          </cell>
        </row>
        <row r="6262">
          <cell r="F6262" t="str">
            <v>DA96-00602C</v>
          </cell>
          <cell r="G6262" t="str">
            <v>LABEL</v>
          </cell>
          <cell r="H6262" t="str">
            <v>LAB0951</v>
          </cell>
        </row>
        <row r="6263">
          <cell r="F6263" t="str">
            <v>DA96-00606B</v>
          </cell>
          <cell r="G6263" t="str">
            <v>LABEL</v>
          </cell>
          <cell r="H6263" t="str">
            <v>LAB0950</v>
          </cell>
        </row>
        <row r="6264">
          <cell r="F6264" t="str">
            <v>DA96-00606A</v>
          </cell>
          <cell r="G6264" t="str">
            <v>LABEL</v>
          </cell>
          <cell r="H6264" t="str">
            <v>LAB0949</v>
          </cell>
        </row>
        <row r="6265">
          <cell r="F6265" t="str">
            <v>DA96-01086M</v>
          </cell>
          <cell r="G6265" t="str">
            <v>LABEL</v>
          </cell>
          <cell r="H6265" t="str">
            <v>LAB0948</v>
          </cell>
        </row>
        <row r="6266">
          <cell r="F6266" t="str">
            <v>DA96-01141L</v>
          </cell>
          <cell r="G6266" t="str">
            <v>LABEL</v>
          </cell>
          <cell r="H6266" t="str">
            <v>LAB0947</v>
          </cell>
        </row>
        <row r="6267">
          <cell r="F6267" t="str">
            <v>DA96-01157D</v>
          </cell>
          <cell r="G6267" t="str">
            <v>LABEL</v>
          </cell>
          <cell r="H6267" t="str">
            <v>LAB0945</v>
          </cell>
        </row>
        <row r="6268">
          <cell r="F6268" t="str">
            <v>DA96-01157C</v>
          </cell>
          <cell r="G6268" t="str">
            <v>LABEL</v>
          </cell>
          <cell r="H6268" t="str">
            <v>LAB0944</v>
          </cell>
        </row>
        <row r="6269">
          <cell r="F6269" t="str">
            <v>DA96-01157B</v>
          </cell>
          <cell r="G6269" t="str">
            <v>LABEL</v>
          </cell>
          <cell r="H6269" t="str">
            <v>LAB0943</v>
          </cell>
        </row>
        <row r="6270">
          <cell r="F6270" t="str">
            <v>DA96-01157A</v>
          </cell>
          <cell r="G6270" t="str">
            <v>LABEL</v>
          </cell>
          <cell r="H6270" t="str">
            <v>LAB0942</v>
          </cell>
        </row>
        <row r="6271">
          <cell r="F6271" t="str">
            <v>DA96-01179B</v>
          </cell>
          <cell r="G6271" t="str">
            <v>LABEL</v>
          </cell>
          <cell r="H6271" t="str">
            <v>LAB0941</v>
          </cell>
        </row>
        <row r="6272">
          <cell r="F6272" t="str">
            <v>DA96-01179A</v>
          </cell>
          <cell r="G6272" t="str">
            <v>LABEL</v>
          </cell>
          <cell r="H6272" t="str">
            <v>LAB0940</v>
          </cell>
        </row>
        <row r="6273">
          <cell r="F6273" t="str">
            <v>DA96-01171C</v>
          </cell>
          <cell r="G6273" t="str">
            <v>LABEL</v>
          </cell>
          <cell r="H6273" t="str">
            <v>LAB0939</v>
          </cell>
        </row>
        <row r="6274">
          <cell r="F6274" t="str">
            <v>DA96-01171B</v>
          </cell>
          <cell r="G6274" t="str">
            <v>LABEL</v>
          </cell>
          <cell r="H6274" t="str">
            <v>LAB0938</v>
          </cell>
        </row>
        <row r="6275">
          <cell r="F6275" t="str">
            <v>DA96-01171A</v>
          </cell>
          <cell r="G6275" t="str">
            <v>LABEL</v>
          </cell>
          <cell r="H6275" t="str">
            <v>LAB0937</v>
          </cell>
        </row>
        <row r="6276">
          <cell r="F6276" t="str">
            <v>DA96-01120H</v>
          </cell>
          <cell r="G6276" t="str">
            <v>LABEL</v>
          </cell>
          <cell r="H6276" t="str">
            <v>LAB0936</v>
          </cell>
        </row>
        <row r="6277">
          <cell r="F6277" t="str">
            <v>DC93-00621A(QR)</v>
          </cell>
          <cell r="G6277" t="str">
            <v>LABEL</v>
          </cell>
          <cell r="H6277" t="str">
            <v>LAB0934</v>
          </cell>
        </row>
        <row r="6278">
          <cell r="F6278" t="str">
            <v>DC93-00624A(15X35)</v>
          </cell>
          <cell r="G6278" t="str">
            <v>LABEL</v>
          </cell>
          <cell r="H6278" t="str">
            <v>LAB0933</v>
          </cell>
        </row>
        <row r="6279">
          <cell r="F6279" t="str">
            <v>DC93-00622A(15X35)</v>
          </cell>
          <cell r="G6279" t="str">
            <v>LABEL</v>
          </cell>
          <cell r="H6279" t="str">
            <v>LAB0932</v>
          </cell>
        </row>
        <row r="6280">
          <cell r="F6280" t="str">
            <v>LABEL 50X23</v>
          </cell>
          <cell r="G6280" t="str">
            <v>LABEL</v>
          </cell>
          <cell r="H6280" t="str">
            <v>LAB0927</v>
          </cell>
        </row>
        <row r="6281">
          <cell r="F6281" t="str">
            <v>DA96-01141K</v>
          </cell>
          <cell r="G6281" t="str">
            <v>LABEL</v>
          </cell>
          <cell r="H6281" t="str">
            <v>LAB0926</v>
          </cell>
        </row>
        <row r="6282">
          <cell r="F6282" t="str">
            <v>DC93-00607A(QR)</v>
          </cell>
          <cell r="G6282" t="str">
            <v>LABEL</v>
          </cell>
          <cell r="H6282" t="str">
            <v>LAB0925</v>
          </cell>
        </row>
        <row r="6283">
          <cell r="F6283" t="str">
            <v>DA96-01079R</v>
          </cell>
          <cell r="G6283" t="str">
            <v>LABEL</v>
          </cell>
          <cell r="H6283" t="str">
            <v>LAB0924</v>
          </cell>
        </row>
        <row r="6284">
          <cell r="F6284" t="str">
            <v>DA96-01079Q</v>
          </cell>
          <cell r="G6284" t="str">
            <v>LABEL</v>
          </cell>
          <cell r="H6284" t="str">
            <v>LAB0923</v>
          </cell>
        </row>
        <row r="6285">
          <cell r="F6285" t="str">
            <v>DA96-01079P</v>
          </cell>
          <cell r="G6285" t="str">
            <v>LABEL</v>
          </cell>
          <cell r="H6285" t="str">
            <v>LAB0922</v>
          </cell>
        </row>
        <row r="6286">
          <cell r="F6286" t="str">
            <v>DA96-01079N</v>
          </cell>
          <cell r="G6286" t="str">
            <v>LABEL</v>
          </cell>
          <cell r="H6286" t="str">
            <v>LAB0921</v>
          </cell>
        </row>
        <row r="6287">
          <cell r="F6287" t="str">
            <v>DA96-01148G</v>
          </cell>
          <cell r="G6287" t="str">
            <v>LABEL</v>
          </cell>
          <cell r="H6287" t="str">
            <v>LAB0920</v>
          </cell>
        </row>
        <row r="6288">
          <cell r="F6288" t="str">
            <v>DA96-01149L</v>
          </cell>
          <cell r="G6288" t="str">
            <v>LABEL</v>
          </cell>
          <cell r="H6288" t="str">
            <v>LAB0919</v>
          </cell>
        </row>
        <row r="6289">
          <cell r="F6289" t="str">
            <v>DA96-01149K</v>
          </cell>
          <cell r="G6289" t="str">
            <v>LABEL</v>
          </cell>
          <cell r="H6289" t="str">
            <v>LAB0918</v>
          </cell>
        </row>
        <row r="6290">
          <cell r="F6290" t="str">
            <v>DA96-01141J</v>
          </cell>
          <cell r="G6290" t="str">
            <v>LABEL</v>
          </cell>
          <cell r="H6290" t="str">
            <v>LAB0917</v>
          </cell>
        </row>
        <row r="6291">
          <cell r="F6291" t="str">
            <v>DA96-01141H</v>
          </cell>
          <cell r="G6291" t="str">
            <v>LABEL</v>
          </cell>
          <cell r="H6291" t="str">
            <v>LAB0916</v>
          </cell>
        </row>
        <row r="6292">
          <cell r="F6292" t="str">
            <v>DA96-01141G</v>
          </cell>
          <cell r="G6292" t="str">
            <v>LABEL</v>
          </cell>
          <cell r="H6292" t="str">
            <v>LAB0915</v>
          </cell>
        </row>
        <row r="6293">
          <cell r="F6293" t="str">
            <v>DA96-01141F</v>
          </cell>
          <cell r="G6293" t="str">
            <v>LABEL</v>
          </cell>
          <cell r="H6293" t="str">
            <v>LAB0914</v>
          </cell>
        </row>
        <row r="6294">
          <cell r="F6294" t="str">
            <v>DA96-01141C</v>
          </cell>
          <cell r="G6294" t="str">
            <v>LABEL</v>
          </cell>
          <cell r="H6294" t="str">
            <v>LAB0913</v>
          </cell>
        </row>
        <row r="6295">
          <cell r="F6295" t="str">
            <v>DA96-00911C</v>
          </cell>
          <cell r="G6295" t="str">
            <v>LABEL</v>
          </cell>
          <cell r="H6295" t="str">
            <v>LAB0912</v>
          </cell>
        </row>
        <row r="6296">
          <cell r="F6296" t="str">
            <v>DA96-01121B</v>
          </cell>
          <cell r="G6296" t="str">
            <v>LABEL</v>
          </cell>
          <cell r="H6296" t="str">
            <v>LAB0911</v>
          </cell>
        </row>
        <row r="6297">
          <cell r="F6297" t="str">
            <v>DA96-01121A</v>
          </cell>
          <cell r="G6297" t="str">
            <v>LABEL</v>
          </cell>
          <cell r="H6297" t="str">
            <v>LAB0910</v>
          </cell>
        </row>
        <row r="6298">
          <cell r="F6298" t="str">
            <v>DA96-01147D</v>
          </cell>
          <cell r="G6298" t="str">
            <v>LABEL</v>
          </cell>
          <cell r="H6298" t="str">
            <v>LAB0909</v>
          </cell>
        </row>
        <row r="6299">
          <cell r="F6299" t="str">
            <v>DA96-01147C</v>
          </cell>
          <cell r="G6299" t="str">
            <v>LABEL</v>
          </cell>
          <cell r="H6299" t="str">
            <v>LAB0908</v>
          </cell>
        </row>
        <row r="6300">
          <cell r="F6300" t="str">
            <v>DA96-01147B</v>
          </cell>
          <cell r="G6300" t="str">
            <v>LABEL</v>
          </cell>
          <cell r="H6300" t="str">
            <v>LAB0907</v>
          </cell>
        </row>
        <row r="6301">
          <cell r="F6301" t="str">
            <v>DA96-01147A</v>
          </cell>
          <cell r="G6301" t="str">
            <v>LABEL</v>
          </cell>
          <cell r="H6301" t="str">
            <v>LAB0906</v>
          </cell>
        </row>
        <row r="6302">
          <cell r="F6302" t="str">
            <v>DA96-01141E</v>
          </cell>
          <cell r="G6302" t="str">
            <v>LABEL</v>
          </cell>
          <cell r="H6302" t="str">
            <v>LAB0905</v>
          </cell>
        </row>
        <row r="6303">
          <cell r="F6303" t="str">
            <v>DA96-01141D</v>
          </cell>
          <cell r="G6303" t="str">
            <v>LABEL</v>
          </cell>
          <cell r="H6303" t="str">
            <v>LAB0904</v>
          </cell>
        </row>
        <row r="6304">
          <cell r="F6304" t="str">
            <v>DA96-01141B</v>
          </cell>
          <cell r="G6304" t="str">
            <v>LABEL</v>
          </cell>
          <cell r="H6304" t="str">
            <v>LAB0903</v>
          </cell>
        </row>
        <row r="6305">
          <cell r="F6305" t="str">
            <v>DA96-01141A</v>
          </cell>
          <cell r="G6305" t="str">
            <v>LABEL</v>
          </cell>
          <cell r="H6305" t="str">
            <v>LAB0902</v>
          </cell>
        </row>
        <row r="6306">
          <cell r="F6306" t="str">
            <v>DA96-01149J</v>
          </cell>
          <cell r="G6306" t="str">
            <v>LABEL</v>
          </cell>
          <cell r="H6306" t="str">
            <v>LAB0901</v>
          </cell>
        </row>
        <row r="6307">
          <cell r="F6307" t="str">
            <v>DA96-01149H</v>
          </cell>
          <cell r="G6307" t="str">
            <v>LABEL</v>
          </cell>
          <cell r="H6307" t="str">
            <v>LAB0900</v>
          </cell>
        </row>
        <row r="6308">
          <cell r="F6308" t="str">
            <v>DA96-01149G</v>
          </cell>
          <cell r="G6308" t="str">
            <v>LABEL</v>
          </cell>
          <cell r="H6308" t="str">
            <v>LAB0899</v>
          </cell>
        </row>
        <row r="6309">
          <cell r="F6309" t="str">
            <v>DA96-01149F</v>
          </cell>
          <cell r="G6309" t="str">
            <v>LABEL</v>
          </cell>
          <cell r="H6309" t="str">
            <v>LAB0898</v>
          </cell>
        </row>
        <row r="6310">
          <cell r="F6310" t="str">
            <v>DA96-01149E</v>
          </cell>
          <cell r="G6310" t="str">
            <v>LABEL</v>
          </cell>
          <cell r="H6310" t="str">
            <v>LAB0897</v>
          </cell>
        </row>
        <row r="6311">
          <cell r="F6311" t="str">
            <v>DA96-01149D</v>
          </cell>
          <cell r="G6311" t="str">
            <v>LABEL</v>
          </cell>
          <cell r="H6311" t="str">
            <v>LAB0896</v>
          </cell>
        </row>
        <row r="6312">
          <cell r="F6312" t="str">
            <v>DA96-01149C</v>
          </cell>
          <cell r="G6312" t="str">
            <v>LABEL</v>
          </cell>
          <cell r="H6312" t="str">
            <v>LAB0895</v>
          </cell>
        </row>
        <row r="6313">
          <cell r="F6313" t="str">
            <v>DA96-01149B</v>
          </cell>
          <cell r="G6313" t="str">
            <v>LABEL</v>
          </cell>
          <cell r="H6313" t="str">
            <v>LAB0894</v>
          </cell>
        </row>
        <row r="6314">
          <cell r="F6314" t="str">
            <v>DA96-01149A</v>
          </cell>
          <cell r="G6314" t="str">
            <v>LABEL</v>
          </cell>
          <cell r="H6314" t="str">
            <v>LAB0893</v>
          </cell>
        </row>
        <row r="6315">
          <cell r="F6315" t="str">
            <v>DA96-01148F</v>
          </cell>
          <cell r="G6315" t="str">
            <v>LABEL</v>
          </cell>
          <cell r="H6315" t="str">
            <v>LAB0892</v>
          </cell>
        </row>
        <row r="6316">
          <cell r="F6316" t="str">
            <v>DA96-01148E</v>
          </cell>
          <cell r="G6316" t="str">
            <v>LABEL</v>
          </cell>
          <cell r="H6316" t="str">
            <v>LAB0891</v>
          </cell>
        </row>
        <row r="6317">
          <cell r="F6317" t="str">
            <v>DA96-01148D</v>
          </cell>
          <cell r="G6317" t="str">
            <v>LABEL</v>
          </cell>
          <cell r="H6317" t="str">
            <v>LAB0890</v>
          </cell>
        </row>
        <row r="6318">
          <cell r="F6318" t="str">
            <v>DA96-01148C</v>
          </cell>
          <cell r="G6318" t="str">
            <v>LABEL</v>
          </cell>
          <cell r="H6318" t="str">
            <v>LAB0889</v>
          </cell>
        </row>
        <row r="6319">
          <cell r="F6319" t="str">
            <v>DA96-01148B</v>
          </cell>
          <cell r="G6319" t="str">
            <v>LABEL</v>
          </cell>
          <cell r="H6319" t="str">
            <v>LAB0888</v>
          </cell>
        </row>
        <row r="6320">
          <cell r="F6320" t="str">
            <v>DA96-01148A</v>
          </cell>
          <cell r="G6320" t="str">
            <v>LABEL</v>
          </cell>
          <cell r="H6320" t="str">
            <v>LAB0887</v>
          </cell>
        </row>
        <row r="6321">
          <cell r="F6321" t="str">
            <v>DA96-01041E</v>
          </cell>
          <cell r="G6321" t="str">
            <v>LABEL</v>
          </cell>
          <cell r="H6321" t="str">
            <v>LAB0886</v>
          </cell>
        </row>
        <row r="6322">
          <cell r="F6322" t="str">
            <v>DC93-00597B(QR)</v>
          </cell>
          <cell r="G6322" t="str">
            <v>LABEL</v>
          </cell>
          <cell r="H6322" t="str">
            <v>LAB0885</v>
          </cell>
        </row>
        <row r="6323">
          <cell r="F6323" t="str">
            <v>DC93-00597A(QR)</v>
          </cell>
          <cell r="G6323" t="str">
            <v>LABEL</v>
          </cell>
          <cell r="H6323" t="str">
            <v>LAB0884</v>
          </cell>
        </row>
        <row r="6324">
          <cell r="F6324" t="str">
            <v>DC93-00596A(15X35)</v>
          </cell>
          <cell r="G6324" t="str">
            <v>NORMAL LABEL</v>
          </cell>
          <cell r="H6324" t="str">
            <v>LAB0883</v>
          </cell>
        </row>
        <row r="6325">
          <cell r="F6325" t="str">
            <v>DA96-01079M</v>
          </cell>
          <cell r="G6325" t="str">
            <v>LABEL</v>
          </cell>
          <cell r="H6325" t="str">
            <v>LAB0882</v>
          </cell>
        </row>
        <row r="6326">
          <cell r="F6326" t="str">
            <v>DA96-00446U</v>
          </cell>
          <cell r="G6326" t="str">
            <v>LABEL</v>
          </cell>
          <cell r="H6326" t="str">
            <v>LAB0881</v>
          </cell>
        </row>
        <row r="6327">
          <cell r="F6327" t="str">
            <v>DA96-01045E</v>
          </cell>
          <cell r="G6327" t="str">
            <v>LABEL</v>
          </cell>
          <cell r="H6327" t="str">
            <v>LAB0880</v>
          </cell>
        </row>
        <row r="6328">
          <cell r="F6328" t="str">
            <v>DA96-01086L</v>
          </cell>
          <cell r="G6328" t="str">
            <v>LABEL</v>
          </cell>
          <cell r="H6328" t="str">
            <v>LAB0878</v>
          </cell>
        </row>
        <row r="6329">
          <cell r="F6329" t="str">
            <v>DA96-01041D</v>
          </cell>
          <cell r="G6329" t="str">
            <v>LABEL</v>
          </cell>
          <cell r="H6329" t="str">
            <v>LAB0877</v>
          </cell>
        </row>
        <row r="6330">
          <cell r="F6330" t="str">
            <v>DC93-00497B(QR)</v>
          </cell>
          <cell r="G6330" t="str">
            <v>LABEL</v>
          </cell>
          <cell r="H6330" t="str">
            <v>LAB0876</v>
          </cell>
        </row>
        <row r="6331">
          <cell r="F6331" t="str">
            <v>DC93-00497A(QR)</v>
          </cell>
          <cell r="G6331" t="str">
            <v>LABEL</v>
          </cell>
          <cell r="H6331" t="str">
            <v>LAB0875</v>
          </cell>
        </row>
        <row r="6332">
          <cell r="F6332" t="str">
            <v>DC93-00496A(QR)</v>
          </cell>
          <cell r="G6332" t="str">
            <v>LABEL</v>
          </cell>
          <cell r="H6332" t="str">
            <v>LAB0874</v>
          </cell>
        </row>
        <row r="6333">
          <cell r="F6333" t="str">
            <v>DC93-00251N(QR)</v>
          </cell>
          <cell r="G6333" t="str">
            <v>LABEL</v>
          </cell>
          <cell r="H6333" t="str">
            <v>LAB0873</v>
          </cell>
        </row>
        <row r="6334">
          <cell r="F6334" t="str">
            <v>DA96-01030L</v>
          </cell>
          <cell r="G6334" t="str">
            <v>LABEL</v>
          </cell>
          <cell r="H6334" t="str">
            <v>LAB0872</v>
          </cell>
        </row>
        <row r="6335">
          <cell r="F6335" t="str">
            <v>DA96-01030K</v>
          </cell>
          <cell r="G6335" t="str">
            <v>LABEL</v>
          </cell>
          <cell r="H6335" t="str">
            <v>LAB0871</v>
          </cell>
        </row>
        <row r="6336">
          <cell r="F6336" t="str">
            <v>DA96-01133B</v>
          </cell>
          <cell r="G6336" t="str">
            <v>LABEL</v>
          </cell>
          <cell r="H6336" t="str">
            <v>LAB0870</v>
          </cell>
        </row>
        <row r="6337">
          <cell r="F6337" t="str">
            <v>DC93-00318T(NORMAL)</v>
          </cell>
          <cell r="G6337" t="str">
            <v>LABEL</v>
          </cell>
          <cell r="H6337" t="str">
            <v>LAB0869</v>
          </cell>
        </row>
        <row r="6338">
          <cell r="F6338" t="str">
            <v>DC93-00318P(NORMAL)</v>
          </cell>
          <cell r="G6338" t="str">
            <v>LABEL</v>
          </cell>
          <cell r="H6338" t="str">
            <v>LAB0868</v>
          </cell>
        </row>
        <row r="6339">
          <cell r="F6339" t="str">
            <v>DA96-00780J</v>
          </cell>
          <cell r="G6339" t="str">
            <v>LABEL</v>
          </cell>
          <cell r="H6339" t="str">
            <v>LAB0867</v>
          </cell>
        </row>
        <row r="6340">
          <cell r="F6340" t="str">
            <v>DA96-01042G</v>
          </cell>
          <cell r="G6340" t="str">
            <v>LABEL</v>
          </cell>
          <cell r="H6340" t="str">
            <v>LAB0866</v>
          </cell>
        </row>
        <row r="6341">
          <cell r="F6341" t="str">
            <v>DA96-01079L</v>
          </cell>
          <cell r="G6341" t="str">
            <v>LABEL</v>
          </cell>
          <cell r="H6341" t="str">
            <v>LAB0865</v>
          </cell>
        </row>
        <row r="6342">
          <cell r="F6342" t="str">
            <v>DA96-01079K</v>
          </cell>
          <cell r="G6342" t="str">
            <v>LABEL</v>
          </cell>
          <cell r="H6342" t="str">
            <v>LAB0864</v>
          </cell>
        </row>
        <row r="6343">
          <cell r="F6343" t="str">
            <v>DA96-01079J</v>
          </cell>
          <cell r="G6343" t="str">
            <v>LABEL</v>
          </cell>
          <cell r="H6343" t="str">
            <v>LAB0863</v>
          </cell>
        </row>
        <row r="6344">
          <cell r="F6344" t="str">
            <v>DC93-00556A(QR)</v>
          </cell>
          <cell r="G6344" t="str">
            <v>LABEL</v>
          </cell>
          <cell r="H6344" t="str">
            <v>LAB0862</v>
          </cell>
        </row>
        <row r="6345">
          <cell r="F6345" t="str">
            <v>DC93-00559C</v>
          </cell>
          <cell r="G6345" t="str">
            <v>LABEL</v>
          </cell>
          <cell r="H6345" t="str">
            <v>LAB0861</v>
          </cell>
        </row>
        <row r="6346">
          <cell r="F6346" t="str">
            <v>DC93-00559A(QR)</v>
          </cell>
          <cell r="G6346" t="str">
            <v>LABEL</v>
          </cell>
          <cell r="H6346" t="str">
            <v>LAB0860</v>
          </cell>
        </row>
        <row r="6347">
          <cell r="F6347" t="str">
            <v>DA96-01133A</v>
          </cell>
          <cell r="G6347" t="str">
            <v>LABEL</v>
          </cell>
          <cell r="H6347" t="str">
            <v>LAB0859</v>
          </cell>
        </row>
        <row r="6348">
          <cell r="F6348" t="str">
            <v>DA96-01120G</v>
          </cell>
          <cell r="G6348" t="str">
            <v>LABEL</v>
          </cell>
          <cell r="H6348" t="str">
            <v>LAB0858</v>
          </cell>
        </row>
        <row r="6349">
          <cell r="F6349" t="str">
            <v>DA96-01120F</v>
          </cell>
          <cell r="G6349" t="str">
            <v>LABEL</v>
          </cell>
          <cell r="H6349" t="str">
            <v>LAB0857</v>
          </cell>
        </row>
        <row r="6350">
          <cell r="F6350" t="str">
            <v>DA96-01130C</v>
          </cell>
          <cell r="G6350" t="str">
            <v>LABEL</v>
          </cell>
          <cell r="H6350" t="str">
            <v>LAB0855</v>
          </cell>
        </row>
        <row r="6351">
          <cell r="F6351" t="str">
            <v>DA96-01129B</v>
          </cell>
          <cell r="G6351" t="str">
            <v>LABEL</v>
          </cell>
          <cell r="H6351" t="str">
            <v>LAB0854</v>
          </cell>
        </row>
        <row r="6352">
          <cell r="F6352" t="str">
            <v>DA96-01130B</v>
          </cell>
          <cell r="G6352" t="str">
            <v>LABEL</v>
          </cell>
          <cell r="H6352" t="str">
            <v>LAB0853</v>
          </cell>
        </row>
        <row r="6353">
          <cell r="F6353" t="str">
            <v>DA96-01130A</v>
          </cell>
          <cell r="G6353" t="str">
            <v>LABEL</v>
          </cell>
          <cell r="H6353" t="str">
            <v>LAB0852</v>
          </cell>
        </row>
        <row r="6354">
          <cell r="F6354" t="str">
            <v>DA96-01027D</v>
          </cell>
          <cell r="G6354" t="str">
            <v>LABEL</v>
          </cell>
          <cell r="H6354" t="str">
            <v>LAB0851</v>
          </cell>
        </row>
        <row r="6355">
          <cell r="F6355" t="str">
            <v>DA96-01027C</v>
          </cell>
          <cell r="G6355" t="str">
            <v>LABEL</v>
          </cell>
          <cell r="H6355" t="str">
            <v>LAB0850</v>
          </cell>
        </row>
        <row r="6356">
          <cell r="F6356" t="str">
            <v>DA96-01129C</v>
          </cell>
          <cell r="G6356" t="str">
            <v>LABEL</v>
          </cell>
          <cell r="H6356" t="str">
            <v>LAB0849</v>
          </cell>
        </row>
        <row r="6357">
          <cell r="F6357" t="str">
            <v>DA96-01129A</v>
          </cell>
          <cell r="G6357" t="str">
            <v>LABEL</v>
          </cell>
          <cell r="H6357" t="str">
            <v>LAB0848</v>
          </cell>
        </row>
        <row r="6358">
          <cell r="F6358" t="str">
            <v>DA96-01079H</v>
          </cell>
          <cell r="G6358" t="str">
            <v>LABEL</v>
          </cell>
          <cell r="H6358" t="str">
            <v>LAB0847</v>
          </cell>
        </row>
        <row r="6359">
          <cell r="F6359" t="str">
            <v>DA96-01120E</v>
          </cell>
          <cell r="G6359" t="str">
            <v>LABEL</v>
          </cell>
          <cell r="H6359" t="str">
            <v>LAB0844</v>
          </cell>
        </row>
        <row r="6360">
          <cell r="F6360" t="str">
            <v>DA96-01120D</v>
          </cell>
          <cell r="G6360" t="str">
            <v>LABEL</v>
          </cell>
          <cell r="H6360" t="str">
            <v>LAB0843</v>
          </cell>
        </row>
        <row r="6361">
          <cell r="F6361" t="str">
            <v>DA96-01120C</v>
          </cell>
          <cell r="G6361" t="str">
            <v>LABEL</v>
          </cell>
          <cell r="H6361" t="str">
            <v>LAB0842</v>
          </cell>
        </row>
        <row r="6362">
          <cell r="F6362" t="str">
            <v>DA96-01120B</v>
          </cell>
          <cell r="G6362" t="str">
            <v>LABEL</v>
          </cell>
          <cell r="H6362" t="str">
            <v>LAB0841</v>
          </cell>
        </row>
        <row r="6363">
          <cell r="F6363" t="str">
            <v>DA96-01120A</v>
          </cell>
          <cell r="G6363" t="str">
            <v>LABEL</v>
          </cell>
          <cell r="H6363" t="str">
            <v>LAB0840</v>
          </cell>
        </row>
        <row r="6364">
          <cell r="F6364" t="str">
            <v>DA96-01041C</v>
          </cell>
          <cell r="G6364" t="str">
            <v>LABEL</v>
          </cell>
          <cell r="H6364" t="str">
            <v>LAB0839</v>
          </cell>
        </row>
        <row r="6365">
          <cell r="F6365" t="str">
            <v>DA96-01111B</v>
          </cell>
          <cell r="G6365" t="str">
            <v>LABEL</v>
          </cell>
          <cell r="H6365" t="str">
            <v>LAB0838</v>
          </cell>
        </row>
        <row r="6366">
          <cell r="F6366" t="str">
            <v>DA96-01111A</v>
          </cell>
          <cell r="G6366" t="str">
            <v>LABEL</v>
          </cell>
          <cell r="H6366" t="str">
            <v>LAB0837</v>
          </cell>
        </row>
        <row r="6367">
          <cell r="F6367" t="str">
            <v>DA96-01116A</v>
          </cell>
          <cell r="G6367" t="str">
            <v>LABEL</v>
          </cell>
          <cell r="H6367" t="str">
            <v>LAB0836</v>
          </cell>
        </row>
        <row r="6368">
          <cell r="F6368" t="str">
            <v>DA96-01058H</v>
          </cell>
          <cell r="G6368" t="str">
            <v>LABEL</v>
          </cell>
          <cell r="H6368" t="str">
            <v>LAB0835</v>
          </cell>
        </row>
        <row r="6369">
          <cell r="F6369" t="str">
            <v>DA96-01058G</v>
          </cell>
          <cell r="G6369" t="str">
            <v>LABEL</v>
          </cell>
          <cell r="H6369" t="str">
            <v>LAB0834</v>
          </cell>
        </row>
        <row r="6370">
          <cell r="F6370" t="str">
            <v>DA96-00000A</v>
          </cell>
          <cell r="G6370" t="str">
            <v>LABEL</v>
          </cell>
          <cell r="H6370" t="str">
            <v>LAB0833</v>
          </cell>
        </row>
        <row r="6371">
          <cell r="F6371" t="str">
            <v>DA96-01058B</v>
          </cell>
          <cell r="G6371" t="str">
            <v>LABEL</v>
          </cell>
          <cell r="H6371" t="str">
            <v>LAB0832</v>
          </cell>
        </row>
        <row r="6372">
          <cell r="F6372" t="str">
            <v>DA96-01058D</v>
          </cell>
          <cell r="G6372" t="str">
            <v>LABEL</v>
          </cell>
          <cell r="H6372" t="str">
            <v>LAB0831</v>
          </cell>
        </row>
        <row r="6373">
          <cell r="F6373" t="str">
            <v>DA96-01109A</v>
          </cell>
          <cell r="G6373" t="str">
            <v>LABEL</v>
          </cell>
          <cell r="H6373" t="str">
            <v>LAB0828</v>
          </cell>
        </row>
        <row r="6374">
          <cell r="F6374" t="str">
            <v>DA96-01045B</v>
          </cell>
          <cell r="G6374" t="str">
            <v>LABEL</v>
          </cell>
          <cell r="H6374" t="str">
            <v>LAB0827</v>
          </cell>
        </row>
        <row r="6375">
          <cell r="F6375" t="str">
            <v>DA96-00955A</v>
          </cell>
          <cell r="G6375" t="str">
            <v>LABEL</v>
          </cell>
          <cell r="H6375" t="str">
            <v>LAB0826</v>
          </cell>
        </row>
        <row r="6376">
          <cell r="F6376" t="str">
            <v>DA96-00884B</v>
          </cell>
          <cell r="G6376" t="str">
            <v>LABEL</v>
          </cell>
          <cell r="H6376" t="str">
            <v>LAB0825</v>
          </cell>
        </row>
        <row r="6377">
          <cell r="F6377" t="str">
            <v>DA96-00884A</v>
          </cell>
          <cell r="G6377" t="str">
            <v>LABEL</v>
          </cell>
          <cell r="H6377" t="str">
            <v>LAB0824</v>
          </cell>
        </row>
        <row r="6378">
          <cell r="F6378" t="str">
            <v>DA96-01030J</v>
          </cell>
          <cell r="G6378" t="str">
            <v>LABEL</v>
          </cell>
          <cell r="H6378" t="str">
            <v>LAB0823</v>
          </cell>
        </row>
        <row r="6379">
          <cell r="F6379" t="str">
            <v>DA96-01030H</v>
          </cell>
          <cell r="G6379" t="str">
            <v>LABEL</v>
          </cell>
          <cell r="H6379" t="str">
            <v>LAB0822</v>
          </cell>
        </row>
        <row r="6380">
          <cell r="F6380" t="str">
            <v>DA96-01094A</v>
          </cell>
          <cell r="G6380" t="str">
            <v>LABEL</v>
          </cell>
          <cell r="H6380" t="str">
            <v>LAB0821</v>
          </cell>
        </row>
        <row r="6381">
          <cell r="F6381" t="str">
            <v>DA96-01049A</v>
          </cell>
          <cell r="G6381" t="str">
            <v>LABEL</v>
          </cell>
          <cell r="H6381" t="str">
            <v>LAB0820</v>
          </cell>
        </row>
        <row r="6382">
          <cell r="F6382" t="str">
            <v>DA96-01042D</v>
          </cell>
          <cell r="G6382" t="str">
            <v>LABEL</v>
          </cell>
          <cell r="H6382" t="str">
            <v>LAB0819</v>
          </cell>
        </row>
        <row r="6383">
          <cell r="F6383" t="str">
            <v>DA96-01042C</v>
          </cell>
          <cell r="G6383" t="str">
            <v>LABEL</v>
          </cell>
          <cell r="H6383" t="str">
            <v>LAB0818</v>
          </cell>
        </row>
        <row r="6384">
          <cell r="F6384" t="str">
            <v>DA96-01042B</v>
          </cell>
          <cell r="G6384" t="str">
            <v>LABEL</v>
          </cell>
          <cell r="H6384" t="str">
            <v>LAB0817</v>
          </cell>
        </row>
        <row r="6385">
          <cell r="F6385" t="str">
            <v>DA96-01042A</v>
          </cell>
          <cell r="G6385" t="str">
            <v>LABEL</v>
          </cell>
          <cell r="H6385" t="str">
            <v>LAB0816</v>
          </cell>
        </row>
        <row r="6386">
          <cell r="F6386" t="str">
            <v>DA96-01093D</v>
          </cell>
          <cell r="G6386" t="str">
            <v>LABEL</v>
          </cell>
          <cell r="H6386" t="str">
            <v>LAB0815</v>
          </cell>
        </row>
        <row r="6387">
          <cell r="F6387" t="str">
            <v>RIBON B324 80X300(OUT)</v>
          </cell>
          <cell r="G6387" t="str">
            <v>LABEL</v>
          </cell>
          <cell r="H6387" t="str">
            <v>LAB0814</v>
          </cell>
        </row>
        <row r="6388">
          <cell r="F6388" t="str">
            <v>LABEL 80X90</v>
          </cell>
          <cell r="G6388" t="str">
            <v>LABEL</v>
          </cell>
          <cell r="H6388" t="str">
            <v>LAB0813</v>
          </cell>
        </row>
        <row r="6389">
          <cell r="F6389" t="str">
            <v>LABEL 70X15</v>
          </cell>
          <cell r="G6389" t="str">
            <v>LABEL</v>
          </cell>
          <cell r="H6389" t="str">
            <v>LAB0812</v>
          </cell>
        </row>
        <row r="6390">
          <cell r="F6390" t="str">
            <v>DC93-00067F(QR)</v>
          </cell>
          <cell r="G6390" t="str">
            <v>LABEL</v>
          </cell>
          <cell r="H6390" t="str">
            <v>LAB0811</v>
          </cell>
        </row>
        <row r="6391">
          <cell r="F6391" t="str">
            <v>DA96-00983J</v>
          </cell>
          <cell r="G6391" t="str">
            <v>LABEL</v>
          </cell>
          <cell r="H6391" t="str">
            <v>LAB0810</v>
          </cell>
        </row>
        <row r="6392">
          <cell r="F6392" t="str">
            <v>DA96-01041B</v>
          </cell>
          <cell r="G6392" t="str">
            <v>LABEL</v>
          </cell>
          <cell r="H6392" t="str">
            <v>LAB0809</v>
          </cell>
        </row>
        <row r="6393">
          <cell r="F6393" t="str">
            <v>DC93-00353H(QR)</v>
          </cell>
          <cell r="G6393" t="str">
            <v>LABEL</v>
          </cell>
          <cell r="H6393" t="str">
            <v>LAB0808</v>
          </cell>
        </row>
        <row r="6394">
          <cell r="F6394" t="str">
            <v>DA96-01039A</v>
          </cell>
          <cell r="G6394" t="str">
            <v>LABEL</v>
          </cell>
          <cell r="H6394" t="str">
            <v>LAB0807</v>
          </cell>
        </row>
        <row r="6395">
          <cell r="F6395" t="str">
            <v>DA96-01079G</v>
          </cell>
          <cell r="G6395" t="str">
            <v>LABEL</v>
          </cell>
          <cell r="H6395" t="str">
            <v>LAB0806</v>
          </cell>
        </row>
        <row r="6396">
          <cell r="F6396" t="str">
            <v>DA96-01079F</v>
          </cell>
          <cell r="G6396" t="str">
            <v>LABEL</v>
          </cell>
          <cell r="H6396" t="str">
            <v>LAB0805</v>
          </cell>
        </row>
        <row r="6397">
          <cell r="F6397" t="str">
            <v>DA96-01079E</v>
          </cell>
          <cell r="G6397" t="str">
            <v>LABEL</v>
          </cell>
          <cell r="H6397" t="str">
            <v>LAB0804</v>
          </cell>
        </row>
        <row r="6398">
          <cell r="F6398" t="str">
            <v>DA96-01086J</v>
          </cell>
          <cell r="G6398" t="str">
            <v>LABEL</v>
          </cell>
          <cell r="H6398" t="str">
            <v>LAB0803</v>
          </cell>
        </row>
        <row r="6399">
          <cell r="F6399" t="str">
            <v>DA96-01086H</v>
          </cell>
          <cell r="G6399" t="str">
            <v>LABEL</v>
          </cell>
          <cell r="H6399" t="str">
            <v>LAB0802</v>
          </cell>
        </row>
        <row r="6400">
          <cell r="F6400" t="str">
            <v>DA96-01086D</v>
          </cell>
          <cell r="G6400" t="str">
            <v>LABEL</v>
          </cell>
          <cell r="H6400" t="str">
            <v>LAB0801</v>
          </cell>
        </row>
        <row r="6401">
          <cell r="F6401" t="str">
            <v>DA96-01030G</v>
          </cell>
          <cell r="G6401" t="str">
            <v>LABEL</v>
          </cell>
          <cell r="H6401" t="str">
            <v>LAB0800</v>
          </cell>
        </row>
        <row r="6402">
          <cell r="F6402" t="str">
            <v>DA96-01030F</v>
          </cell>
          <cell r="G6402" t="str">
            <v>LABEL</v>
          </cell>
          <cell r="H6402" t="str">
            <v>LAB0799</v>
          </cell>
        </row>
        <row r="6403">
          <cell r="F6403" t="str">
            <v>DA96-01093C</v>
          </cell>
          <cell r="G6403" t="str">
            <v>LABEL</v>
          </cell>
          <cell r="H6403" t="str">
            <v>LAB0798</v>
          </cell>
        </row>
        <row r="6404">
          <cell r="F6404" t="str">
            <v>DA96-01093B</v>
          </cell>
          <cell r="G6404" t="str">
            <v>LABEL</v>
          </cell>
          <cell r="H6404" t="str">
            <v>LAB0797</v>
          </cell>
        </row>
        <row r="6405">
          <cell r="F6405" t="str">
            <v>DA96-01093A</v>
          </cell>
          <cell r="G6405" t="str">
            <v>LABEL</v>
          </cell>
          <cell r="H6405" t="str">
            <v>LAB0796</v>
          </cell>
        </row>
        <row r="6406">
          <cell r="F6406" t="str">
            <v>DA96-01086G</v>
          </cell>
          <cell r="G6406" t="str">
            <v>LABEL</v>
          </cell>
          <cell r="H6406" t="str">
            <v>LAB0795</v>
          </cell>
        </row>
        <row r="6407">
          <cell r="F6407" t="str">
            <v>DA96-01086F</v>
          </cell>
          <cell r="G6407" t="str">
            <v>LABEL</v>
          </cell>
          <cell r="H6407" t="str">
            <v>LAB0794</v>
          </cell>
        </row>
        <row r="6408">
          <cell r="F6408" t="str">
            <v>DA96-01086E</v>
          </cell>
          <cell r="G6408" t="str">
            <v>LABEL</v>
          </cell>
          <cell r="H6408" t="str">
            <v>LAB0793</v>
          </cell>
        </row>
        <row r="6409">
          <cell r="F6409" t="str">
            <v>DA96-01086C</v>
          </cell>
          <cell r="G6409" t="str">
            <v>LABEL</v>
          </cell>
          <cell r="H6409" t="str">
            <v>LAB0792</v>
          </cell>
        </row>
        <row r="6410">
          <cell r="F6410" t="str">
            <v>DA96-01086B</v>
          </cell>
          <cell r="G6410" t="str">
            <v>LABEL</v>
          </cell>
          <cell r="H6410" t="str">
            <v>LAB0791</v>
          </cell>
        </row>
        <row r="6411">
          <cell r="F6411" t="str">
            <v>DA96-01086A</v>
          </cell>
          <cell r="G6411" t="str">
            <v>LABEL</v>
          </cell>
          <cell r="H6411" t="str">
            <v>LAB0790</v>
          </cell>
        </row>
        <row r="6412">
          <cell r="F6412" t="str">
            <v>DA96-01079D</v>
          </cell>
          <cell r="G6412" t="str">
            <v>LABEL</v>
          </cell>
          <cell r="H6412" t="str">
            <v>LAB0789</v>
          </cell>
        </row>
        <row r="6413">
          <cell r="F6413" t="str">
            <v>DA96-01079C</v>
          </cell>
          <cell r="G6413" t="str">
            <v>LABEL</v>
          </cell>
          <cell r="H6413" t="str">
            <v>LAB0788</v>
          </cell>
        </row>
        <row r="6414">
          <cell r="F6414" t="str">
            <v>DA96-01079B</v>
          </cell>
          <cell r="G6414" t="str">
            <v>LABEL</v>
          </cell>
          <cell r="H6414" t="str">
            <v>LAB0787</v>
          </cell>
        </row>
        <row r="6415">
          <cell r="F6415" t="str">
            <v>DA96-01079A</v>
          </cell>
          <cell r="G6415" t="str">
            <v>LABEL</v>
          </cell>
          <cell r="H6415" t="str">
            <v>LAB0786</v>
          </cell>
        </row>
        <row r="6416">
          <cell r="F6416" t="str">
            <v>DC96-00758C</v>
          </cell>
          <cell r="G6416" t="str">
            <v>LABEL</v>
          </cell>
          <cell r="H6416" t="str">
            <v>LAB0785</v>
          </cell>
        </row>
        <row r="6417">
          <cell r="F6417" t="str">
            <v>DB98-34467A</v>
          </cell>
          <cell r="G6417" t="str">
            <v>LABEL</v>
          </cell>
          <cell r="H6417" t="str">
            <v>LAB0781</v>
          </cell>
        </row>
        <row r="6418">
          <cell r="F6418" t="str">
            <v>DA96-01041A</v>
          </cell>
          <cell r="G6418" t="str">
            <v>LABEL</v>
          </cell>
          <cell r="H6418" t="str">
            <v>LAB0779</v>
          </cell>
        </row>
        <row r="6419">
          <cell r="F6419" t="str">
            <v>DA96-01030E</v>
          </cell>
          <cell r="G6419" t="str">
            <v>LABEL</v>
          </cell>
          <cell r="H6419" t="str">
            <v>LAB0777</v>
          </cell>
        </row>
        <row r="6420">
          <cell r="F6420" t="str">
            <v>SM13-90001B</v>
          </cell>
          <cell r="G6420" t="str">
            <v>LABEL</v>
          </cell>
          <cell r="H6420" t="str">
            <v>LAB0776</v>
          </cell>
        </row>
        <row r="6421">
          <cell r="F6421" t="str">
            <v>SM13-90001A</v>
          </cell>
          <cell r="G6421" t="str">
            <v>LABEL</v>
          </cell>
          <cell r="H6421" t="str">
            <v>LAB0775</v>
          </cell>
        </row>
        <row r="6422">
          <cell r="F6422" t="str">
            <v>DA96-00911G</v>
          </cell>
          <cell r="G6422" t="str">
            <v>LABEL</v>
          </cell>
          <cell r="H6422" t="str">
            <v>LAB0774</v>
          </cell>
        </row>
        <row r="6423">
          <cell r="F6423" t="str">
            <v>DA96-00911F</v>
          </cell>
          <cell r="G6423" t="str">
            <v>LABEL</v>
          </cell>
          <cell r="H6423" t="str">
            <v>LAB0773</v>
          </cell>
        </row>
        <row r="6424">
          <cell r="F6424" t="str">
            <v>DA96-00911E</v>
          </cell>
          <cell r="G6424" t="str">
            <v>LABEL</v>
          </cell>
          <cell r="H6424" t="str">
            <v>LAB0772</v>
          </cell>
        </row>
        <row r="6425">
          <cell r="F6425" t="str">
            <v>DC93-00353G(QR)</v>
          </cell>
          <cell r="G6425" t="str">
            <v>LABEL</v>
          </cell>
          <cell r="H6425" t="str">
            <v>LAB0771</v>
          </cell>
        </row>
        <row r="6426">
          <cell r="F6426" t="str">
            <v>DC93-00353F(QR)</v>
          </cell>
          <cell r="G6426" t="str">
            <v>LABEL</v>
          </cell>
          <cell r="H6426" t="str">
            <v>LAB0770</v>
          </cell>
        </row>
        <row r="6427">
          <cell r="F6427" t="str">
            <v>DC93-00353E(QR)</v>
          </cell>
          <cell r="G6427" t="str">
            <v>LABEL</v>
          </cell>
          <cell r="H6427" t="str">
            <v>LAB0769</v>
          </cell>
        </row>
        <row r="6428">
          <cell r="F6428" t="str">
            <v>DC93-00353D(QR)</v>
          </cell>
          <cell r="G6428" t="str">
            <v>LABEL</v>
          </cell>
          <cell r="H6428" t="str">
            <v>LAB0768</v>
          </cell>
        </row>
        <row r="6429">
          <cell r="F6429" t="str">
            <v>DC93-00353C(QR)</v>
          </cell>
          <cell r="G6429" t="str">
            <v>LABEL</v>
          </cell>
          <cell r="H6429" t="str">
            <v>LAB0767</v>
          </cell>
        </row>
        <row r="6430">
          <cell r="F6430" t="str">
            <v>DC93-00353B(QR)</v>
          </cell>
          <cell r="G6430" t="str">
            <v>LABEL</v>
          </cell>
          <cell r="H6430" t="str">
            <v>LAB0766</v>
          </cell>
        </row>
        <row r="6431">
          <cell r="F6431" t="str">
            <v>DC93-00353A(QR)</v>
          </cell>
          <cell r="G6431" t="str">
            <v>LABEL</v>
          </cell>
          <cell r="H6431" t="str">
            <v>LAB0765</v>
          </cell>
        </row>
        <row r="6432">
          <cell r="F6432" t="str">
            <v>DC93-00354D(QR)</v>
          </cell>
          <cell r="G6432" t="str">
            <v>LABEL</v>
          </cell>
          <cell r="H6432" t="str">
            <v>LAB0764</v>
          </cell>
        </row>
        <row r="6433">
          <cell r="F6433" t="str">
            <v>DC93-00354C(QR)</v>
          </cell>
          <cell r="G6433" t="str">
            <v>LABEL</v>
          </cell>
          <cell r="H6433" t="str">
            <v>LAB0763</v>
          </cell>
        </row>
        <row r="6434">
          <cell r="F6434" t="str">
            <v>DC93-00354B(QR)</v>
          </cell>
          <cell r="G6434" t="str">
            <v>LABEL</v>
          </cell>
          <cell r="H6434" t="str">
            <v>LAB0762</v>
          </cell>
        </row>
        <row r="6435">
          <cell r="F6435" t="str">
            <v>DC93-00354A(QR)</v>
          </cell>
          <cell r="G6435" t="str">
            <v>LABEL</v>
          </cell>
          <cell r="H6435" t="str">
            <v>LAB0761</v>
          </cell>
        </row>
        <row r="6436">
          <cell r="F6436" t="str">
            <v>DA96-01030D</v>
          </cell>
          <cell r="G6436" t="str">
            <v>LABEL</v>
          </cell>
          <cell r="H6436" t="str">
            <v>LAB0760</v>
          </cell>
        </row>
        <row r="6437">
          <cell r="F6437" t="str">
            <v>DA96-01030C</v>
          </cell>
          <cell r="G6437" t="str">
            <v>LABEL</v>
          </cell>
          <cell r="H6437" t="str">
            <v>LAB0759</v>
          </cell>
        </row>
        <row r="6438">
          <cell r="F6438" t="str">
            <v>DA96-01030B</v>
          </cell>
          <cell r="G6438" t="str">
            <v>LABEL</v>
          </cell>
          <cell r="H6438" t="str">
            <v>LAB0758</v>
          </cell>
        </row>
        <row r="6439">
          <cell r="F6439" t="str">
            <v>DA96-01030A</v>
          </cell>
          <cell r="G6439" t="str">
            <v>LABEL</v>
          </cell>
          <cell r="H6439" t="str">
            <v>LAB0757</v>
          </cell>
        </row>
        <row r="6440">
          <cell r="F6440" t="str">
            <v>DA96-00983H</v>
          </cell>
          <cell r="G6440" t="str">
            <v>LABEL</v>
          </cell>
          <cell r="H6440" t="str">
            <v>LAB0756</v>
          </cell>
        </row>
        <row r="6441">
          <cell r="F6441" t="str">
            <v>DC93-00068F(QR)</v>
          </cell>
          <cell r="G6441" t="str">
            <v>LABEL</v>
          </cell>
          <cell r="H6441" t="str">
            <v>LAB0755</v>
          </cell>
        </row>
        <row r="6442">
          <cell r="F6442" t="str">
            <v>DC93-00067H(QR)</v>
          </cell>
          <cell r="G6442" t="str">
            <v>LABEL</v>
          </cell>
          <cell r="H6442" t="str">
            <v>LAB0754</v>
          </cell>
        </row>
        <row r="6443">
          <cell r="F6443" t="str">
            <v>UL LABEL(250PCS)</v>
          </cell>
          <cell r="G6443" t="str">
            <v>LABEL</v>
          </cell>
          <cell r="H6443" t="str">
            <v>LAB0753</v>
          </cell>
        </row>
        <row r="6444">
          <cell r="F6444" t="str">
            <v>LABEL 250V 8A</v>
          </cell>
          <cell r="G6444" t="str">
            <v>LABEL</v>
          </cell>
          <cell r="H6444" t="str">
            <v>LAB0752</v>
          </cell>
        </row>
        <row r="6445">
          <cell r="F6445" t="str">
            <v>DA96-01027B</v>
          </cell>
          <cell r="G6445" t="str">
            <v>LABEL</v>
          </cell>
          <cell r="H6445" t="str">
            <v>LAB0751</v>
          </cell>
        </row>
        <row r="6446">
          <cell r="F6446" t="str">
            <v>DA96-01027A</v>
          </cell>
          <cell r="G6446" t="str">
            <v>LABEL</v>
          </cell>
          <cell r="H6446" t="str">
            <v>LAB0750</v>
          </cell>
        </row>
        <row r="6447">
          <cell r="F6447" t="str">
            <v>RIBON B-220 (90X300)</v>
          </cell>
          <cell r="G6447" t="str">
            <v>LABEL</v>
          </cell>
          <cell r="H6447" t="str">
            <v>LAB0749</v>
          </cell>
        </row>
        <row r="6448">
          <cell r="F6448" t="str">
            <v>무인쇄LABEL 90X100</v>
          </cell>
          <cell r="G6448" t="str">
            <v>LABEL</v>
          </cell>
          <cell r="H6448" t="str">
            <v>LAB0748</v>
          </cell>
        </row>
        <row r="6449">
          <cell r="F6449" t="str">
            <v>DA96-01022D</v>
          </cell>
          <cell r="G6449" t="str">
            <v>LABEL</v>
          </cell>
          <cell r="H6449" t="str">
            <v>LAB0747</v>
          </cell>
        </row>
        <row r="6450">
          <cell r="F6450" t="str">
            <v>DA96-01022C</v>
          </cell>
          <cell r="G6450" t="str">
            <v>LABEL</v>
          </cell>
          <cell r="H6450" t="str">
            <v>LAB0746</v>
          </cell>
        </row>
        <row r="6451">
          <cell r="F6451" t="str">
            <v>DA96-01022B</v>
          </cell>
          <cell r="G6451" t="str">
            <v>LABEL</v>
          </cell>
          <cell r="H6451" t="str">
            <v>LAB0745</v>
          </cell>
        </row>
        <row r="6452">
          <cell r="F6452" t="str">
            <v>DA96-01022A</v>
          </cell>
          <cell r="G6452" t="str">
            <v>LABEL</v>
          </cell>
          <cell r="H6452" t="str">
            <v>LAB0744</v>
          </cell>
        </row>
        <row r="6453">
          <cell r="F6453" t="str">
            <v>DA96-00983G</v>
          </cell>
          <cell r="G6453" t="str">
            <v>LABEL</v>
          </cell>
          <cell r="H6453" t="str">
            <v>LAB0743</v>
          </cell>
        </row>
        <row r="6454">
          <cell r="F6454" t="str">
            <v>DA96-01003C</v>
          </cell>
          <cell r="G6454" t="str">
            <v>LABEL</v>
          </cell>
          <cell r="H6454" t="str">
            <v>LAB0740</v>
          </cell>
        </row>
        <row r="6455">
          <cell r="F6455" t="str">
            <v>DA96-01003B</v>
          </cell>
          <cell r="G6455" t="str">
            <v>LABEL</v>
          </cell>
          <cell r="H6455" t="str">
            <v>LAB0739</v>
          </cell>
        </row>
        <row r="6456">
          <cell r="F6456" t="str">
            <v>DA96-01003A</v>
          </cell>
          <cell r="G6456" t="str">
            <v>LABEL</v>
          </cell>
          <cell r="H6456" t="str">
            <v>LAB0738</v>
          </cell>
        </row>
        <row r="6457">
          <cell r="F6457" t="str">
            <v>DA96-01004L</v>
          </cell>
          <cell r="G6457" t="str">
            <v>LABEL</v>
          </cell>
          <cell r="H6457" t="str">
            <v>LAB0737</v>
          </cell>
        </row>
        <row r="6458">
          <cell r="F6458" t="str">
            <v>DA96-01004K</v>
          </cell>
          <cell r="G6458" t="str">
            <v>LABEL</v>
          </cell>
          <cell r="H6458" t="str">
            <v>LAB0736</v>
          </cell>
        </row>
        <row r="6459">
          <cell r="F6459" t="str">
            <v>DA96-01004J</v>
          </cell>
          <cell r="G6459" t="str">
            <v>LABEL</v>
          </cell>
          <cell r="H6459" t="str">
            <v>LAB0735</v>
          </cell>
        </row>
        <row r="6460">
          <cell r="F6460" t="str">
            <v>DA96-01004H</v>
          </cell>
          <cell r="G6460" t="str">
            <v>LABEL</v>
          </cell>
          <cell r="H6460" t="str">
            <v>LAB0734</v>
          </cell>
        </row>
        <row r="6461">
          <cell r="F6461" t="str">
            <v>DA96-01004G</v>
          </cell>
          <cell r="G6461" t="str">
            <v>LABEL</v>
          </cell>
          <cell r="H6461" t="str">
            <v>LAB0733</v>
          </cell>
        </row>
        <row r="6462">
          <cell r="F6462" t="str">
            <v>DA96-01004F</v>
          </cell>
          <cell r="G6462" t="str">
            <v>LABEL</v>
          </cell>
          <cell r="H6462" t="str">
            <v>LAB0732</v>
          </cell>
        </row>
        <row r="6463">
          <cell r="F6463" t="str">
            <v>DA96-01004E</v>
          </cell>
          <cell r="G6463" t="str">
            <v>LABEL</v>
          </cell>
          <cell r="H6463" t="str">
            <v>LAB0731</v>
          </cell>
        </row>
        <row r="6464">
          <cell r="F6464" t="str">
            <v>DA96-01004D</v>
          </cell>
          <cell r="G6464" t="str">
            <v>LABEL</v>
          </cell>
          <cell r="H6464" t="str">
            <v>LAB0730</v>
          </cell>
        </row>
        <row r="6465">
          <cell r="F6465" t="str">
            <v>DA96-01004C</v>
          </cell>
          <cell r="G6465" t="str">
            <v>LABEL</v>
          </cell>
          <cell r="H6465" t="str">
            <v>LAB0729</v>
          </cell>
        </row>
        <row r="6466">
          <cell r="F6466" t="str">
            <v>DA96-01004B</v>
          </cell>
          <cell r="G6466" t="str">
            <v>LABEL</v>
          </cell>
          <cell r="H6466" t="str">
            <v>LAB0728</v>
          </cell>
        </row>
        <row r="6467">
          <cell r="F6467" t="str">
            <v>DA96-01004A</v>
          </cell>
          <cell r="G6467" t="str">
            <v>LABEL</v>
          </cell>
          <cell r="H6467" t="str">
            <v>LAB0727</v>
          </cell>
        </row>
        <row r="6468">
          <cell r="F6468" t="str">
            <v>SM12-90001A</v>
          </cell>
          <cell r="G6468" t="str">
            <v>LABEL</v>
          </cell>
          <cell r="H6468" t="str">
            <v>LAB0726</v>
          </cell>
        </row>
        <row r="6469">
          <cell r="F6469" t="str">
            <v>DA96-00872D</v>
          </cell>
          <cell r="G6469" t="str">
            <v>LABEL</v>
          </cell>
          <cell r="H6469" t="str">
            <v>LAB0725</v>
          </cell>
        </row>
        <row r="6470">
          <cell r="F6470" t="str">
            <v>B324 OUT(80X300)</v>
          </cell>
          <cell r="G6470" t="str">
            <v>LABEL</v>
          </cell>
          <cell r="H6470" t="str">
            <v>LAB0724</v>
          </cell>
        </row>
        <row r="6471">
          <cell r="F6471" t="str">
            <v>DA96-00992F</v>
          </cell>
          <cell r="G6471" t="str">
            <v>LABEL</v>
          </cell>
          <cell r="H6471" t="str">
            <v>LAB0722</v>
          </cell>
        </row>
        <row r="6472">
          <cell r="F6472" t="str">
            <v>DA96-00992E</v>
          </cell>
          <cell r="G6472" t="str">
            <v>LABEL</v>
          </cell>
          <cell r="H6472" t="str">
            <v>LAB0721</v>
          </cell>
        </row>
        <row r="6473">
          <cell r="F6473" t="str">
            <v>DA96-00983C</v>
          </cell>
          <cell r="G6473" t="str">
            <v>LABEL</v>
          </cell>
          <cell r="H6473" t="str">
            <v>LAB0720</v>
          </cell>
        </row>
        <row r="6474">
          <cell r="F6474" t="str">
            <v>DA96-00983F</v>
          </cell>
          <cell r="G6474" t="str">
            <v>LABEL</v>
          </cell>
          <cell r="H6474" t="str">
            <v>LAB0719</v>
          </cell>
        </row>
        <row r="6475">
          <cell r="F6475" t="str">
            <v>DA96-00983E</v>
          </cell>
          <cell r="G6475" t="str">
            <v>LABEL</v>
          </cell>
          <cell r="H6475" t="str">
            <v>LAB0718</v>
          </cell>
        </row>
        <row r="6476">
          <cell r="F6476" t="str">
            <v>DA96-00983D</v>
          </cell>
          <cell r="G6476" t="str">
            <v>LABEL</v>
          </cell>
          <cell r="H6476" t="str">
            <v>LAB0717</v>
          </cell>
        </row>
        <row r="6477">
          <cell r="F6477" t="str">
            <v>DA96-00857D</v>
          </cell>
          <cell r="G6477" t="str">
            <v>LABEL</v>
          </cell>
          <cell r="H6477" t="str">
            <v>LAB0716</v>
          </cell>
        </row>
        <row r="6478">
          <cell r="F6478" t="str">
            <v>DA96-00796V</v>
          </cell>
          <cell r="G6478" t="str">
            <v>LABEL</v>
          </cell>
          <cell r="H6478" t="str">
            <v>LAB0715</v>
          </cell>
        </row>
        <row r="6479">
          <cell r="F6479" t="str">
            <v>DA96-00992D</v>
          </cell>
          <cell r="G6479" t="str">
            <v>LABEL</v>
          </cell>
          <cell r="H6479" t="str">
            <v>LAB0714</v>
          </cell>
        </row>
        <row r="6480">
          <cell r="F6480" t="str">
            <v>DA96-00992C</v>
          </cell>
          <cell r="G6480" t="str">
            <v>LABEL</v>
          </cell>
          <cell r="H6480" t="str">
            <v>LAB0713</v>
          </cell>
        </row>
        <row r="6481">
          <cell r="F6481" t="str">
            <v>DA96-00992B</v>
          </cell>
          <cell r="G6481" t="str">
            <v>LABEL</v>
          </cell>
          <cell r="H6481" t="str">
            <v>LAB0712</v>
          </cell>
        </row>
        <row r="6482">
          <cell r="F6482" t="str">
            <v>DA96-00983B</v>
          </cell>
          <cell r="G6482" t="str">
            <v>LABEL</v>
          </cell>
          <cell r="H6482" t="str">
            <v>LAB0711</v>
          </cell>
        </row>
        <row r="6483">
          <cell r="F6483" t="str">
            <v>DA96-00992A</v>
          </cell>
          <cell r="G6483" t="str">
            <v>LABEL</v>
          </cell>
          <cell r="H6483" t="str">
            <v>LAB0710</v>
          </cell>
        </row>
        <row r="6484">
          <cell r="F6484" t="str">
            <v>DA96-00986B</v>
          </cell>
          <cell r="G6484" t="str">
            <v>LABEL</v>
          </cell>
          <cell r="H6484" t="str">
            <v>LAB0709</v>
          </cell>
        </row>
        <row r="6485">
          <cell r="F6485" t="str">
            <v>DA96-00986A</v>
          </cell>
          <cell r="G6485" t="str">
            <v>LABEL</v>
          </cell>
          <cell r="H6485" t="str">
            <v>LAB0708</v>
          </cell>
        </row>
        <row r="6486">
          <cell r="F6486" t="str">
            <v>DA96-00983A</v>
          </cell>
          <cell r="G6486" t="str">
            <v>LABEL</v>
          </cell>
          <cell r="H6486" t="str">
            <v>LAB0707</v>
          </cell>
        </row>
        <row r="6487">
          <cell r="F6487" t="str">
            <v>DA96-00872C</v>
          </cell>
          <cell r="G6487" t="str">
            <v>LABEL</v>
          </cell>
          <cell r="H6487" t="str">
            <v>LAB0706</v>
          </cell>
        </row>
        <row r="6488">
          <cell r="F6488" t="str">
            <v>DA96-00964J</v>
          </cell>
          <cell r="G6488" t="str">
            <v>LABEL</v>
          </cell>
          <cell r="H6488" t="str">
            <v>LAB0705</v>
          </cell>
        </row>
        <row r="6489">
          <cell r="F6489" t="str">
            <v>DA96-00964H</v>
          </cell>
          <cell r="G6489" t="str">
            <v>LABEL</v>
          </cell>
          <cell r="H6489" t="str">
            <v>LAB0704</v>
          </cell>
        </row>
        <row r="6490">
          <cell r="F6490" t="str">
            <v>DA96-00964G</v>
          </cell>
          <cell r="G6490" t="str">
            <v>LABEL</v>
          </cell>
          <cell r="H6490" t="str">
            <v>LAB0703</v>
          </cell>
        </row>
        <row r="6491">
          <cell r="F6491" t="str">
            <v>DA96-00964F</v>
          </cell>
          <cell r="G6491" t="str">
            <v>LABEL</v>
          </cell>
          <cell r="H6491" t="str">
            <v>LAB0702</v>
          </cell>
        </row>
        <row r="6492">
          <cell r="F6492" t="str">
            <v>DA96-00964E</v>
          </cell>
          <cell r="G6492" t="str">
            <v>LABEL</v>
          </cell>
          <cell r="H6492" t="str">
            <v>LAB0701</v>
          </cell>
        </row>
        <row r="6493">
          <cell r="F6493" t="str">
            <v>DA96-00964D</v>
          </cell>
          <cell r="G6493" t="str">
            <v>LABEL</v>
          </cell>
          <cell r="H6493" t="str">
            <v>LAB0700</v>
          </cell>
        </row>
        <row r="6494">
          <cell r="F6494" t="str">
            <v>DA96-00964C</v>
          </cell>
          <cell r="G6494" t="str">
            <v>LABEL</v>
          </cell>
          <cell r="H6494" t="str">
            <v>LAB0699</v>
          </cell>
        </row>
        <row r="6495">
          <cell r="F6495" t="str">
            <v>DA96-00964B</v>
          </cell>
          <cell r="G6495" t="str">
            <v>LABEL</v>
          </cell>
          <cell r="H6495" t="str">
            <v>LAB0698</v>
          </cell>
        </row>
        <row r="6496">
          <cell r="F6496" t="str">
            <v>DA96-00964A</v>
          </cell>
          <cell r="G6496" t="str">
            <v>LABEL</v>
          </cell>
          <cell r="H6496" t="str">
            <v>LAB0697</v>
          </cell>
        </row>
        <row r="6497">
          <cell r="F6497" t="str">
            <v>DA96-00796R</v>
          </cell>
          <cell r="G6497" t="str">
            <v>LABEL</v>
          </cell>
          <cell r="H6497" t="str">
            <v>LAB0696</v>
          </cell>
        </row>
        <row r="6498">
          <cell r="F6498" t="str">
            <v>DA96-00796Q</v>
          </cell>
          <cell r="G6498" t="str">
            <v>LABEL</v>
          </cell>
          <cell r="H6498" t="str">
            <v>LAB0695</v>
          </cell>
        </row>
        <row r="6499">
          <cell r="F6499" t="str">
            <v>DA96-00828K</v>
          </cell>
          <cell r="G6499" t="str">
            <v>LABEL</v>
          </cell>
          <cell r="H6499" t="str">
            <v>LAB0694</v>
          </cell>
        </row>
        <row r="6500">
          <cell r="F6500" t="str">
            <v>DA96-00828L</v>
          </cell>
          <cell r="G6500" t="str">
            <v>LABEL</v>
          </cell>
          <cell r="H6500" t="str">
            <v>LAB0693</v>
          </cell>
        </row>
        <row r="6501">
          <cell r="F6501" t="str">
            <v>DA96-00955K</v>
          </cell>
          <cell r="G6501" t="str">
            <v>LABEL</v>
          </cell>
          <cell r="H6501" t="str">
            <v>LAB0692</v>
          </cell>
        </row>
        <row r="6502">
          <cell r="F6502" t="str">
            <v>DA96-00955J</v>
          </cell>
          <cell r="G6502" t="str">
            <v>LABEL</v>
          </cell>
          <cell r="H6502" t="str">
            <v>LAB0691</v>
          </cell>
        </row>
        <row r="6503">
          <cell r="F6503" t="str">
            <v>DA96-00955H</v>
          </cell>
          <cell r="G6503" t="str">
            <v>LABEL</v>
          </cell>
          <cell r="H6503" t="str">
            <v>LAB0690</v>
          </cell>
        </row>
        <row r="6504">
          <cell r="F6504" t="str">
            <v>DA96-00955G</v>
          </cell>
          <cell r="G6504" t="str">
            <v>LABEL</v>
          </cell>
          <cell r="H6504" t="str">
            <v>LAB0689</v>
          </cell>
        </row>
        <row r="6505">
          <cell r="F6505" t="str">
            <v>DA96-00955F</v>
          </cell>
          <cell r="G6505" t="str">
            <v>LABEL</v>
          </cell>
          <cell r="H6505" t="str">
            <v>LAB0688</v>
          </cell>
        </row>
        <row r="6506">
          <cell r="F6506" t="str">
            <v>DA96-00955E</v>
          </cell>
          <cell r="G6506" t="str">
            <v>LABEL</v>
          </cell>
          <cell r="H6506" t="str">
            <v>LAB0687</v>
          </cell>
        </row>
        <row r="6507">
          <cell r="F6507" t="str">
            <v>DA96-00955D</v>
          </cell>
          <cell r="G6507" t="str">
            <v>LABEL</v>
          </cell>
          <cell r="H6507" t="str">
            <v>LAB0686</v>
          </cell>
        </row>
        <row r="6508">
          <cell r="F6508" t="str">
            <v>DA96-00955C</v>
          </cell>
          <cell r="G6508" t="str">
            <v>LABEL</v>
          </cell>
          <cell r="H6508" t="str">
            <v>LAB0685</v>
          </cell>
        </row>
        <row r="6509">
          <cell r="F6509" t="str">
            <v>DA96-00974C</v>
          </cell>
          <cell r="G6509" t="str">
            <v>LABEL</v>
          </cell>
          <cell r="H6509" t="str">
            <v>LAB0684</v>
          </cell>
        </row>
        <row r="6510">
          <cell r="F6510" t="str">
            <v>DA96-00974B</v>
          </cell>
          <cell r="G6510" t="str">
            <v>LABEL</v>
          </cell>
          <cell r="H6510" t="str">
            <v>LAB0683</v>
          </cell>
        </row>
        <row r="6511">
          <cell r="F6511" t="str">
            <v>DA96-00952D</v>
          </cell>
          <cell r="G6511" t="str">
            <v>LABEL</v>
          </cell>
          <cell r="H6511" t="str">
            <v>LAB0682</v>
          </cell>
        </row>
        <row r="6512">
          <cell r="F6512" t="str">
            <v>DA96-00831H</v>
          </cell>
          <cell r="G6512" t="str">
            <v>LABEL</v>
          </cell>
          <cell r="H6512" t="str">
            <v>LAB0681</v>
          </cell>
        </row>
        <row r="6513">
          <cell r="F6513" t="str">
            <v>DA96-00974A</v>
          </cell>
          <cell r="G6513" t="str">
            <v>LABEL</v>
          </cell>
          <cell r="H6513" t="str">
            <v>LAB0679</v>
          </cell>
        </row>
        <row r="6514">
          <cell r="F6514" t="str">
            <v>DA96-00796U</v>
          </cell>
          <cell r="G6514" t="str">
            <v>LABEL</v>
          </cell>
          <cell r="H6514" t="str">
            <v>LAB0678</v>
          </cell>
        </row>
        <row r="6515">
          <cell r="F6515" t="str">
            <v>DA96-00796T</v>
          </cell>
          <cell r="G6515" t="str">
            <v>LABEL</v>
          </cell>
          <cell r="H6515" t="str">
            <v>LAB0677</v>
          </cell>
        </row>
        <row r="6516">
          <cell r="F6516" t="str">
            <v>DA96-00833G</v>
          </cell>
          <cell r="G6516" t="str">
            <v>LABEL</v>
          </cell>
          <cell r="H6516" t="str">
            <v>LAB0676</v>
          </cell>
        </row>
        <row r="6517">
          <cell r="F6517" t="str">
            <v>DA96-00833H</v>
          </cell>
          <cell r="G6517" t="str">
            <v>LABEL</v>
          </cell>
          <cell r="H6517" t="str">
            <v>LAB0675</v>
          </cell>
        </row>
        <row r="6518">
          <cell r="F6518" t="str">
            <v>DA96-00793Q</v>
          </cell>
          <cell r="G6518" t="str">
            <v>LABEL</v>
          </cell>
          <cell r="H6518" t="str">
            <v>LAB0674</v>
          </cell>
        </row>
        <row r="6519">
          <cell r="F6519" t="str">
            <v>DA96-00952C</v>
          </cell>
          <cell r="G6519" t="str">
            <v>LABEL</v>
          </cell>
          <cell r="H6519" t="str">
            <v>LAB0673</v>
          </cell>
        </row>
        <row r="6520">
          <cell r="F6520" t="str">
            <v>DA96-00625W</v>
          </cell>
          <cell r="G6520" t="str">
            <v>LABEL</v>
          </cell>
          <cell r="H6520" t="str">
            <v>LAB0672</v>
          </cell>
        </row>
        <row r="6521">
          <cell r="F6521" t="str">
            <v>DC93-00054C</v>
          </cell>
          <cell r="G6521" t="str">
            <v>LABEL</v>
          </cell>
          <cell r="H6521" t="str">
            <v>LAB0671</v>
          </cell>
        </row>
        <row r="6522">
          <cell r="F6522" t="str">
            <v>DC93-00054B</v>
          </cell>
          <cell r="G6522" t="str">
            <v>LABEL</v>
          </cell>
          <cell r="H6522" t="str">
            <v>LAB0670</v>
          </cell>
        </row>
        <row r="6523">
          <cell r="F6523" t="str">
            <v>DA96-00793P</v>
          </cell>
          <cell r="G6523" t="str">
            <v>LABEL</v>
          </cell>
          <cell r="H6523" t="str">
            <v>LAB0669</v>
          </cell>
        </row>
        <row r="6524">
          <cell r="F6524" t="str">
            <v>DA96-00793N</v>
          </cell>
          <cell r="G6524" t="str">
            <v>LABEL</v>
          </cell>
          <cell r="H6524" t="str">
            <v>LAB0668</v>
          </cell>
        </row>
        <row r="6525">
          <cell r="F6525" t="str">
            <v>DA96-00955B</v>
          </cell>
          <cell r="G6525" t="str">
            <v>LABEL</v>
          </cell>
          <cell r="H6525" t="str">
            <v>LAB0667</v>
          </cell>
        </row>
        <row r="6526">
          <cell r="F6526" t="str">
            <v>DA96-00952B</v>
          </cell>
          <cell r="G6526" t="str">
            <v>LABEL</v>
          </cell>
          <cell r="H6526" t="str">
            <v>LAB0666</v>
          </cell>
        </row>
        <row r="6527">
          <cell r="F6527" t="str">
            <v>DC93-00049H</v>
          </cell>
          <cell r="G6527" t="str">
            <v>LABEL</v>
          </cell>
          <cell r="H6527" t="str">
            <v>LAB0665</v>
          </cell>
        </row>
        <row r="6528">
          <cell r="F6528" t="str">
            <v>DC93-00049E</v>
          </cell>
          <cell r="G6528" t="str">
            <v>LABEL</v>
          </cell>
          <cell r="H6528" t="str">
            <v>LAB0664</v>
          </cell>
        </row>
        <row r="6529">
          <cell r="F6529" t="str">
            <v>DC93-00191E</v>
          </cell>
          <cell r="G6529" t="str">
            <v>LABEL</v>
          </cell>
          <cell r="H6529" t="str">
            <v>LAB0663</v>
          </cell>
        </row>
        <row r="6530">
          <cell r="F6530" t="str">
            <v>DC93-00153F</v>
          </cell>
          <cell r="G6530" t="str">
            <v>LABEL</v>
          </cell>
          <cell r="H6530" t="str">
            <v>LAB0662</v>
          </cell>
        </row>
        <row r="6531">
          <cell r="F6531" t="str">
            <v>DA96-00952A</v>
          </cell>
          <cell r="G6531" t="str">
            <v>LABEL</v>
          </cell>
          <cell r="H6531" t="str">
            <v>LAB0661</v>
          </cell>
        </row>
        <row r="6532">
          <cell r="F6532" t="str">
            <v>DA96-00828J</v>
          </cell>
          <cell r="G6532" t="str">
            <v>LABEL</v>
          </cell>
          <cell r="H6532" t="str">
            <v>LAB0660</v>
          </cell>
        </row>
        <row r="6533">
          <cell r="F6533" t="str">
            <v>DA96-00911B</v>
          </cell>
          <cell r="G6533" t="str">
            <v>LABEL</v>
          </cell>
          <cell r="H6533" t="str">
            <v>LAB0659</v>
          </cell>
        </row>
        <row r="6534">
          <cell r="F6534" t="str">
            <v>DA96-00911A</v>
          </cell>
          <cell r="G6534" t="str">
            <v>LABEL</v>
          </cell>
          <cell r="H6534" t="str">
            <v>LAB0658</v>
          </cell>
        </row>
        <row r="6535">
          <cell r="F6535" t="str">
            <v>DA96-00796M</v>
          </cell>
          <cell r="G6535" t="str">
            <v>LABEL</v>
          </cell>
          <cell r="H6535" t="str">
            <v>LAB0657</v>
          </cell>
        </row>
        <row r="6536">
          <cell r="F6536" t="str">
            <v>DA96-00796L</v>
          </cell>
          <cell r="G6536" t="str">
            <v>LABEL</v>
          </cell>
          <cell r="H6536" t="str">
            <v>LAB0656</v>
          </cell>
        </row>
        <row r="6537">
          <cell r="F6537" t="str">
            <v>DA96-00796K</v>
          </cell>
          <cell r="G6537" t="str">
            <v>LABEL</v>
          </cell>
          <cell r="H6537" t="str">
            <v>LAB0655</v>
          </cell>
        </row>
        <row r="6538">
          <cell r="F6538" t="str">
            <v>DC93-00273H</v>
          </cell>
          <cell r="G6538" t="str">
            <v>LABEL</v>
          </cell>
          <cell r="H6538" t="str">
            <v>LAB0654</v>
          </cell>
        </row>
        <row r="6539">
          <cell r="F6539" t="str">
            <v>DC93-00049Q</v>
          </cell>
          <cell r="G6539" t="str">
            <v>LABEL</v>
          </cell>
          <cell r="H6539" t="str">
            <v>LAB0653</v>
          </cell>
        </row>
        <row r="6540">
          <cell r="F6540" t="str">
            <v>DC93-00225D</v>
          </cell>
          <cell r="G6540" t="str">
            <v>LABEL</v>
          </cell>
          <cell r="H6540" t="str">
            <v>LAB0652</v>
          </cell>
        </row>
        <row r="6541">
          <cell r="F6541" t="str">
            <v>DC93-00273F</v>
          </cell>
          <cell r="G6541" t="str">
            <v>LABEL</v>
          </cell>
          <cell r="H6541" t="str">
            <v>LAB0651</v>
          </cell>
        </row>
        <row r="6542">
          <cell r="F6542" t="str">
            <v>DC93-00273E</v>
          </cell>
          <cell r="G6542" t="str">
            <v>LABEL</v>
          </cell>
          <cell r="H6542" t="str">
            <v>LAB0650</v>
          </cell>
        </row>
        <row r="6543">
          <cell r="F6543" t="str">
            <v>DA96-00625V</v>
          </cell>
          <cell r="G6543" t="str">
            <v>LABEL</v>
          </cell>
          <cell r="H6543" t="str">
            <v>LAB0649</v>
          </cell>
        </row>
        <row r="6544">
          <cell r="F6544" t="str">
            <v>DA96-00625U</v>
          </cell>
          <cell r="G6544" t="str">
            <v>LABEL</v>
          </cell>
          <cell r="H6544" t="str">
            <v>LAB0648</v>
          </cell>
        </row>
        <row r="6545">
          <cell r="F6545" t="str">
            <v>DA96-00625T</v>
          </cell>
          <cell r="G6545" t="str">
            <v>LABEL</v>
          </cell>
          <cell r="H6545" t="str">
            <v>LAB0647</v>
          </cell>
        </row>
        <row r="6546">
          <cell r="F6546" t="str">
            <v>DC93-00185C</v>
          </cell>
          <cell r="G6546" t="str">
            <v>LABEL</v>
          </cell>
          <cell r="H6546" t="str">
            <v>LAB0645</v>
          </cell>
        </row>
        <row r="6547">
          <cell r="F6547" t="str">
            <v>DC93-00049C</v>
          </cell>
          <cell r="G6547" t="str">
            <v>LABEL</v>
          </cell>
          <cell r="H6547" t="str">
            <v>LAB0644</v>
          </cell>
        </row>
        <row r="6548">
          <cell r="F6548" t="str">
            <v>DC93-00016C</v>
          </cell>
          <cell r="G6548" t="str">
            <v>LABEL</v>
          </cell>
          <cell r="H6548" t="str">
            <v>LAB0643</v>
          </cell>
        </row>
        <row r="6549">
          <cell r="F6549" t="str">
            <v>DC93-00273D</v>
          </cell>
          <cell r="G6549" t="str">
            <v>LABEL</v>
          </cell>
          <cell r="H6549" t="str">
            <v>LAB0642</v>
          </cell>
        </row>
        <row r="6550">
          <cell r="F6550" t="str">
            <v>DC93-00273A</v>
          </cell>
          <cell r="G6550" t="str">
            <v>LABEL</v>
          </cell>
          <cell r="H6550" t="str">
            <v>LAB0641</v>
          </cell>
        </row>
        <row r="6551">
          <cell r="F6551" t="str">
            <v>DC93-00158A</v>
          </cell>
          <cell r="G6551" t="str">
            <v>LABEL</v>
          </cell>
          <cell r="H6551" t="str">
            <v>LAB0640</v>
          </cell>
        </row>
        <row r="6552">
          <cell r="F6552" t="str">
            <v>DC93-00185D</v>
          </cell>
          <cell r="G6552" t="str">
            <v>LABEL</v>
          </cell>
          <cell r="H6552" t="str">
            <v>LAB0639</v>
          </cell>
        </row>
        <row r="6553">
          <cell r="F6553" t="str">
            <v>DC93-00185B</v>
          </cell>
          <cell r="G6553" t="str">
            <v>LABEL</v>
          </cell>
          <cell r="H6553" t="str">
            <v>LAB0638</v>
          </cell>
        </row>
        <row r="6554">
          <cell r="F6554" t="str">
            <v>DC93-00185A</v>
          </cell>
          <cell r="G6554" t="str">
            <v>LABEL</v>
          </cell>
          <cell r="H6554" t="str">
            <v>LAB0637</v>
          </cell>
        </row>
        <row r="6555">
          <cell r="F6555" t="str">
            <v>DC93-00184A</v>
          </cell>
          <cell r="G6555" t="str">
            <v>LABEL</v>
          </cell>
          <cell r="H6555" t="str">
            <v>LAB0636</v>
          </cell>
        </row>
        <row r="6556">
          <cell r="F6556" t="str">
            <v>DC93-00223B</v>
          </cell>
          <cell r="G6556" t="str">
            <v>LABEL</v>
          </cell>
          <cell r="H6556" t="str">
            <v>LAB0635</v>
          </cell>
        </row>
        <row r="6557">
          <cell r="F6557" t="str">
            <v>DC93-00223A</v>
          </cell>
          <cell r="G6557" t="str">
            <v>LABEL</v>
          </cell>
          <cell r="H6557" t="str">
            <v>LAB0634</v>
          </cell>
        </row>
        <row r="6558">
          <cell r="F6558" t="str">
            <v>DC93-00225C</v>
          </cell>
          <cell r="G6558" t="str">
            <v>LABEL</v>
          </cell>
          <cell r="H6558" t="str">
            <v>LAB0633</v>
          </cell>
        </row>
        <row r="6559">
          <cell r="F6559" t="str">
            <v>DC93-00049F</v>
          </cell>
          <cell r="G6559" t="str">
            <v>LABEL</v>
          </cell>
          <cell r="H6559" t="str">
            <v>LAB0632</v>
          </cell>
        </row>
        <row r="6560">
          <cell r="F6560" t="str">
            <v>DC93-00049L</v>
          </cell>
          <cell r="G6560" t="str">
            <v>LABEL</v>
          </cell>
          <cell r="H6560" t="str">
            <v>LAB0631</v>
          </cell>
        </row>
        <row r="6561">
          <cell r="F6561" t="str">
            <v>DC93-00049J</v>
          </cell>
          <cell r="G6561" t="str">
            <v>LABEL</v>
          </cell>
          <cell r="H6561" t="str">
            <v>LAB0630</v>
          </cell>
        </row>
        <row r="6562">
          <cell r="F6562" t="str">
            <v>DC93-00049M</v>
          </cell>
          <cell r="G6562" t="str">
            <v>LABEL</v>
          </cell>
          <cell r="H6562" t="str">
            <v>LAB0629</v>
          </cell>
        </row>
        <row r="6563">
          <cell r="F6563" t="str">
            <v>DC93-00049A</v>
          </cell>
          <cell r="G6563" t="str">
            <v>LABEL</v>
          </cell>
          <cell r="H6563" t="str">
            <v>LAB0628</v>
          </cell>
        </row>
        <row r="6564">
          <cell r="F6564" t="str">
            <v>DA96-00829D</v>
          </cell>
          <cell r="G6564" t="str">
            <v>LABEL</v>
          </cell>
          <cell r="H6564" t="str">
            <v>LAB0627</v>
          </cell>
        </row>
        <row r="6565">
          <cell r="F6565" t="str">
            <v>DA96-00831F</v>
          </cell>
          <cell r="G6565" t="str">
            <v>LABEL</v>
          </cell>
          <cell r="H6565" t="str">
            <v>LAB0624</v>
          </cell>
        </row>
        <row r="6566">
          <cell r="F6566" t="str">
            <v>DC93-00016D</v>
          </cell>
          <cell r="G6566" t="str">
            <v>LABEL</v>
          </cell>
          <cell r="H6566" t="str">
            <v>LAB0623</v>
          </cell>
        </row>
        <row r="6567">
          <cell r="F6567" t="str">
            <v>DC93-00016F</v>
          </cell>
          <cell r="G6567" t="str">
            <v>LABEL</v>
          </cell>
          <cell r="H6567" t="str">
            <v>LAB0622</v>
          </cell>
        </row>
        <row r="6568">
          <cell r="F6568" t="str">
            <v>DA96-00899B</v>
          </cell>
          <cell r="G6568" t="str">
            <v>LABEL</v>
          </cell>
          <cell r="H6568" t="str">
            <v>LAB0621</v>
          </cell>
        </row>
        <row r="6569">
          <cell r="F6569" t="str">
            <v>DA96-00899D</v>
          </cell>
          <cell r="G6569" t="str">
            <v>LABEL</v>
          </cell>
          <cell r="H6569" t="str">
            <v>LAB0620</v>
          </cell>
        </row>
        <row r="6570">
          <cell r="F6570" t="str">
            <v>DA96-00899C</v>
          </cell>
          <cell r="G6570" t="str">
            <v>LABEL</v>
          </cell>
          <cell r="H6570" t="str">
            <v>LAB0619</v>
          </cell>
        </row>
        <row r="6571">
          <cell r="F6571" t="str">
            <v>DA96-00899A</v>
          </cell>
          <cell r="G6571" t="str">
            <v>LABEL</v>
          </cell>
          <cell r="H6571" t="str">
            <v>LAB0618</v>
          </cell>
        </row>
        <row r="6572">
          <cell r="F6572" t="str">
            <v>DJ68-20204F</v>
          </cell>
          <cell r="G6572" t="str">
            <v>LABEL</v>
          </cell>
          <cell r="H6572" t="str">
            <v>LAB0617</v>
          </cell>
        </row>
        <row r="6573">
          <cell r="F6573" t="str">
            <v>DA96-00796J</v>
          </cell>
          <cell r="G6573" t="str">
            <v>LABEL</v>
          </cell>
          <cell r="H6573" t="str">
            <v>LAB0616</v>
          </cell>
        </row>
        <row r="6574">
          <cell r="F6574" t="str">
            <v>DA96-00833F</v>
          </cell>
          <cell r="G6574" t="str">
            <v>LABEL</v>
          </cell>
          <cell r="H6574" t="str">
            <v>LAB0615</v>
          </cell>
        </row>
        <row r="6575">
          <cell r="F6575" t="str">
            <v>DA96-00678P</v>
          </cell>
          <cell r="G6575" t="str">
            <v>LABEL</v>
          </cell>
          <cell r="H6575" t="str">
            <v>LAB0614</v>
          </cell>
        </row>
        <row r="6576">
          <cell r="F6576" t="str">
            <v>DA96-00678N</v>
          </cell>
          <cell r="G6576" t="str">
            <v>LABEL</v>
          </cell>
          <cell r="H6576" t="str">
            <v>LAB0613</v>
          </cell>
        </row>
        <row r="6577">
          <cell r="F6577" t="str">
            <v>DA96-00678M</v>
          </cell>
          <cell r="G6577" t="str">
            <v>LABEL</v>
          </cell>
          <cell r="H6577" t="str">
            <v>LAB0612</v>
          </cell>
        </row>
        <row r="6578">
          <cell r="F6578" t="str">
            <v>DA96-00639E</v>
          </cell>
          <cell r="G6578" t="str">
            <v>LABEL</v>
          </cell>
          <cell r="H6578" t="str">
            <v>LAB0610</v>
          </cell>
        </row>
        <row r="6579">
          <cell r="F6579" t="str">
            <v>DA96-00678L</v>
          </cell>
          <cell r="G6579" t="str">
            <v>LABEL</v>
          </cell>
          <cell r="H6579" t="str">
            <v>LAB0608</v>
          </cell>
        </row>
        <row r="6580">
          <cell r="F6580" t="str">
            <v>DC96-01493D</v>
          </cell>
          <cell r="G6580" t="str">
            <v>LABEL</v>
          </cell>
          <cell r="H6580" t="str">
            <v>LAB0603</v>
          </cell>
        </row>
        <row r="6581">
          <cell r="F6581" t="str">
            <v>DA96-00793M</v>
          </cell>
          <cell r="G6581" t="str">
            <v>LABEL</v>
          </cell>
          <cell r="H6581" t="str">
            <v>LAB0602</v>
          </cell>
        </row>
        <row r="6582">
          <cell r="F6582" t="str">
            <v>DA96-00877F</v>
          </cell>
          <cell r="G6582" t="str">
            <v>LABEL</v>
          </cell>
          <cell r="H6582" t="str">
            <v>LAB0601</v>
          </cell>
        </row>
        <row r="6583">
          <cell r="F6583" t="str">
            <v>DA96-00877E</v>
          </cell>
          <cell r="G6583" t="str">
            <v>LABEL</v>
          </cell>
          <cell r="H6583" t="str">
            <v>LAB0600</v>
          </cell>
        </row>
        <row r="6584">
          <cell r="F6584" t="str">
            <v>DC93-00068E</v>
          </cell>
          <cell r="G6584" t="str">
            <v>LABEL</v>
          </cell>
          <cell r="H6584" t="str">
            <v>LAB0598</v>
          </cell>
        </row>
        <row r="6585">
          <cell r="F6585" t="str">
            <v>DA96-00761H</v>
          </cell>
          <cell r="G6585" t="str">
            <v>LABEL</v>
          </cell>
          <cell r="H6585" t="str">
            <v>LAB0595</v>
          </cell>
        </row>
        <row r="6586">
          <cell r="F6586" t="str">
            <v>DA96-00761G</v>
          </cell>
          <cell r="G6586" t="str">
            <v>LABEL</v>
          </cell>
          <cell r="H6586" t="str">
            <v>LAB0594</v>
          </cell>
        </row>
        <row r="6587">
          <cell r="F6587" t="str">
            <v>DA96-00761F</v>
          </cell>
          <cell r="G6587" t="str">
            <v>LABEL</v>
          </cell>
          <cell r="H6587" t="str">
            <v>LAB0593</v>
          </cell>
        </row>
        <row r="6588">
          <cell r="F6588" t="str">
            <v>DA96-00761E</v>
          </cell>
          <cell r="G6588" t="str">
            <v>LABEL</v>
          </cell>
          <cell r="H6588" t="str">
            <v>LAB0592</v>
          </cell>
        </row>
        <row r="6589">
          <cell r="F6589" t="str">
            <v>DA96-00580J</v>
          </cell>
          <cell r="G6589" t="str">
            <v>LABEL</v>
          </cell>
          <cell r="H6589" t="str">
            <v>LAB0589</v>
          </cell>
        </row>
        <row r="6590">
          <cell r="F6590" t="str">
            <v>DA96-00580H</v>
          </cell>
          <cell r="G6590" t="str">
            <v>LABEL</v>
          </cell>
          <cell r="H6590" t="str">
            <v>LAB0588</v>
          </cell>
        </row>
        <row r="6591">
          <cell r="F6591" t="str">
            <v>DA96-00580G</v>
          </cell>
          <cell r="G6591" t="str">
            <v>LABEL</v>
          </cell>
          <cell r="H6591" t="str">
            <v>LAB0587</v>
          </cell>
        </row>
        <row r="6592">
          <cell r="F6592" t="str">
            <v>DA96-00625Q</v>
          </cell>
          <cell r="G6592" t="str">
            <v>LABEL</v>
          </cell>
          <cell r="H6592" t="str">
            <v>LAB0586</v>
          </cell>
        </row>
        <row r="6593">
          <cell r="F6593" t="str">
            <v>DC93-00191B</v>
          </cell>
          <cell r="G6593" t="str">
            <v>LABEL</v>
          </cell>
          <cell r="H6593" t="str">
            <v>LAB0585</v>
          </cell>
        </row>
        <row r="6594">
          <cell r="F6594" t="str">
            <v>DA96-00877D</v>
          </cell>
          <cell r="G6594" t="str">
            <v>LABEL</v>
          </cell>
          <cell r="H6594" t="str">
            <v>LAB0584</v>
          </cell>
        </row>
        <row r="6595">
          <cell r="F6595" t="str">
            <v>DA96-00877C</v>
          </cell>
          <cell r="G6595" t="str">
            <v>LABEL</v>
          </cell>
          <cell r="H6595" t="str">
            <v>LAB0583</v>
          </cell>
        </row>
        <row r="6596">
          <cell r="F6596" t="str">
            <v>DA96-00877B</v>
          </cell>
          <cell r="G6596" t="str">
            <v>LABEL</v>
          </cell>
          <cell r="H6596" t="str">
            <v>LAB0582</v>
          </cell>
        </row>
        <row r="6597">
          <cell r="F6597" t="str">
            <v>DA96-00877A</v>
          </cell>
          <cell r="G6597" t="str">
            <v>LABEL</v>
          </cell>
          <cell r="H6597" t="str">
            <v>LAB0581</v>
          </cell>
        </row>
        <row r="6598">
          <cell r="F6598" t="str">
            <v>DA96-00636S</v>
          </cell>
          <cell r="G6598" t="str">
            <v>LABEL</v>
          </cell>
          <cell r="H6598" t="str">
            <v>LAB0580</v>
          </cell>
        </row>
        <row r="6599">
          <cell r="F6599" t="str">
            <v>DA96-00636R</v>
          </cell>
          <cell r="G6599" t="str">
            <v>LABEL</v>
          </cell>
          <cell r="H6599" t="str">
            <v>LAB0579</v>
          </cell>
        </row>
        <row r="6600">
          <cell r="F6600" t="str">
            <v>DA96-00636Q</v>
          </cell>
          <cell r="G6600" t="str">
            <v>LABEL</v>
          </cell>
          <cell r="H6600" t="str">
            <v>LAB0578</v>
          </cell>
        </row>
        <row r="6601">
          <cell r="F6601" t="str">
            <v>DA96-00780H</v>
          </cell>
          <cell r="G6601" t="str">
            <v>LABEL</v>
          </cell>
          <cell r="H6601" t="str">
            <v>LAB0577</v>
          </cell>
        </row>
        <row r="6602">
          <cell r="F6602" t="str">
            <v>DA96-00780G</v>
          </cell>
          <cell r="G6602" t="str">
            <v>LABEL</v>
          </cell>
          <cell r="H6602" t="str">
            <v>LAB0576</v>
          </cell>
        </row>
        <row r="6603">
          <cell r="F6603" t="str">
            <v>DA96-00780F</v>
          </cell>
          <cell r="G6603" t="str">
            <v>LABEL</v>
          </cell>
          <cell r="H6603" t="str">
            <v>LAB0575</v>
          </cell>
        </row>
        <row r="6604">
          <cell r="F6604" t="str">
            <v>DA96-00780E</v>
          </cell>
          <cell r="G6604" t="str">
            <v>LABEL</v>
          </cell>
          <cell r="H6604" t="str">
            <v>LAB0574</v>
          </cell>
        </row>
        <row r="6605">
          <cell r="F6605" t="str">
            <v>DA96-00872B</v>
          </cell>
          <cell r="G6605" t="str">
            <v>LABEL</v>
          </cell>
          <cell r="H6605" t="str">
            <v>LAB0573</v>
          </cell>
        </row>
        <row r="6606">
          <cell r="F6606" t="str">
            <v>DA96-00828H</v>
          </cell>
          <cell r="G6606" t="str">
            <v>LABEL</v>
          </cell>
          <cell r="H6606" t="str">
            <v>LAB0570</v>
          </cell>
        </row>
        <row r="6607">
          <cell r="F6607" t="str">
            <v>DA96-00793L</v>
          </cell>
          <cell r="G6607" t="str">
            <v>LABEL</v>
          </cell>
          <cell r="H6607" t="str">
            <v>LAB0569</v>
          </cell>
        </row>
        <row r="6608">
          <cell r="F6608" t="str">
            <v>DA96-00829B</v>
          </cell>
          <cell r="G6608" t="str">
            <v>LABEL</v>
          </cell>
          <cell r="H6608" t="str">
            <v>LAB0568</v>
          </cell>
        </row>
        <row r="6609">
          <cell r="F6609" t="str">
            <v>DA96-00625P</v>
          </cell>
          <cell r="G6609" t="str">
            <v>LABEL</v>
          </cell>
          <cell r="H6609" t="str">
            <v>LAB0567</v>
          </cell>
        </row>
        <row r="6610">
          <cell r="F6610" t="str">
            <v>DA96-00872A</v>
          </cell>
          <cell r="G6610" t="str">
            <v>LABEL</v>
          </cell>
          <cell r="H6610" t="str">
            <v>LAB0566</v>
          </cell>
        </row>
        <row r="6611">
          <cell r="F6611" t="str">
            <v>DA96-00824B</v>
          </cell>
          <cell r="G6611" t="str">
            <v>LABEL</v>
          </cell>
          <cell r="H6611" t="str">
            <v>LAB0565</v>
          </cell>
        </row>
        <row r="6612">
          <cell r="F6612" t="str">
            <v>DA96-00796H</v>
          </cell>
          <cell r="G6612" t="str">
            <v>LABEL</v>
          </cell>
          <cell r="H6612" t="str">
            <v>LAB0564</v>
          </cell>
        </row>
        <row r="6613">
          <cell r="F6613" t="str">
            <v>DA96-00793K</v>
          </cell>
          <cell r="G6613" t="str">
            <v>LABEL</v>
          </cell>
          <cell r="H6613" t="str">
            <v>LAB0563</v>
          </cell>
        </row>
        <row r="6614">
          <cell r="F6614" t="str">
            <v>DA96-00566K</v>
          </cell>
          <cell r="G6614" t="str">
            <v>LABEL</v>
          </cell>
          <cell r="H6614" t="str">
            <v>LAB0562</v>
          </cell>
        </row>
        <row r="6615">
          <cell r="F6615" t="str">
            <v>DA96-00678K</v>
          </cell>
          <cell r="G6615" t="str">
            <v>LABEL</v>
          </cell>
          <cell r="H6615" t="str">
            <v>LAB0561</v>
          </cell>
        </row>
        <row r="6616">
          <cell r="F6616" t="str">
            <v>DA96-00678H</v>
          </cell>
          <cell r="G6616" t="str">
            <v>LABEL</v>
          </cell>
          <cell r="H6616" t="str">
            <v>LAB0560</v>
          </cell>
        </row>
        <row r="6617">
          <cell r="F6617" t="str">
            <v>DA96-00678J</v>
          </cell>
          <cell r="G6617" t="str">
            <v>LABEL</v>
          </cell>
          <cell r="H6617" t="str">
            <v>LAB0559</v>
          </cell>
        </row>
        <row r="6618">
          <cell r="F6618" t="str">
            <v>DA96-00678G</v>
          </cell>
          <cell r="G6618" t="str">
            <v>LABEL</v>
          </cell>
          <cell r="H6618" t="str">
            <v>LAB0558</v>
          </cell>
        </row>
        <row r="6619">
          <cell r="F6619" t="str">
            <v>DA96-00678F</v>
          </cell>
          <cell r="G6619" t="str">
            <v>LABEL</v>
          </cell>
          <cell r="H6619" t="str">
            <v>LAB0557</v>
          </cell>
        </row>
        <row r="6620">
          <cell r="F6620" t="str">
            <v>DA96-00796F</v>
          </cell>
          <cell r="G6620" t="str">
            <v>LABEL</v>
          </cell>
          <cell r="H6620" t="str">
            <v>LAB0556</v>
          </cell>
        </row>
        <row r="6621">
          <cell r="F6621" t="str">
            <v>DA96-00796G</v>
          </cell>
          <cell r="G6621" t="str">
            <v>LABEL</v>
          </cell>
          <cell r="H6621" t="str">
            <v>LAB0555</v>
          </cell>
        </row>
        <row r="6622">
          <cell r="F6622" t="str">
            <v>DA96-00837B</v>
          </cell>
          <cell r="G6622" t="str">
            <v>LABEL</v>
          </cell>
          <cell r="H6622" t="str">
            <v>LAB0553</v>
          </cell>
        </row>
        <row r="6623">
          <cell r="F6623" t="str">
            <v>DA96-00837A</v>
          </cell>
          <cell r="G6623" t="str">
            <v>LABEL</v>
          </cell>
          <cell r="H6623" t="str">
            <v>LAB0552</v>
          </cell>
        </row>
        <row r="6624">
          <cell r="F6624" t="str">
            <v>DA39-00277A</v>
          </cell>
          <cell r="G6624" t="str">
            <v>LABEL</v>
          </cell>
          <cell r="H6624" t="str">
            <v>LAB0551</v>
          </cell>
        </row>
        <row r="6625">
          <cell r="F6625" t="str">
            <v>DA96-00836E</v>
          </cell>
          <cell r="G6625" t="str">
            <v>LABEL</v>
          </cell>
          <cell r="H6625" t="str">
            <v>LAB0550</v>
          </cell>
        </row>
        <row r="6626">
          <cell r="F6626" t="str">
            <v>DA96-00836D</v>
          </cell>
          <cell r="G6626" t="str">
            <v>LABEL</v>
          </cell>
          <cell r="H6626" t="str">
            <v>LAB0549</v>
          </cell>
        </row>
        <row r="6627">
          <cell r="F6627" t="str">
            <v>DA96-00836C</v>
          </cell>
          <cell r="G6627" t="str">
            <v>LABEL</v>
          </cell>
          <cell r="H6627" t="str">
            <v>LAB0548</v>
          </cell>
        </row>
        <row r="6628">
          <cell r="F6628" t="str">
            <v>DA96-00836B</v>
          </cell>
          <cell r="G6628" t="str">
            <v>LABEL</v>
          </cell>
          <cell r="H6628" t="str">
            <v>LAB0547</v>
          </cell>
        </row>
        <row r="6629">
          <cell r="F6629" t="str">
            <v>DA96-00836A</v>
          </cell>
          <cell r="G6629" t="str">
            <v>LABEL</v>
          </cell>
          <cell r="H6629" t="str">
            <v>LAB0546</v>
          </cell>
        </row>
        <row r="6630">
          <cell r="F6630" t="str">
            <v>DA96-00841D</v>
          </cell>
          <cell r="G6630" t="str">
            <v>LABEL</v>
          </cell>
          <cell r="H6630" t="str">
            <v>LAB0545</v>
          </cell>
        </row>
        <row r="6631">
          <cell r="F6631" t="str">
            <v>DA96-00841C</v>
          </cell>
          <cell r="G6631" t="str">
            <v>LABEL</v>
          </cell>
          <cell r="H6631" t="str">
            <v>LAB0544</v>
          </cell>
        </row>
        <row r="6632">
          <cell r="F6632" t="str">
            <v>DA96-00841B</v>
          </cell>
          <cell r="G6632" t="str">
            <v>LABEL</v>
          </cell>
          <cell r="H6632" t="str">
            <v>LAB0543</v>
          </cell>
        </row>
        <row r="6633">
          <cell r="F6633" t="str">
            <v>DA96-00841A</v>
          </cell>
          <cell r="G6633" t="str">
            <v>LABEL</v>
          </cell>
          <cell r="H6633" t="str">
            <v>LAB0542</v>
          </cell>
        </row>
        <row r="6634">
          <cell r="F6634" t="str">
            <v>DA96-00833E</v>
          </cell>
          <cell r="G6634" t="str">
            <v>LABEL</v>
          </cell>
          <cell r="H6634" t="str">
            <v>LAB0541</v>
          </cell>
        </row>
        <row r="6635">
          <cell r="F6635" t="str">
            <v>DA96-00831C</v>
          </cell>
          <cell r="G6635" t="str">
            <v>LABEL</v>
          </cell>
          <cell r="H6635" t="str">
            <v>LAB0540</v>
          </cell>
        </row>
        <row r="6636">
          <cell r="F6636" t="str">
            <v>DA96-00831B</v>
          </cell>
          <cell r="G6636" t="str">
            <v>LABEL</v>
          </cell>
          <cell r="H6636" t="str">
            <v>LAB0539</v>
          </cell>
        </row>
        <row r="6637">
          <cell r="F6637" t="str">
            <v>DA96-00831A</v>
          </cell>
          <cell r="G6637" t="str">
            <v>LABEL</v>
          </cell>
          <cell r="H6637" t="str">
            <v>LAB0538</v>
          </cell>
        </row>
        <row r="6638">
          <cell r="F6638" t="str">
            <v>DC93-00068D</v>
          </cell>
          <cell r="G6638" t="str">
            <v>LABEL</v>
          </cell>
          <cell r="H6638" t="str">
            <v>LAB0537</v>
          </cell>
        </row>
        <row r="6639">
          <cell r="F6639" t="str">
            <v>DA96-00828D</v>
          </cell>
          <cell r="G6639" t="str">
            <v>LABEL</v>
          </cell>
          <cell r="H6639" t="str">
            <v>LAB0536</v>
          </cell>
        </row>
        <row r="6640">
          <cell r="F6640" t="str">
            <v>DA96-00828C</v>
          </cell>
          <cell r="G6640" t="str">
            <v>LABEL</v>
          </cell>
          <cell r="H6640" t="str">
            <v>LAB0535</v>
          </cell>
        </row>
        <row r="6641">
          <cell r="F6641" t="str">
            <v>DC93-00178D</v>
          </cell>
          <cell r="G6641" t="str">
            <v>LABEL</v>
          </cell>
          <cell r="H6641" t="str">
            <v>LAB0534</v>
          </cell>
        </row>
        <row r="6642">
          <cell r="F6642" t="str">
            <v>DC93-00178C</v>
          </cell>
          <cell r="G6642" t="str">
            <v>LABEL</v>
          </cell>
          <cell r="H6642" t="str">
            <v>LAB0533</v>
          </cell>
        </row>
        <row r="6643">
          <cell r="F6643" t="str">
            <v>DC93-00176C</v>
          </cell>
          <cell r="G6643" t="str">
            <v>LABEL</v>
          </cell>
          <cell r="H6643" t="str">
            <v>LAB0532</v>
          </cell>
        </row>
        <row r="6644">
          <cell r="F6644" t="str">
            <v>DA96-00828G</v>
          </cell>
          <cell r="G6644" t="str">
            <v>LABEL</v>
          </cell>
          <cell r="H6644" t="str">
            <v>LAB0531</v>
          </cell>
        </row>
        <row r="6645">
          <cell r="F6645" t="str">
            <v>DA96-00828F</v>
          </cell>
          <cell r="G6645" t="str">
            <v>LABEL</v>
          </cell>
          <cell r="H6645" t="str">
            <v>LAB0530</v>
          </cell>
        </row>
        <row r="6646">
          <cell r="F6646" t="str">
            <v>DA96-00828E</v>
          </cell>
          <cell r="G6646" t="str">
            <v>LABEL</v>
          </cell>
          <cell r="H6646" t="str">
            <v>LAB0529</v>
          </cell>
        </row>
        <row r="6647">
          <cell r="F6647" t="str">
            <v>DA96-00828B</v>
          </cell>
          <cell r="G6647" t="str">
            <v>LABEL</v>
          </cell>
          <cell r="H6647" t="str">
            <v>LAB0528</v>
          </cell>
        </row>
        <row r="6648">
          <cell r="F6648" t="str">
            <v>DA96-00828A</v>
          </cell>
          <cell r="G6648" t="str">
            <v>LABEL</v>
          </cell>
          <cell r="H6648" t="str">
            <v>LAB0527</v>
          </cell>
        </row>
        <row r="6649">
          <cell r="F6649" t="str">
            <v>DA96-00796E</v>
          </cell>
          <cell r="G6649" t="str">
            <v>LABEL</v>
          </cell>
          <cell r="H6649" t="str">
            <v>LAB0526</v>
          </cell>
        </row>
        <row r="6650">
          <cell r="F6650" t="str">
            <v>DA96-00796D</v>
          </cell>
          <cell r="G6650" t="str">
            <v>LABEL</v>
          </cell>
          <cell r="H6650" t="str">
            <v>LAB0525</v>
          </cell>
        </row>
        <row r="6651">
          <cell r="F6651" t="str">
            <v>DA96-00829C</v>
          </cell>
          <cell r="G6651" t="str">
            <v>LABEL</v>
          </cell>
          <cell r="H6651" t="str">
            <v>LAB0524</v>
          </cell>
        </row>
        <row r="6652">
          <cell r="F6652" t="str">
            <v>DA96-00829A</v>
          </cell>
          <cell r="G6652" t="str">
            <v>LABEL</v>
          </cell>
          <cell r="H6652" t="str">
            <v>LAB0523</v>
          </cell>
        </row>
        <row r="6653">
          <cell r="F6653" t="str">
            <v>DA96-00833D</v>
          </cell>
          <cell r="G6653" t="str">
            <v>LABEL</v>
          </cell>
          <cell r="H6653" t="str">
            <v>LAB0522</v>
          </cell>
        </row>
        <row r="6654">
          <cell r="F6654" t="str">
            <v>DA96-00833C</v>
          </cell>
          <cell r="G6654" t="str">
            <v>LABEL</v>
          </cell>
          <cell r="H6654" t="str">
            <v>LAB0521</v>
          </cell>
        </row>
        <row r="6655">
          <cell r="F6655" t="str">
            <v>DA96-00833B</v>
          </cell>
          <cell r="G6655" t="str">
            <v>LABEL</v>
          </cell>
          <cell r="H6655" t="str">
            <v>LAB0520</v>
          </cell>
        </row>
        <row r="6656">
          <cell r="F6656" t="str">
            <v>DA96-00833A</v>
          </cell>
          <cell r="G6656" t="str">
            <v>LABEL</v>
          </cell>
          <cell r="H6656" t="str">
            <v>LAB0519</v>
          </cell>
        </row>
        <row r="6657">
          <cell r="F6657" t="str">
            <v>DA96-00793J</v>
          </cell>
          <cell r="G6657" t="str">
            <v>LABEL</v>
          </cell>
          <cell r="H6657" t="str">
            <v>LAB0518</v>
          </cell>
        </row>
        <row r="6658">
          <cell r="F6658" t="str">
            <v>DA96-00793H</v>
          </cell>
          <cell r="G6658" t="str">
            <v>LABEL</v>
          </cell>
          <cell r="H6658" t="str">
            <v>LAB0517</v>
          </cell>
        </row>
        <row r="6659">
          <cell r="F6659" t="str">
            <v>DA96-00824A</v>
          </cell>
          <cell r="G6659" t="str">
            <v>LABEL</v>
          </cell>
          <cell r="H6659" t="str">
            <v>LAB0516</v>
          </cell>
        </row>
        <row r="6660">
          <cell r="F6660" t="str">
            <v>DC93-00153B</v>
          </cell>
          <cell r="G6660" t="str">
            <v>LABEL</v>
          </cell>
          <cell r="H6660" t="str">
            <v>LAB0515</v>
          </cell>
        </row>
        <row r="6661">
          <cell r="F6661" t="str">
            <v>DA96-00625N</v>
          </cell>
          <cell r="G6661" t="str">
            <v>LABEL</v>
          </cell>
          <cell r="H6661" t="str">
            <v>LAB0513</v>
          </cell>
        </row>
        <row r="6662">
          <cell r="F6662" t="str">
            <v>DA96-00625M</v>
          </cell>
          <cell r="G6662" t="str">
            <v>LABEL</v>
          </cell>
          <cell r="H6662" t="str">
            <v>LAB0512</v>
          </cell>
        </row>
        <row r="6663">
          <cell r="F6663" t="str">
            <v>DA96-00625L</v>
          </cell>
          <cell r="G6663" t="str">
            <v>LABEL</v>
          </cell>
          <cell r="H6663" t="str">
            <v>LAB0511</v>
          </cell>
        </row>
        <row r="6664">
          <cell r="F6664" t="str">
            <v>DA96-00625K</v>
          </cell>
          <cell r="G6664" t="str">
            <v>LABEL</v>
          </cell>
          <cell r="H6664" t="str">
            <v>LAB0510</v>
          </cell>
        </row>
        <row r="6665">
          <cell r="F6665" t="str">
            <v>DA96-00625J</v>
          </cell>
          <cell r="G6665" t="str">
            <v>LABEL</v>
          </cell>
          <cell r="H6665" t="str">
            <v>LAB0509</v>
          </cell>
        </row>
        <row r="6666">
          <cell r="F6666" t="str">
            <v>DA96-00625H</v>
          </cell>
          <cell r="G6666" t="str">
            <v>LABEL</v>
          </cell>
          <cell r="H6666" t="str">
            <v>LAB0508</v>
          </cell>
        </row>
        <row r="6667">
          <cell r="F6667" t="str">
            <v>DA96-00625G</v>
          </cell>
          <cell r="G6667" t="str">
            <v>LABEL</v>
          </cell>
          <cell r="H6667" t="str">
            <v>LAB0507</v>
          </cell>
        </row>
        <row r="6668">
          <cell r="F6668" t="str">
            <v>DC93-00150C</v>
          </cell>
          <cell r="G6668" t="str">
            <v>LABEL</v>
          </cell>
          <cell r="H6668" t="str">
            <v>LAB0506</v>
          </cell>
        </row>
        <row r="6669">
          <cell r="F6669" t="str">
            <v>DC93-00251B</v>
          </cell>
          <cell r="G6669" t="str">
            <v>LABEL</v>
          </cell>
          <cell r="H6669" t="str">
            <v>LAB0505</v>
          </cell>
        </row>
        <row r="6670">
          <cell r="F6670" t="str">
            <v>DC93-00067D</v>
          </cell>
          <cell r="G6670" t="str">
            <v>LABEL</v>
          </cell>
          <cell r="H6670" t="str">
            <v>LAB0504</v>
          </cell>
        </row>
        <row r="6671">
          <cell r="F6671" t="str">
            <v>개발납품명세표</v>
          </cell>
          <cell r="G6671" t="str">
            <v>LABEL</v>
          </cell>
          <cell r="H6671" t="str">
            <v>LAB0503</v>
          </cell>
        </row>
        <row r="6672">
          <cell r="F6672" t="str">
            <v>DA96-00780D</v>
          </cell>
          <cell r="G6672" t="str">
            <v>LABEL</v>
          </cell>
          <cell r="H6672" t="str">
            <v>LAB0502</v>
          </cell>
        </row>
        <row r="6673">
          <cell r="F6673" t="str">
            <v>DA96-00639D</v>
          </cell>
          <cell r="G6673" t="str">
            <v>LABEL</v>
          </cell>
          <cell r="H6673" t="str">
            <v>LAB0501</v>
          </cell>
        </row>
        <row r="6674">
          <cell r="F6674" t="str">
            <v>DA96-00639C</v>
          </cell>
          <cell r="G6674" t="str">
            <v>LABEL</v>
          </cell>
          <cell r="H6674" t="str">
            <v>LAB0500</v>
          </cell>
        </row>
        <row r="6675">
          <cell r="F6675" t="str">
            <v>DA96-00780C</v>
          </cell>
          <cell r="G6675" t="str">
            <v>LABEL</v>
          </cell>
          <cell r="H6675" t="str">
            <v>LAB0499</v>
          </cell>
        </row>
        <row r="6676">
          <cell r="F6676" t="str">
            <v>DA96-00780B</v>
          </cell>
          <cell r="G6676" t="str">
            <v>LABEL</v>
          </cell>
          <cell r="H6676" t="str">
            <v>LAB0498</v>
          </cell>
        </row>
        <row r="6677">
          <cell r="F6677" t="str">
            <v>DA96-00780A</v>
          </cell>
          <cell r="G6677" t="str">
            <v>LABEL</v>
          </cell>
          <cell r="H6677" t="str">
            <v>LAB0497</v>
          </cell>
        </row>
        <row r="6678">
          <cell r="F6678" t="str">
            <v>DC93-00176B</v>
          </cell>
          <cell r="G6678" t="str">
            <v>LABEL</v>
          </cell>
          <cell r="H6678" t="str">
            <v>LAB0496</v>
          </cell>
        </row>
        <row r="6679">
          <cell r="F6679" t="str">
            <v>DC93-00178B</v>
          </cell>
          <cell r="G6679" t="str">
            <v>LABEL</v>
          </cell>
          <cell r="H6679" t="str">
            <v>LAB0495</v>
          </cell>
        </row>
        <row r="6680">
          <cell r="F6680" t="str">
            <v>DC93-00052C</v>
          </cell>
          <cell r="G6680" t="str">
            <v>LABEL</v>
          </cell>
          <cell r="H6680" t="str">
            <v>LAB0494</v>
          </cell>
        </row>
        <row r="6681">
          <cell r="F6681" t="str">
            <v>중량LABEL</v>
          </cell>
          <cell r="G6681" t="str">
            <v>LABEL</v>
          </cell>
          <cell r="H6681" t="str">
            <v>LAB0493</v>
          </cell>
        </row>
        <row r="6682">
          <cell r="F6682" t="str">
            <v>DA96-00793G</v>
          </cell>
          <cell r="G6682" t="str">
            <v>LABEL</v>
          </cell>
          <cell r="H6682" t="str">
            <v>LAB0492</v>
          </cell>
        </row>
        <row r="6683">
          <cell r="F6683" t="str">
            <v>DA96-00793F</v>
          </cell>
          <cell r="G6683" t="str">
            <v>LABEL</v>
          </cell>
          <cell r="H6683" t="str">
            <v>LAB0491</v>
          </cell>
        </row>
        <row r="6684">
          <cell r="F6684" t="str">
            <v>DA96-00796C</v>
          </cell>
          <cell r="G6684" t="str">
            <v>LABEL</v>
          </cell>
          <cell r="H6684" t="str">
            <v>LAB0489</v>
          </cell>
        </row>
        <row r="6685">
          <cell r="F6685" t="str">
            <v>DA96-00796B</v>
          </cell>
          <cell r="G6685" t="str">
            <v>LABEL</v>
          </cell>
          <cell r="H6685" t="str">
            <v>LAB0488</v>
          </cell>
        </row>
        <row r="6686">
          <cell r="F6686" t="str">
            <v>DA96-00796A</v>
          </cell>
          <cell r="G6686" t="str">
            <v>LABEL</v>
          </cell>
          <cell r="H6686" t="str">
            <v>LAB0487</v>
          </cell>
        </row>
        <row r="6687">
          <cell r="F6687" t="str">
            <v>DA96-00579Q</v>
          </cell>
          <cell r="G6687" t="str">
            <v>LABEL</v>
          </cell>
          <cell r="H6687" t="str">
            <v>LAB0485</v>
          </cell>
        </row>
        <row r="6688">
          <cell r="F6688" t="str">
            <v>DA96-00579P</v>
          </cell>
          <cell r="G6688" t="str">
            <v>LABEL</v>
          </cell>
          <cell r="H6688" t="str">
            <v>LAB0484</v>
          </cell>
        </row>
        <row r="6689">
          <cell r="F6689" t="str">
            <v>DA96-00579N</v>
          </cell>
          <cell r="G6689" t="str">
            <v>LABEL</v>
          </cell>
          <cell r="H6689" t="str">
            <v>LAB0483</v>
          </cell>
        </row>
        <row r="6690">
          <cell r="F6690" t="str">
            <v>DA96-00566J</v>
          </cell>
          <cell r="G6690" t="str">
            <v>LABEL</v>
          </cell>
          <cell r="H6690" t="str">
            <v>LAB0482</v>
          </cell>
        </row>
        <row r="6691">
          <cell r="F6691" t="str">
            <v>DA96-00566H</v>
          </cell>
          <cell r="G6691" t="str">
            <v>LABEL</v>
          </cell>
          <cell r="H6691" t="str">
            <v>LAB0481</v>
          </cell>
        </row>
        <row r="6692">
          <cell r="F6692" t="str">
            <v>DA96-00793E</v>
          </cell>
          <cell r="G6692" t="str">
            <v>LABEL</v>
          </cell>
          <cell r="H6692" t="str">
            <v>LAB0480</v>
          </cell>
        </row>
        <row r="6693">
          <cell r="F6693" t="str">
            <v>DA96-00793D</v>
          </cell>
          <cell r="G6693" t="str">
            <v>LABEL</v>
          </cell>
          <cell r="H6693" t="str">
            <v>LAB0479</v>
          </cell>
        </row>
        <row r="6694">
          <cell r="F6694" t="str">
            <v>DA96-00793C</v>
          </cell>
          <cell r="G6694" t="str">
            <v>LABEL</v>
          </cell>
          <cell r="H6694" t="str">
            <v>LAB0478</v>
          </cell>
        </row>
        <row r="6695">
          <cell r="F6695" t="str">
            <v>DA96-00793B</v>
          </cell>
          <cell r="G6695" t="str">
            <v>LABEL</v>
          </cell>
          <cell r="H6695" t="str">
            <v>LAB0477</v>
          </cell>
        </row>
        <row r="6696">
          <cell r="F6696" t="str">
            <v>DA96-00793A</v>
          </cell>
          <cell r="G6696" t="str">
            <v>LABEL</v>
          </cell>
          <cell r="H6696" t="str">
            <v>LAB0476</v>
          </cell>
        </row>
        <row r="6697">
          <cell r="F6697" t="str">
            <v>DA96-00566F</v>
          </cell>
          <cell r="G6697" t="str">
            <v>LABEL</v>
          </cell>
          <cell r="H6697" t="str">
            <v>LAB0475</v>
          </cell>
        </row>
        <row r="6698">
          <cell r="F6698" t="str">
            <v>DA96-00566G</v>
          </cell>
          <cell r="G6698" t="str">
            <v>LABEL</v>
          </cell>
          <cell r="H6698" t="str">
            <v>LAB0474</v>
          </cell>
        </row>
        <row r="6699">
          <cell r="F6699" t="str">
            <v>DA96-00579M</v>
          </cell>
          <cell r="G6699" t="str">
            <v>LABEL</v>
          </cell>
          <cell r="H6699" t="str">
            <v>LAB0473</v>
          </cell>
        </row>
        <row r="6700">
          <cell r="F6700" t="str">
            <v>DA96-00579L</v>
          </cell>
          <cell r="G6700" t="str">
            <v>LABEL</v>
          </cell>
          <cell r="H6700" t="str">
            <v>LAB0472</v>
          </cell>
        </row>
        <row r="6701">
          <cell r="F6701" t="str">
            <v>DA96-00579K</v>
          </cell>
          <cell r="G6701" t="str">
            <v>LABEL</v>
          </cell>
          <cell r="H6701" t="str">
            <v>LAB0471</v>
          </cell>
        </row>
        <row r="6702">
          <cell r="F6702" t="str">
            <v>DA96-00579J</v>
          </cell>
          <cell r="G6702" t="str">
            <v>LABEL</v>
          </cell>
          <cell r="H6702" t="str">
            <v>LAB0470</v>
          </cell>
        </row>
        <row r="6703">
          <cell r="F6703" t="str">
            <v>DA96-00579H</v>
          </cell>
          <cell r="G6703" t="str">
            <v>LABEL</v>
          </cell>
          <cell r="H6703" t="str">
            <v>LAB0469</v>
          </cell>
        </row>
        <row r="6704">
          <cell r="F6704" t="str">
            <v>DA96-00579G</v>
          </cell>
          <cell r="G6704" t="str">
            <v>LABEL</v>
          </cell>
          <cell r="H6704" t="str">
            <v>LAB0468</v>
          </cell>
        </row>
        <row r="6705">
          <cell r="F6705" t="str">
            <v>DA96-00579F</v>
          </cell>
          <cell r="G6705" t="str">
            <v>LABEL</v>
          </cell>
          <cell r="H6705" t="str">
            <v>LAB0466</v>
          </cell>
        </row>
        <row r="6706">
          <cell r="F6706" t="str">
            <v>DA96-00566E</v>
          </cell>
          <cell r="G6706" t="str">
            <v>LABEL</v>
          </cell>
          <cell r="H6706" t="str">
            <v>LAB0464</v>
          </cell>
        </row>
        <row r="6707">
          <cell r="F6707" t="str">
            <v>DA96-00639B</v>
          </cell>
          <cell r="G6707" t="str">
            <v>LABEL</v>
          </cell>
          <cell r="H6707" t="str">
            <v>LAB0463</v>
          </cell>
        </row>
        <row r="6708">
          <cell r="F6708" t="str">
            <v>DC93-00052B</v>
          </cell>
          <cell r="G6708" t="str">
            <v>LABEL</v>
          </cell>
          <cell r="H6708" t="str">
            <v>LAB0461</v>
          </cell>
        </row>
        <row r="6709">
          <cell r="F6709" t="str">
            <v>DC93-00042B</v>
          </cell>
          <cell r="G6709" t="str">
            <v>LABEL</v>
          </cell>
          <cell r="H6709" t="str">
            <v>LAB0460</v>
          </cell>
        </row>
        <row r="6710">
          <cell r="F6710" t="str">
            <v>DA96-00433R</v>
          </cell>
          <cell r="G6710" t="str">
            <v>LABEL</v>
          </cell>
          <cell r="H6710" t="str">
            <v>LAB0459</v>
          </cell>
        </row>
        <row r="6711">
          <cell r="F6711" t="str">
            <v>DA96-00433S</v>
          </cell>
          <cell r="G6711" t="str">
            <v>LABEL</v>
          </cell>
          <cell r="H6711" t="str">
            <v>LAB0458</v>
          </cell>
        </row>
        <row r="6712">
          <cell r="F6712" t="str">
            <v>DA96-00625F</v>
          </cell>
          <cell r="G6712" t="str">
            <v>LABEL</v>
          </cell>
          <cell r="H6712" t="str">
            <v>LAB0457</v>
          </cell>
        </row>
        <row r="6713">
          <cell r="F6713" t="str">
            <v>DA96-00625E</v>
          </cell>
          <cell r="G6713" t="str">
            <v>LABEL</v>
          </cell>
          <cell r="H6713" t="str">
            <v>LAB0456</v>
          </cell>
        </row>
        <row r="6714">
          <cell r="F6714" t="str">
            <v>DA96-00625D</v>
          </cell>
          <cell r="G6714" t="str">
            <v>LABEL</v>
          </cell>
          <cell r="H6714" t="str">
            <v>LAB0455</v>
          </cell>
        </row>
        <row r="6715">
          <cell r="F6715" t="str">
            <v>DA96-00625C</v>
          </cell>
          <cell r="G6715" t="str">
            <v>LABEL</v>
          </cell>
          <cell r="H6715" t="str">
            <v>LAB0454</v>
          </cell>
        </row>
        <row r="6716">
          <cell r="F6716" t="str">
            <v>DA96-00625B</v>
          </cell>
          <cell r="G6716" t="str">
            <v>LABEL</v>
          </cell>
          <cell r="H6716" t="str">
            <v>LAB0453</v>
          </cell>
        </row>
        <row r="6717">
          <cell r="F6717" t="str">
            <v>DA96-00625A</v>
          </cell>
          <cell r="G6717" t="str">
            <v>LABEL</v>
          </cell>
          <cell r="H6717" t="str">
            <v>LAB0452</v>
          </cell>
        </row>
        <row r="6718">
          <cell r="F6718" t="str">
            <v>DA96-00444Z</v>
          </cell>
          <cell r="G6718" t="str">
            <v>LABEL</v>
          </cell>
          <cell r="H6718" t="str">
            <v>LAB0451</v>
          </cell>
        </row>
        <row r="6719">
          <cell r="F6719" t="str">
            <v>DA96-00444Y</v>
          </cell>
          <cell r="G6719" t="str">
            <v>LABEL</v>
          </cell>
          <cell r="H6719" t="str">
            <v>LAB0450</v>
          </cell>
        </row>
        <row r="6720">
          <cell r="F6720" t="str">
            <v>DA96-00444X</v>
          </cell>
          <cell r="G6720" t="str">
            <v>LABEL</v>
          </cell>
          <cell r="H6720" t="str">
            <v>LAB0449</v>
          </cell>
        </row>
        <row r="6721">
          <cell r="F6721" t="str">
            <v>DA96-00444W</v>
          </cell>
          <cell r="G6721" t="str">
            <v>LABEL</v>
          </cell>
          <cell r="H6721" t="str">
            <v>LAB0448</v>
          </cell>
        </row>
        <row r="6722">
          <cell r="F6722" t="str">
            <v>DA96-00517S</v>
          </cell>
          <cell r="G6722" t="str">
            <v>LABEL</v>
          </cell>
          <cell r="H6722" t="str">
            <v>LAB0447</v>
          </cell>
        </row>
        <row r="6723">
          <cell r="F6723" t="str">
            <v>DA96-00517R</v>
          </cell>
          <cell r="G6723" t="str">
            <v>LABEL</v>
          </cell>
          <cell r="H6723" t="str">
            <v>LAB0446</v>
          </cell>
        </row>
        <row r="6724">
          <cell r="F6724" t="str">
            <v>DA96-00532D</v>
          </cell>
          <cell r="G6724" t="str">
            <v>LABEL</v>
          </cell>
          <cell r="H6724" t="str">
            <v>LAB0445</v>
          </cell>
        </row>
        <row r="6725">
          <cell r="F6725" t="str">
            <v>DA96-00532C</v>
          </cell>
          <cell r="G6725" t="str">
            <v>LABEL</v>
          </cell>
          <cell r="H6725" t="str">
            <v>LAB0444</v>
          </cell>
        </row>
        <row r="6726">
          <cell r="F6726" t="str">
            <v>DA96-00531D</v>
          </cell>
          <cell r="G6726" t="str">
            <v>LABEL</v>
          </cell>
          <cell r="H6726" t="str">
            <v>LAB0443</v>
          </cell>
        </row>
        <row r="6727">
          <cell r="F6727" t="str">
            <v>DA96-00531C</v>
          </cell>
          <cell r="G6727" t="str">
            <v>LABEL</v>
          </cell>
          <cell r="H6727" t="str">
            <v>LAB0442</v>
          </cell>
        </row>
        <row r="6728">
          <cell r="F6728" t="str">
            <v>DA96-00530D</v>
          </cell>
          <cell r="G6728" t="str">
            <v>LABEL</v>
          </cell>
          <cell r="H6728" t="str">
            <v>LAB0441</v>
          </cell>
        </row>
        <row r="6729">
          <cell r="F6729" t="str">
            <v>DA96-00530C</v>
          </cell>
          <cell r="G6729" t="str">
            <v>LABEL</v>
          </cell>
          <cell r="H6729" t="str">
            <v>LAB0440</v>
          </cell>
        </row>
        <row r="6730">
          <cell r="F6730" t="str">
            <v>DA96-00678E</v>
          </cell>
          <cell r="G6730" t="str">
            <v>LABEL</v>
          </cell>
          <cell r="H6730" t="str">
            <v>LAB0439</v>
          </cell>
        </row>
        <row r="6731">
          <cell r="F6731" t="str">
            <v>250V20A</v>
          </cell>
          <cell r="G6731" t="str">
            <v>LABEL</v>
          </cell>
          <cell r="H6731" t="str">
            <v>LAB0438</v>
          </cell>
        </row>
        <row r="6732">
          <cell r="F6732" t="str">
            <v>DA96-00761D</v>
          </cell>
          <cell r="G6732" t="str">
            <v>LABEL</v>
          </cell>
          <cell r="H6732" t="str">
            <v>LAB0437</v>
          </cell>
        </row>
        <row r="6733">
          <cell r="F6733" t="str">
            <v>DA96-00761C</v>
          </cell>
          <cell r="G6733" t="str">
            <v>LABEL</v>
          </cell>
          <cell r="H6733" t="str">
            <v>LAB0436</v>
          </cell>
        </row>
        <row r="6734">
          <cell r="F6734" t="str">
            <v>DA96-00761B</v>
          </cell>
          <cell r="G6734" t="str">
            <v>LABEL</v>
          </cell>
          <cell r="H6734" t="str">
            <v>LAB0435</v>
          </cell>
        </row>
        <row r="6735">
          <cell r="F6735" t="str">
            <v>DA96-00761A</v>
          </cell>
          <cell r="G6735" t="str">
            <v>LABEL</v>
          </cell>
          <cell r="H6735" t="str">
            <v>LAB0434</v>
          </cell>
        </row>
        <row r="6736">
          <cell r="F6736" t="str">
            <v>DC93-00178A</v>
          </cell>
          <cell r="G6736" t="str">
            <v>LABEL</v>
          </cell>
          <cell r="H6736" t="str">
            <v>LAB0433</v>
          </cell>
        </row>
        <row r="6737">
          <cell r="F6737" t="str">
            <v>DC93-00176A</v>
          </cell>
          <cell r="G6737" t="str">
            <v>LABEL</v>
          </cell>
          <cell r="H6737" t="str">
            <v>LAB0432</v>
          </cell>
        </row>
        <row r="6738">
          <cell r="F6738" t="str">
            <v>DA96-00444V</v>
          </cell>
          <cell r="G6738" t="str">
            <v>LABEL</v>
          </cell>
          <cell r="H6738" t="str">
            <v>LAB0431</v>
          </cell>
        </row>
        <row r="6739">
          <cell r="F6739" t="str">
            <v>DA96-00639A</v>
          </cell>
          <cell r="G6739" t="str">
            <v>LABEL</v>
          </cell>
          <cell r="H6739" t="str">
            <v>LAB0430</v>
          </cell>
        </row>
        <row r="6740">
          <cell r="F6740" t="str">
            <v>DA96-00678D</v>
          </cell>
          <cell r="G6740" t="str">
            <v>LABEL</v>
          </cell>
          <cell r="H6740" t="str">
            <v>LAB0427</v>
          </cell>
        </row>
        <row r="6741">
          <cell r="F6741" t="str">
            <v>DA96-00678C</v>
          </cell>
          <cell r="G6741" t="str">
            <v>LABEL</v>
          </cell>
          <cell r="H6741" t="str">
            <v>LAB0426</v>
          </cell>
        </row>
        <row r="6742">
          <cell r="F6742" t="str">
            <v>DA96-00678B</v>
          </cell>
          <cell r="G6742" t="str">
            <v>LABEL</v>
          </cell>
          <cell r="H6742" t="str">
            <v>LAB0425</v>
          </cell>
        </row>
        <row r="6743">
          <cell r="F6743" t="str">
            <v>DA96-00678A</v>
          </cell>
          <cell r="G6743" t="str">
            <v>LABEL</v>
          </cell>
          <cell r="H6743" t="str">
            <v>LAB0424</v>
          </cell>
        </row>
        <row r="6744">
          <cell r="F6744" t="str">
            <v>DA96-00620B</v>
          </cell>
          <cell r="G6744" t="str">
            <v>LABEL</v>
          </cell>
          <cell r="H6744" t="str">
            <v>LAB0423</v>
          </cell>
        </row>
        <row r="6745">
          <cell r="F6745" t="str">
            <v>DA96-00433Q</v>
          </cell>
          <cell r="G6745" t="str">
            <v>LABEL</v>
          </cell>
          <cell r="H6745" t="str">
            <v>LAB0418</v>
          </cell>
        </row>
        <row r="6746">
          <cell r="F6746" t="str">
            <v>DA96-00433P</v>
          </cell>
          <cell r="G6746" t="str">
            <v>LABEL</v>
          </cell>
          <cell r="H6746" t="str">
            <v>LAB0417</v>
          </cell>
        </row>
        <row r="6747">
          <cell r="F6747" t="str">
            <v>DA96-00579D</v>
          </cell>
          <cell r="G6747" t="str">
            <v>LABEL</v>
          </cell>
          <cell r="H6747" t="str">
            <v>LAB0415</v>
          </cell>
        </row>
        <row r="6748">
          <cell r="F6748" t="str">
            <v>DA96-00517Q</v>
          </cell>
          <cell r="G6748" t="str">
            <v>LABEL</v>
          </cell>
          <cell r="H6748" t="str">
            <v>LAB0413</v>
          </cell>
        </row>
        <row r="6749">
          <cell r="F6749" t="str">
            <v>250V 12A 아드지</v>
          </cell>
          <cell r="G6749" t="str">
            <v>LABEL</v>
          </cell>
          <cell r="H6749" t="str">
            <v>LAB0412</v>
          </cell>
        </row>
        <row r="6750">
          <cell r="F6750" t="str">
            <v>DC96-01500A</v>
          </cell>
          <cell r="G6750" t="str">
            <v>LABEL</v>
          </cell>
          <cell r="H6750" t="str">
            <v>LAB0410</v>
          </cell>
        </row>
        <row r="6751">
          <cell r="F6751" t="str">
            <v>DA96-00636G</v>
          </cell>
          <cell r="G6751" t="str">
            <v>LABEL</v>
          </cell>
          <cell r="H6751" t="str">
            <v>LAB0407</v>
          </cell>
        </row>
        <row r="6752">
          <cell r="F6752" t="str">
            <v>DA96-00633D</v>
          </cell>
          <cell r="G6752" t="str">
            <v>LABEL</v>
          </cell>
          <cell r="H6752" t="str">
            <v>LAB0406</v>
          </cell>
        </row>
        <row r="6753">
          <cell r="F6753" t="str">
            <v>DA96-00633C</v>
          </cell>
          <cell r="G6753" t="str">
            <v>LABEL</v>
          </cell>
          <cell r="H6753" t="str">
            <v>LAB0405</v>
          </cell>
        </row>
        <row r="6754">
          <cell r="F6754" t="str">
            <v>DA96-00633B</v>
          </cell>
          <cell r="G6754" t="str">
            <v>LABEL</v>
          </cell>
          <cell r="H6754" t="str">
            <v>LAB0404</v>
          </cell>
        </row>
        <row r="6755">
          <cell r="F6755" t="str">
            <v>DA96-00633A</v>
          </cell>
          <cell r="G6755" t="str">
            <v>LABEL</v>
          </cell>
          <cell r="H6755" t="str">
            <v>LAB0403</v>
          </cell>
        </row>
        <row r="6756">
          <cell r="F6756" t="str">
            <v>DA96-00579E</v>
          </cell>
          <cell r="G6756" t="str">
            <v>LABEL</v>
          </cell>
          <cell r="H6756" t="str">
            <v>LAB0399</v>
          </cell>
        </row>
        <row r="6757">
          <cell r="F6757" t="str">
            <v>DA96-00636F</v>
          </cell>
          <cell r="G6757" t="str">
            <v>LABEL</v>
          </cell>
          <cell r="H6757" t="str">
            <v>LAB0398</v>
          </cell>
        </row>
        <row r="6758">
          <cell r="F6758" t="str">
            <v>DA96-00636E</v>
          </cell>
          <cell r="G6758" t="str">
            <v>LABEL</v>
          </cell>
          <cell r="H6758" t="str">
            <v>LAB0397</v>
          </cell>
        </row>
        <row r="6759">
          <cell r="F6759" t="str">
            <v>DA96-00636D</v>
          </cell>
          <cell r="G6759" t="str">
            <v>LABEL</v>
          </cell>
          <cell r="H6759" t="str">
            <v>LAB0396</v>
          </cell>
        </row>
        <row r="6760">
          <cell r="F6760" t="str">
            <v>DA96-00636C</v>
          </cell>
          <cell r="G6760" t="str">
            <v>LABEL</v>
          </cell>
          <cell r="H6760" t="str">
            <v>LAB0395</v>
          </cell>
        </row>
        <row r="6761">
          <cell r="F6761" t="str">
            <v>DA96-00636B</v>
          </cell>
          <cell r="G6761" t="str">
            <v>LABEL</v>
          </cell>
          <cell r="H6761" t="str">
            <v>LAB0394</v>
          </cell>
        </row>
        <row r="6762">
          <cell r="F6762" t="str">
            <v>DA96-00636A</v>
          </cell>
          <cell r="G6762" t="str">
            <v>LABEL</v>
          </cell>
          <cell r="H6762" t="str">
            <v>LAB0393</v>
          </cell>
        </row>
        <row r="6763">
          <cell r="F6763" t="str">
            <v>DA96-00271Z</v>
          </cell>
          <cell r="G6763" t="str">
            <v>LABEL</v>
          </cell>
          <cell r="H6763" t="str">
            <v>LAB0390</v>
          </cell>
        </row>
        <row r="6764">
          <cell r="F6764" t="str">
            <v>DA96-00271Y</v>
          </cell>
          <cell r="G6764" t="str">
            <v>LABEL</v>
          </cell>
          <cell r="H6764" t="str">
            <v>LAB0389</v>
          </cell>
        </row>
        <row r="6765">
          <cell r="F6765" t="str">
            <v>DA96-00271X</v>
          </cell>
          <cell r="G6765" t="str">
            <v>LABEL</v>
          </cell>
          <cell r="H6765" t="str">
            <v>LAB0388</v>
          </cell>
        </row>
        <row r="6766">
          <cell r="F6766" t="str">
            <v>DA96-00271W</v>
          </cell>
          <cell r="G6766" t="str">
            <v>LABEL</v>
          </cell>
          <cell r="H6766" t="str">
            <v>LAB0387</v>
          </cell>
        </row>
        <row r="6767">
          <cell r="F6767" t="str">
            <v>DA96-00271V</v>
          </cell>
          <cell r="G6767" t="str">
            <v>LABEL</v>
          </cell>
          <cell r="H6767" t="str">
            <v>LAB0386</v>
          </cell>
        </row>
        <row r="6768">
          <cell r="F6768" t="str">
            <v>DA96-00620A</v>
          </cell>
          <cell r="G6768" t="str">
            <v>LABEL</v>
          </cell>
          <cell r="H6768" t="str">
            <v>LAB0384</v>
          </cell>
        </row>
        <row r="6769">
          <cell r="F6769" t="str">
            <v>DC96-00764F</v>
          </cell>
          <cell r="G6769" t="str">
            <v>LABEL</v>
          </cell>
          <cell r="H6769" t="str">
            <v>LAB0382</v>
          </cell>
        </row>
        <row r="6770">
          <cell r="F6770" t="str">
            <v>DA96-00529A</v>
          </cell>
          <cell r="G6770" t="str">
            <v>LABEL</v>
          </cell>
          <cell r="H6770" t="str">
            <v>LAB0378</v>
          </cell>
        </row>
        <row r="6771">
          <cell r="F6771" t="str">
            <v>DA96-00271S</v>
          </cell>
          <cell r="G6771" t="str">
            <v>LABEL</v>
          </cell>
          <cell r="H6771" t="str">
            <v>LAB0377</v>
          </cell>
        </row>
        <row r="6772">
          <cell r="F6772" t="str">
            <v>DA96-00566D</v>
          </cell>
          <cell r="G6772" t="str">
            <v>LABEL</v>
          </cell>
          <cell r="H6772" t="str">
            <v>LAB0375</v>
          </cell>
        </row>
        <row r="6773">
          <cell r="F6773" t="str">
            <v>DA96-00566C</v>
          </cell>
          <cell r="G6773" t="str">
            <v>LABEL</v>
          </cell>
          <cell r="H6773" t="str">
            <v>LAB0374</v>
          </cell>
        </row>
        <row r="6774">
          <cell r="F6774" t="str">
            <v>DA96-00172K</v>
          </cell>
          <cell r="G6774" t="str">
            <v>LABEL</v>
          </cell>
          <cell r="H6774" t="str">
            <v>LAB0373</v>
          </cell>
        </row>
        <row r="6775">
          <cell r="F6775" t="str">
            <v>DA96-00172J</v>
          </cell>
          <cell r="G6775" t="str">
            <v>LABEL</v>
          </cell>
          <cell r="H6775" t="str">
            <v>LAB0372</v>
          </cell>
        </row>
        <row r="6776">
          <cell r="F6776" t="str">
            <v>DA96-00433N</v>
          </cell>
          <cell r="G6776" t="str">
            <v>LABEL</v>
          </cell>
          <cell r="H6776" t="str">
            <v>LAB0369</v>
          </cell>
        </row>
        <row r="6777">
          <cell r="F6777" t="str">
            <v>DA96-00433M</v>
          </cell>
          <cell r="G6777" t="str">
            <v>LABEL</v>
          </cell>
          <cell r="H6777" t="str">
            <v>LAB0368</v>
          </cell>
        </row>
        <row r="6778">
          <cell r="F6778" t="str">
            <v>DA96-00433L</v>
          </cell>
          <cell r="G6778" t="str">
            <v>LABEL</v>
          </cell>
          <cell r="H6778" t="str">
            <v>LAB0367</v>
          </cell>
        </row>
        <row r="6779">
          <cell r="F6779" t="str">
            <v>DA96-00433K</v>
          </cell>
          <cell r="G6779" t="str">
            <v>LABEL</v>
          </cell>
          <cell r="H6779" t="str">
            <v>LAB0366</v>
          </cell>
        </row>
        <row r="6780">
          <cell r="F6780" t="str">
            <v>DA96-00433J</v>
          </cell>
          <cell r="G6780" t="str">
            <v>LABEL</v>
          </cell>
          <cell r="H6780" t="str">
            <v>LAB0365</v>
          </cell>
        </row>
        <row r="6781">
          <cell r="F6781" t="str">
            <v>DA96-00502G</v>
          </cell>
          <cell r="G6781" t="str">
            <v>LABEL</v>
          </cell>
          <cell r="H6781" t="str">
            <v>LAB0364</v>
          </cell>
        </row>
        <row r="6782">
          <cell r="F6782" t="str">
            <v>DA96-00492H</v>
          </cell>
          <cell r="G6782" t="str">
            <v>LABEL</v>
          </cell>
          <cell r="H6782" t="str">
            <v>LAB0363</v>
          </cell>
        </row>
        <row r="6783">
          <cell r="F6783" t="str">
            <v>DA96-00492G</v>
          </cell>
          <cell r="G6783" t="str">
            <v>LABEL</v>
          </cell>
          <cell r="H6783" t="str">
            <v>LAB0362</v>
          </cell>
        </row>
        <row r="6784">
          <cell r="F6784" t="str">
            <v>DA96-00492F</v>
          </cell>
          <cell r="G6784" t="str">
            <v>LABEL</v>
          </cell>
          <cell r="H6784" t="str">
            <v>LAB0361</v>
          </cell>
        </row>
        <row r="6785">
          <cell r="F6785" t="str">
            <v>DA96-00492E</v>
          </cell>
          <cell r="G6785" t="str">
            <v>LABEL</v>
          </cell>
          <cell r="H6785" t="str">
            <v>LAB0360</v>
          </cell>
        </row>
        <row r="6786">
          <cell r="F6786" t="str">
            <v>DA96-00434C</v>
          </cell>
          <cell r="G6786" t="str">
            <v>LABEL</v>
          </cell>
          <cell r="H6786" t="str">
            <v>LAB0359</v>
          </cell>
        </row>
        <row r="6787">
          <cell r="F6787" t="str">
            <v>DA96-00502K</v>
          </cell>
          <cell r="G6787" t="str">
            <v>LABEL</v>
          </cell>
          <cell r="H6787" t="str">
            <v>LAB0358</v>
          </cell>
        </row>
        <row r="6788">
          <cell r="F6788" t="str">
            <v>DA96-00271R</v>
          </cell>
          <cell r="G6788" t="str">
            <v>LABEL</v>
          </cell>
          <cell r="H6788" t="str">
            <v>LAB0352</v>
          </cell>
        </row>
        <row r="6789">
          <cell r="F6789" t="str">
            <v>DA96-00444G</v>
          </cell>
          <cell r="G6789" t="str">
            <v>LABEL</v>
          </cell>
          <cell r="H6789" t="str">
            <v>LAB0345</v>
          </cell>
        </row>
        <row r="6790">
          <cell r="F6790" t="str">
            <v>DA96-00444U</v>
          </cell>
          <cell r="G6790" t="str">
            <v>LABEL</v>
          </cell>
          <cell r="H6790" t="str">
            <v>LAB0344</v>
          </cell>
        </row>
        <row r="6791">
          <cell r="F6791" t="str">
            <v>DA96-00444T</v>
          </cell>
          <cell r="G6791" t="str">
            <v>LABEL</v>
          </cell>
          <cell r="H6791" t="str">
            <v>LAB0343</v>
          </cell>
        </row>
        <row r="6792">
          <cell r="F6792" t="str">
            <v>DA96-00444S</v>
          </cell>
          <cell r="G6792" t="str">
            <v>LABEL</v>
          </cell>
          <cell r="H6792" t="str">
            <v>LAB0342</v>
          </cell>
        </row>
        <row r="6793">
          <cell r="F6793" t="str">
            <v>DA96-00444R</v>
          </cell>
          <cell r="G6793" t="str">
            <v>LABEL</v>
          </cell>
          <cell r="H6793" t="str">
            <v>LAB0341</v>
          </cell>
        </row>
        <row r="6794">
          <cell r="F6794" t="str">
            <v>DA96-00579C</v>
          </cell>
          <cell r="G6794" t="str">
            <v>LABEL</v>
          </cell>
          <cell r="H6794" t="str">
            <v>LAB0332</v>
          </cell>
        </row>
        <row r="6795">
          <cell r="F6795" t="str">
            <v>DA96-00579B</v>
          </cell>
          <cell r="G6795" t="str">
            <v>LABEL</v>
          </cell>
          <cell r="H6795" t="str">
            <v>LAB0331</v>
          </cell>
        </row>
        <row r="6796">
          <cell r="F6796" t="str">
            <v>DA96-00579A</v>
          </cell>
          <cell r="G6796" t="str">
            <v>LABEL</v>
          </cell>
          <cell r="H6796" t="str">
            <v>LAB0330</v>
          </cell>
        </row>
        <row r="6797">
          <cell r="F6797" t="str">
            <v>변경초물</v>
          </cell>
          <cell r="G6797" t="str">
            <v>LABEL</v>
          </cell>
          <cell r="H6797" t="str">
            <v>LAB0213</v>
          </cell>
        </row>
        <row r="6798">
          <cell r="F6798" t="str">
            <v>LABEL 250V 5A</v>
          </cell>
          <cell r="G6798" t="str">
            <v>LABEL</v>
          </cell>
          <cell r="H6798" t="str">
            <v>LAB02113</v>
          </cell>
        </row>
        <row r="6799">
          <cell r="F6799" t="str">
            <v>DA96-00517N</v>
          </cell>
          <cell r="G6799" t="str">
            <v>LABEL</v>
          </cell>
          <cell r="H6799" t="str">
            <v>LAB0206</v>
          </cell>
        </row>
        <row r="6800">
          <cell r="F6800" t="str">
            <v>DA96-00517M</v>
          </cell>
          <cell r="G6800" t="str">
            <v>LABEL</v>
          </cell>
          <cell r="H6800" t="str">
            <v>LAB0205</v>
          </cell>
        </row>
        <row r="6801">
          <cell r="F6801" t="str">
            <v>DC96-00572D</v>
          </cell>
          <cell r="G6801" t="str">
            <v>LABEL</v>
          </cell>
          <cell r="H6801" t="str">
            <v>LAB0201</v>
          </cell>
        </row>
        <row r="6802">
          <cell r="F6802" t="str">
            <v>DC96-01043L</v>
          </cell>
          <cell r="G6802" t="str">
            <v>LABEL</v>
          </cell>
          <cell r="H6802" t="str">
            <v>LAB0199</v>
          </cell>
        </row>
        <row r="6803">
          <cell r="F6803" t="str">
            <v>DA96-00566B</v>
          </cell>
          <cell r="G6803" t="str">
            <v>LABEL</v>
          </cell>
          <cell r="H6803" t="str">
            <v>LAB0198</v>
          </cell>
        </row>
        <row r="6804">
          <cell r="F6804" t="str">
            <v>DA96-00566A</v>
          </cell>
          <cell r="G6804" t="str">
            <v>LABEL</v>
          </cell>
          <cell r="H6804" t="str">
            <v>LAB0197</v>
          </cell>
        </row>
        <row r="6805">
          <cell r="F6805" t="str">
            <v>DA96-00445Y</v>
          </cell>
          <cell r="G6805" t="str">
            <v>LABEL</v>
          </cell>
          <cell r="H6805" t="str">
            <v>LAB0196</v>
          </cell>
        </row>
        <row r="6806">
          <cell r="F6806" t="str">
            <v>DA96-00445Z</v>
          </cell>
          <cell r="G6806" t="str">
            <v>LABEL</v>
          </cell>
          <cell r="H6806" t="str">
            <v>LAB0195</v>
          </cell>
        </row>
        <row r="6807">
          <cell r="F6807" t="str">
            <v>DA96-00444K</v>
          </cell>
          <cell r="G6807" t="str">
            <v>LABEL</v>
          </cell>
          <cell r="H6807" t="str">
            <v>LAB0189</v>
          </cell>
        </row>
        <row r="6808">
          <cell r="F6808" t="str">
            <v>DA96-00444J</v>
          </cell>
          <cell r="G6808" t="str">
            <v>LABEL</v>
          </cell>
          <cell r="H6808" t="str">
            <v>LAB0188</v>
          </cell>
        </row>
        <row r="6809">
          <cell r="F6809" t="str">
            <v>DC96-00758D</v>
          </cell>
          <cell r="G6809" t="str">
            <v>LABEL</v>
          </cell>
          <cell r="H6809" t="str">
            <v>LAB0187</v>
          </cell>
        </row>
        <row r="6810">
          <cell r="F6810" t="str">
            <v>DA96-00517F</v>
          </cell>
          <cell r="G6810" t="str">
            <v>LABEL</v>
          </cell>
          <cell r="H6810" t="str">
            <v>LAB0186</v>
          </cell>
        </row>
        <row r="6811">
          <cell r="F6811" t="str">
            <v>DA96-00517E</v>
          </cell>
          <cell r="G6811" t="str">
            <v>LABEL</v>
          </cell>
          <cell r="H6811" t="str">
            <v>LAB0185</v>
          </cell>
        </row>
        <row r="6812">
          <cell r="F6812" t="str">
            <v>DC96-00764C</v>
          </cell>
          <cell r="G6812" t="str">
            <v>LABEL</v>
          </cell>
          <cell r="H6812" t="str">
            <v>LAB0180</v>
          </cell>
        </row>
        <row r="6813">
          <cell r="F6813" t="str">
            <v>DA96-00492A</v>
          </cell>
          <cell r="G6813" t="str">
            <v>LABEL</v>
          </cell>
          <cell r="H6813" t="str">
            <v>LAB0178</v>
          </cell>
        </row>
        <row r="6814">
          <cell r="F6814" t="str">
            <v>DA96-00445S</v>
          </cell>
          <cell r="G6814" t="str">
            <v>LABEL</v>
          </cell>
          <cell r="H6814" t="str">
            <v>LAB0153</v>
          </cell>
        </row>
        <row r="6815">
          <cell r="F6815" t="str">
            <v>DA96-00445R</v>
          </cell>
          <cell r="G6815" t="str">
            <v>LABEL</v>
          </cell>
          <cell r="H6815" t="str">
            <v>LAB0152</v>
          </cell>
        </row>
        <row r="6816">
          <cell r="F6816" t="str">
            <v>DA96-00445Q</v>
          </cell>
          <cell r="G6816" t="str">
            <v>LABEL</v>
          </cell>
          <cell r="H6816" t="str">
            <v>LAB0151</v>
          </cell>
        </row>
        <row r="6817">
          <cell r="F6817" t="str">
            <v>DA96-00445G</v>
          </cell>
          <cell r="G6817" t="str">
            <v>LABEL</v>
          </cell>
          <cell r="H6817" t="str">
            <v>LAB0143</v>
          </cell>
        </row>
        <row r="6818">
          <cell r="F6818" t="str">
            <v>DA96-00445F</v>
          </cell>
          <cell r="G6818" t="str">
            <v>LABEL</v>
          </cell>
          <cell r="H6818" t="str">
            <v>LAB0142</v>
          </cell>
        </row>
        <row r="6819">
          <cell r="F6819" t="str">
            <v>DA39-00288A</v>
          </cell>
          <cell r="G6819" t="str">
            <v>LABEL</v>
          </cell>
          <cell r="H6819" t="str">
            <v>LAB0134</v>
          </cell>
        </row>
        <row r="6820">
          <cell r="F6820" t="str">
            <v>DA39-00293A</v>
          </cell>
          <cell r="G6820" t="str">
            <v>LABEL</v>
          </cell>
          <cell r="H6820" t="str">
            <v>LAB0129</v>
          </cell>
        </row>
        <row r="6821">
          <cell r="F6821" t="str">
            <v>DA66-00286A</v>
          </cell>
          <cell r="G6821" t="str">
            <v>LABEL</v>
          </cell>
          <cell r="H6821" t="str">
            <v>LAB0128</v>
          </cell>
        </row>
        <row r="6822">
          <cell r="F6822" t="str">
            <v>DA39-00297A</v>
          </cell>
          <cell r="G6822" t="str">
            <v>LABEL</v>
          </cell>
          <cell r="H6822" t="str">
            <v>LAB0127</v>
          </cell>
        </row>
        <row r="6823">
          <cell r="F6823" t="str">
            <v>DA96-00271M</v>
          </cell>
          <cell r="G6823" t="str">
            <v>LABEL</v>
          </cell>
          <cell r="H6823" t="str">
            <v>LAB0120</v>
          </cell>
        </row>
        <row r="6824">
          <cell r="F6824" t="str">
            <v>DA96-00271L</v>
          </cell>
          <cell r="G6824" t="str">
            <v>LABEL</v>
          </cell>
          <cell r="H6824" t="str">
            <v>LAB0119</v>
          </cell>
        </row>
        <row r="6825">
          <cell r="F6825" t="str">
            <v>불합격 LABEL</v>
          </cell>
          <cell r="G6825" t="str">
            <v>LABEL</v>
          </cell>
          <cell r="H6825" t="str">
            <v>LAB0118</v>
          </cell>
        </row>
        <row r="6826">
          <cell r="F6826" t="str">
            <v>DA39-00404A</v>
          </cell>
          <cell r="G6826" t="str">
            <v>LABEL</v>
          </cell>
          <cell r="H6826" t="str">
            <v>LAB0115</v>
          </cell>
        </row>
        <row r="6827">
          <cell r="F6827" t="str">
            <v>DA96-00271E</v>
          </cell>
          <cell r="G6827" t="str">
            <v>LABEL</v>
          </cell>
          <cell r="H6827" t="str">
            <v>LAB0087</v>
          </cell>
        </row>
        <row r="6828">
          <cell r="F6828" t="str">
            <v>DA96-00172H</v>
          </cell>
          <cell r="G6828" t="str">
            <v>LABEL</v>
          </cell>
          <cell r="H6828" t="str">
            <v>LAB0080</v>
          </cell>
        </row>
        <row r="6829">
          <cell r="F6829" t="str">
            <v>DA96-00172G</v>
          </cell>
          <cell r="G6829" t="str">
            <v>LABEL</v>
          </cell>
          <cell r="H6829" t="str">
            <v>LAB0079</v>
          </cell>
        </row>
        <row r="6830">
          <cell r="F6830" t="str">
            <v>DA96-00172E</v>
          </cell>
          <cell r="G6830" t="str">
            <v>LABEL</v>
          </cell>
          <cell r="H6830" t="str">
            <v>LAB0078</v>
          </cell>
        </row>
        <row r="6831">
          <cell r="F6831" t="str">
            <v>DA96-00172D</v>
          </cell>
          <cell r="G6831" t="str">
            <v>LABEL</v>
          </cell>
          <cell r="H6831" t="str">
            <v>LAB0077</v>
          </cell>
        </row>
        <row r="6832">
          <cell r="F6832" t="str">
            <v>DA96-00172C</v>
          </cell>
          <cell r="G6832" t="str">
            <v>LABEL</v>
          </cell>
          <cell r="H6832" t="str">
            <v>LAB0076</v>
          </cell>
        </row>
        <row r="6833">
          <cell r="F6833" t="str">
            <v>DA96-00170A</v>
          </cell>
          <cell r="G6833" t="str">
            <v>LABEL</v>
          </cell>
          <cell r="H6833" t="str">
            <v>LAB0059</v>
          </cell>
        </row>
        <row r="6834">
          <cell r="F6834" t="str">
            <v>DA96-00172A</v>
          </cell>
          <cell r="G6834" t="str">
            <v>LABEL</v>
          </cell>
          <cell r="H6834" t="str">
            <v>LAB0058</v>
          </cell>
        </row>
        <row r="6835">
          <cell r="F6835" t="str">
            <v>DA96-00271D</v>
          </cell>
          <cell r="G6835" t="str">
            <v>LABEL</v>
          </cell>
          <cell r="H6835" t="str">
            <v>LAB0057</v>
          </cell>
        </row>
        <row r="6836">
          <cell r="F6836" t="str">
            <v>DA96-00271C</v>
          </cell>
          <cell r="G6836" t="str">
            <v>LABEL</v>
          </cell>
          <cell r="H6836" t="str">
            <v>LAB0056</v>
          </cell>
        </row>
        <row r="6837">
          <cell r="F6837" t="str">
            <v>DA96-00271B</v>
          </cell>
          <cell r="G6837" t="str">
            <v>LABEL</v>
          </cell>
          <cell r="H6837" t="str">
            <v>LAB0055</v>
          </cell>
        </row>
        <row r="6838">
          <cell r="F6838" t="str">
            <v>DA96-00271A</v>
          </cell>
          <cell r="G6838" t="str">
            <v>LABEL</v>
          </cell>
          <cell r="H6838" t="str">
            <v>LAB0054</v>
          </cell>
        </row>
        <row r="6839">
          <cell r="F6839" t="str">
            <v>DA96-00532B</v>
          </cell>
          <cell r="G6839" t="str">
            <v>LABEL</v>
          </cell>
          <cell r="H6839" t="str">
            <v>LAB0049</v>
          </cell>
        </row>
        <row r="6840">
          <cell r="F6840" t="str">
            <v>DA96-00492D</v>
          </cell>
          <cell r="G6840" t="str">
            <v>LABEL</v>
          </cell>
          <cell r="H6840" t="str">
            <v>LAB0048</v>
          </cell>
        </row>
        <row r="6841">
          <cell r="F6841" t="str">
            <v>DA96-00492C</v>
          </cell>
          <cell r="G6841" t="str">
            <v>LABEL</v>
          </cell>
          <cell r="H6841" t="str">
            <v>LAB0047</v>
          </cell>
        </row>
        <row r="6842">
          <cell r="F6842" t="str">
            <v>DA96-00492B</v>
          </cell>
          <cell r="G6842" t="str">
            <v>LABEL</v>
          </cell>
          <cell r="H6842" t="str">
            <v>LAB0046</v>
          </cell>
        </row>
        <row r="6843">
          <cell r="F6843" t="str">
            <v>DA96-00517L</v>
          </cell>
          <cell r="G6843" t="str">
            <v>LABEL</v>
          </cell>
          <cell r="H6843" t="str">
            <v>LAB0045</v>
          </cell>
        </row>
        <row r="6844">
          <cell r="F6844" t="str">
            <v>DA96-00444H</v>
          </cell>
          <cell r="G6844" t="str">
            <v>LABEL</v>
          </cell>
          <cell r="H6844" t="str">
            <v>LAB0044</v>
          </cell>
        </row>
        <row r="6845">
          <cell r="F6845" t="str">
            <v>DA96-00444E</v>
          </cell>
          <cell r="G6845" t="str">
            <v>LABEL</v>
          </cell>
          <cell r="H6845" t="str">
            <v>LAB0042</v>
          </cell>
        </row>
        <row r="6846">
          <cell r="F6846" t="str">
            <v>DA96-00444D</v>
          </cell>
          <cell r="G6846" t="str">
            <v>LABEL</v>
          </cell>
          <cell r="H6846" t="str">
            <v>LAB0041</v>
          </cell>
        </row>
        <row r="6847">
          <cell r="F6847" t="str">
            <v>DA96-00530A</v>
          </cell>
          <cell r="G6847" t="str">
            <v>LABEL</v>
          </cell>
          <cell r="H6847" t="str">
            <v>LAB0038</v>
          </cell>
        </row>
        <row r="6848">
          <cell r="F6848" t="str">
            <v>DA96-00530B</v>
          </cell>
          <cell r="G6848" t="str">
            <v>LABEL</v>
          </cell>
          <cell r="H6848" t="str">
            <v>LAB0037</v>
          </cell>
        </row>
        <row r="6849">
          <cell r="F6849" t="str">
            <v>DA96-00517K</v>
          </cell>
          <cell r="G6849" t="str">
            <v>LABEL</v>
          </cell>
          <cell r="H6849" t="str">
            <v>LAB0036</v>
          </cell>
        </row>
        <row r="6850">
          <cell r="F6850" t="str">
            <v>DA96-00517J</v>
          </cell>
          <cell r="G6850" t="str">
            <v>LABEL</v>
          </cell>
          <cell r="H6850" t="str">
            <v>LAB0035</v>
          </cell>
        </row>
        <row r="6851">
          <cell r="F6851" t="str">
            <v>DA96-00517H</v>
          </cell>
          <cell r="G6851" t="str">
            <v>LABEL</v>
          </cell>
          <cell r="H6851" t="str">
            <v>LAB0034</v>
          </cell>
        </row>
        <row r="6852">
          <cell r="F6852" t="str">
            <v>DA96-00517G</v>
          </cell>
          <cell r="G6852" t="str">
            <v>LABEL</v>
          </cell>
          <cell r="H6852" t="str">
            <v>LAB0033</v>
          </cell>
        </row>
        <row r="6853">
          <cell r="F6853" t="str">
            <v>표준견본</v>
          </cell>
          <cell r="G6853" t="str">
            <v>LABEL</v>
          </cell>
          <cell r="H6853" t="str">
            <v>LAB0032</v>
          </cell>
        </row>
        <row r="6854">
          <cell r="F6854" t="str">
            <v>DA96-00441G</v>
          </cell>
          <cell r="G6854" t="str">
            <v>LABEL</v>
          </cell>
          <cell r="H6854" t="str">
            <v>LAB0031</v>
          </cell>
        </row>
        <row r="6855">
          <cell r="F6855" t="str">
            <v>DA96-00441D</v>
          </cell>
          <cell r="G6855" t="str">
            <v>LABEL</v>
          </cell>
          <cell r="H6855" t="str">
            <v>LAB0030</v>
          </cell>
        </row>
        <row r="6856">
          <cell r="F6856" t="str">
            <v>부업명세표</v>
          </cell>
          <cell r="G6856" t="str">
            <v>LABEL</v>
          </cell>
          <cell r="H6856" t="str">
            <v>LAB0028</v>
          </cell>
        </row>
        <row r="6857">
          <cell r="F6857" t="str">
            <v>DA96-00444F</v>
          </cell>
          <cell r="G6857" t="str">
            <v>LABEL</v>
          </cell>
          <cell r="H6857" t="str">
            <v>LAB0027</v>
          </cell>
        </row>
        <row r="6858">
          <cell r="F6858" t="str">
            <v>DA96-00271Q</v>
          </cell>
          <cell r="G6858" t="str">
            <v>LABEL</v>
          </cell>
          <cell r="H6858" t="str">
            <v>LAB0021</v>
          </cell>
        </row>
        <row r="6859">
          <cell r="F6859" t="str">
            <v>DA96-00271P</v>
          </cell>
          <cell r="G6859" t="str">
            <v>LABEL</v>
          </cell>
          <cell r="H6859" t="str">
            <v>LAB0020</v>
          </cell>
        </row>
        <row r="6860">
          <cell r="F6860" t="str">
            <v>DA96-00271N</v>
          </cell>
          <cell r="G6860" t="str">
            <v>LABEL</v>
          </cell>
          <cell r="H6860" t="str">
            <v>LAB0019</v>
          </cell>
        </row>
        <row r="6861">
          <cell r="F6861" t="str">
            <v>DA39-00402A</v>
          </cell>
          <cell r="G6861" t="str">
            <v>LABEL</v>
          </cell>
          <cell r="H6861" t="str">
            <v>LAB0018</v>
          </cell>
        </row>
        <row r="6862">
          <cell r="F6862" t="str">
            <v>DA96-00531B</v>
          </cell>
          <cell r="G6862" t="str">
            <v>LABEL</v>
          </cell>
          <cell r="H6862" t="str">
            <v>LAB0017</v>
          </cell>
        </row>
        <row r="6863">
          <cell r="F6863" t="str">
            <v>DA96-00531A</v>
          </cell>
          <cell r="G6863" t="str">
            <v>LABEL</v>
          </cell>
          <cell r="H6863" t="str">
            <v>LAB0016</v>
          </cell>
        </row>
        <row r="6864">
          <cell r="F6864" t="str">
            <v>DA96-00532A</v>
          </cell>
          <cell r="G6864" t="str">
            <v>LABEL</v>
          </cell>
          <cell r="H6864" t="str">
            <v>LAB0015</v>
          </cell>
        </row>
        <row r="6865">
          <cell r="F6865" t="str">
            <v>DA96-00172F</v>
          </cell>
          <cell r="G6865" t="str">
            <v>LABEL</v>
          </cell>
          <cell r="H6865" t="str">
            <v>LAB0013</v>
          </cell>
        </row>
        <row r="6866">
          <cell r="F6866" t="str">
            <v>DA96-00172B</v>
          </cell>
          <cell r="G6866" t="str">
            <v>LABEL</v>
          </cell>
          <cell r="H6866" t="str">
            <v>LAB0012</v>
          </cell>
        </row>
        <row r="6867">
          <cell r="F6867" t="str">
            <v>LOT CLASS/SPEC TABLE</v>
          </cell>
          <cell r="G6867" t="str">
            <v>LABEL</v>
          </cell>
          <cell r="H6867" t="str">
            <v>LAB0004</v>
          </cell>
        </row>
        <row r="6868">
          <cell r="F6868" t="str">
            <v>PART LIST</v>
          </cell>
          <cell r="G6868" t="str">
            <v>LABEL</v>
          </cell>
          <cell r="H6868" t="str">
            <v>LAB0003</v>
          </cell>
        </row>
        <row r="6869">
          <cell r="F6869">
            <v>410002</v>
          </cell>
          <cell r="G6869" t="str">
            <v>WIRE SEAL</v>
          </cell>
          <cell r="H6869" t="str">
            <v>JYR23060W1G0</v>
          </cell>
        </row>
        <row r="6870">
          <cell r="F6870">
            <v>410095</v>
          </cell>
          <cell r="G6870" t="str">
            <v>WIRE SEAL</v>
          </cell>
          <cell r="H6870" t="str">
            <v>JYR2202501G0</v>
          </cell>
        </row>
        <row r="6871">
          <cell r="F6871">
            <v>410001</v>
          </cell>
          <cell r="G6871" t="str">
            <v>WIRE SEAL</v>
          </cell>
          <cell r="H6871" t="str">
            <v>JYR12060W1L0</v>
          </cell>
        </row>
        <row r="6872">
          <cell r="F6872">
            <v>410094</v>
          </cell>
          <cell r="G6872" t="str">
            <v>WIRE SEAL</v>
          </cell>
          <cell r="H6872" t="str">
            <v>JYR1102501L0</v>
          </cell>
        </row>
        <row r="6873">
          <cell r="F6873">
            <v>430001</v>
          </cell>
          <cell r="G6873" t="str">
            <v>BLANKING SEAL</v>
          </cell>
          <cell r="H6873" t="str">
            <v>JYR01060W5B0</v>
          </cell>
        </row>
        <row r="6874">
          <cell r="F6874">
            <v>430010</v>
          </cell>
          <cell r="G6874" t="str">
            <v>BLANKING SEAL</v>
          </cell>
          <cell r="H6874" t="str">
            <v>JYR00025W5Y0</v>
          </cell>
        </row>
        <row r="6875">
          <cell r="F6875" t="str">
            <v>7165-1666</v>
          </cell>
          <cell r="G6875" t="str">
            <v>WIRE SEAL</v>
          </cell>
          <cell r="H6875" t="str">
            <v>JSM1212001B0</v>
          </cell>
        </row>
        <row r="6876">
          <cell r="F6876" t="str">
            <v>7165-1198</v>
          </cell>
          <cell r="G6876" t="str">
            <v>WIRE SEAL</v>
          </cell>
          <cell r="H6876" t="str">
            <v>JSM11064W1DY</v>
          </cell>
        </row>
        <row r="6877">
          <cell r="F6877" t="str">
            <v>49093-0004</v>
          </cell>
          <cell r="G6877" t="str">
            <v>WIRE SEAL</v>
          </cell>
          <cell r="H6877" t="str">
            <v>JMK34092W2L0</v>
          </cell>
        </row>
        <row r="6878">
          <cell r="F6878" t="str">
            <v>49093-0003</v>
          </cell>
          <cell r="G6878" t="str">
            <v>WIRE SEAL</v>
          </cell>
          <cell r="H6878" t="str">
            <v>JMK34092W2GY</v>
          </cell>
        </row>
        <row r="6879">
          <cell r="F6879" t="str">
            <v>34345-4001</v>
          </cell>
          <cell r="G6879" t="str">
            <v>BLANKING PIN</v>
          </cell>
          <cell r="H6879" t="str">
            <v>JMK00MX155GR</v>
          </cell>
        </row>
        <row r="6880">
          <cell r="F6880" t="str">
            <v>EU020-01140</v>
          </cell>
          <cell r="G6880" t="str">
            <v>WIRE SEAL</v>
          </cell>
          <cell r="H6880" t="str">
            <v>JKUMMTWP01ML</v>
          </cell>
        </row>
        <row r="6881">
          <cell r="F6881" t="str">
            <v>EM010-00060</v>
          </cell>
          <cell r="G6881" t="str">
            <v>WIRE SEAL</v>
          </cell>
          <cell r="H6881" t="str">
            <v>JKU66NWP01R0</v>
          </cell>
        </row>
        <row r="6882">
          <cell r="F6882" t="str">
            <v>EM010-00140</v>
          </cell>
          <cell r="G6882" t="str">
            <v>WIRE SEAL</v>
          </cell>
          <cell r="H6882" t="str">
            <v>JKU56NWP01ML</v>
          </cell>
        </row>
        <row r="6883">
          <cell r="F6883" t="str">
            <v>EM010-00120</v>
          </cell>
          <cell r="G6883" t="str">
            <v>WIRE SEAL</v>
          </cell>
          <cell r="H6883" t="str">
            <v>JKU55NWP01GR</v>
          </cell>
        </row>
        <row r="6884">
          <cell r="F6884" t="str">
            <v>RS130-01000</v>
          </cell>
          <cell r="G6884" t="str">
            <v>WIRE SEAL</v>
          </cell>
          <cell r="H6884" t="str">
            <v>JKU45WWP01R0</v>
          </cell>
        </row>
        <row r="6885">
          <cell r="F6885" t="str">
            <v>RS220-03100</v>
          </cell>
          <cell r="G6885" t="str">
            <v>WIRE SEAL</v>
          </cell>
          <cell r="H6885" t="str">
            <v>JKU45MWP01B0</v>
          </cell>
        </row>
        <row r="6886">
          <cell r="F6886" t="str">
            <v>RS220-04100</v>
          </cell>
          <cell r="G6886" t="str">
            <v>WIRE SEAL</v>
          </cell>
          <cell r="H6886" t="str">
            <v>JKU34MWP01BR</v>
          </cell>
        </row>
        <row r="6887">
          <cell r="F6887" t="str">
            <v>EB010-01030</v>
          </cell>
          <cell r="G6887" t="str">
            <v>WIRE SEAL</v>
          </cell>
          <cell r="H6887" t="str">
            <v>JKU34AWP01G0</v>
          </cell>
        </row>
        <row r="6888">
          <cell r="F6888" t="str">
            <v>EU020-00030</v>
          </cell>
          <cell r="G6888" t="str">
            <v>WIRE SEAL</v>
          </cell>
          <cell r="H6888" t="str">
            <v>JKU22TWP01G0</v>
          </cell>
        </row>
        <row r="6889">
          <cell r="F6889" t="str">
            <v>RS130-03000</v>
          </cell>
          <cell r="G6889" t="str">
            <v>WIRE SEAL</v>
          </cell>
          <cell r="H6889" t="str">
            <v>JKU13WWP01B0</v>
          </cell>
        </row>
        <row r="6890">
          <cell r="F6890" t="str">
            <v>ES010-00030</v>
          </cell>
          <cell r="G6890" t="str">
            <v>WIRE SEAL</v>
          </cell>
          <cell r="H6890" t="str">
            <v>JKU13WMC01G0</v>
          </cell>
        </row>
        <row r="6891">
          <cell r="F6891" t="str">
            <v>EM010-00100</v>
          </cell>
          <cell r="G6891" t="str">
            <v>WIRE SEAL</v>
          </cell>
          <cell r="H6891" t="str">
            <v>JKU13NWP01OR</v>
          </cell>
        </row>
        <row r="6892">
          <cell r="F6892" t="str">
            <v>RS220-01100</v>
          </cell>
          <cell r="G6892" t="str">
            <v>WIRE SEAL</v>
          </cell>
          <cell r="H6892" t="str">
            <v>JKU12MWP01LG</v>
          </cell>
        </row>
        <row r="6893">
          <cell r="F6893" t="str">
            <v>EB010-01050</v>
          </cell>
          <cell r="G6893" t="str">
            <v>WIRE SEAL</v>
          </cell>
          <cell r="H6893" t="str">
            <v>JKU12AWP01BR</v>
          </cell>
        </row>
        <row r="6894">
          <cell r="F6894" t="str">
            <v>EU020-01050</v>
          </cell>
          <cell r="G6894" t="str">
            <v>WIRE SEAL</v>
          </cell>
          <cell r="H6894" t="str">
            <v>JKU11TWP01BR</v>
          </cell>
        </row>
        <row r="6895">
          <cell r="F6895" t="str">
            <v>PZ001-15022</v>
          </cell>
          <cell r="G6895" t="str">
            <v>WIRE SEAL</v>
          </cell>
          <cell r="H6895" t="str">
            <v>JKU01NMWP3GR</v>
          </cell>
        </row>
        <row r="6896">
          <cell r="F6896" t="str">
            <v>ES010-00050</v>
          </cell>
          <cell r="G6896" t="str">
            <v>BLANKING SEAL</v>
          </cell>
          <cell r="H6896" t="str">
            <v>JKU00WMC05BR</v>
          </cell>
        </row>
        <row r="6897">
          <cell r="F6897" t="str">
            <v>EU020-00060</v>
          </cell>
          <cell r="G6897" t="str">
            <v>BLANKING SEAL</v>
          </cell>
          <cell r="H6897" t="str">
            <v>JKU00TWP05R0</v>
          </cell>
        </row>
        <row r="6898">
          <cell r="F6898" t="str">
            <v>EM010-00050</v>
          </cell>
          <cell r="G6898" t="str">
            <v>BLANKING SEAL</v>
          </cell>
          <cell r="H6898" t="str">
            <v>JKU00NWP05BR</v>
          </cell>
        </row>
        <row r="6899">
          <cell r="F6899" t="str">
            <v>EB010-01060</v>
          </cell>
          <cell r="G6899" t="str">
            <v>BLANKING SEAL</v>
          </cell>
          <cell r="H6899" t="str">
            <v>JKU00AWP05R0</v>
          </cell>
        </row>
        <row r="6900">
          <cell r="F6900">
            <v>685389</v>
          </cell>
          <cell r="G6900" t="str">
            <v>WIRE SEAL</v>
          </cell>
          <cell r="H6900" t="str">
            <v>JKTMMN0601L0</v>
          </cell>
        </row>
        <row r="6901">
          <cell r="F6901">
            <v>685534</v>
          </cell>
          <cell r="G6901" t="str">
            <v>WIRE SEAL</v>
          </cell>
          <cell r="H6901" t="str">
            <v>JKTMMC0251Y0</v>
          </cell>
        </row>
        <row r="6902">
          <cell r="F6902" t="str">
            <v>MG685629</v>
          </cell>
          <cell r="G6902" t="str">
            <v>WIRE SEAL</v>
          </cell>
          <cell r="H6902" t="str">
            <v>JKTMM092W1Y0</v>
          </cell>
        </row>
        <row r="6903">
          <cell r="F6903">
            <v>685627</v>
          </cell>
          <cell r="G6903" t="str">
            <v>WIRE SEAL</v>
          </cell>
          <cell r="H6903" t="str">
            <v>JKTMM050W1L0</v>
          </cell>
        </row>
        <row r="6904">
          <cell r="F6904">
            <v>685570</v>
          </cell>
          <cell r="G6904" t="str">
            <v>WIRE SEAL</v>
          </cell>
          <cell r="H6904" t="str">
            <v>JKTLMC0601Y0</v>
          </cell>
        </row>
        <row r="6905">
          <cell r="F6905" t="str">
            <v>MG685556</v>
          </cell>
          <cell r="G6905" t="str">
            <v>WIRE SEAL</v>
          </cell>
          <cell r="H6905" t="str">
            <v>JKT78N2501GR</v>
          </cell>
        </row>
        <row r="6906">
          <cell r="F6906" t="str">
            <v>MG683802</v>
          </cell>
          <cell r="G6906" t="str">
            <v>WIRE SEAL</v>
          </cell>
          <cell r="H6906" t="str">
            <v>JKT78375W1R0</v>
          </cell>
        </row>
        <row r="6907">
          <cell r="F6907" t="str">
            <v>MG680954</v>
          </cell>
          <cell r="G6907" t="str">
            <v>WIRE SEAL</v>
          </cell>
          <cell r="H6907" t="str">
            <v>JKT7831221B0</v>
          </cell>
        </row>
        <row r="6908">
          <cell r="F6908" t="str">
            <v>MG685584</v>
          </cell>
          <cell r="G6908" t="str">
            <v>WIRE SEAL</v>
          </cell>
          <cell r="H6908" t="str">
            <v>JKT66N2501L0</v>
          </cell>
        </row>
        <row r="6909">
          <cell r="F6909" t="str">
            <v>MG685574</v>
          </cell>
          <cell r="G6909" t="str">
            <v>WIRE SEAL</v>
          </cell>
          <cell r="H6909" t="str">
            <v>JKT6611001OR</v>
          </cell>
        </row>
        <row r="6910">
          <cell r="F6910" t="str">
            <v>685259-5</v>
          </cell>
          <cell r="G6910" t="str">
            <v>WIRE SEAL</v>
          </cell>
          <cell r="H6910" t="str">
            <v>JKT5628001B0</v>
          </cell>
        </row>
        <row r="6911">
          <cell r="F6911" t="str">
            <v>MG681116</v>
          </cell>
          <cell r="G6911" t="str">
            <v>WIRE SEAL</v>
          </cell>
          <cell r="H6911" t="str">
            <v>JKT55092W1G0</v>
          </cell>
        </row>
        <row r="6912">
          <cell r="F6912" t="str">
            <v>MG680564</v>
          </cell>
          <cell r="G6912" t="str">
            <v>WIRE SEAL</v>
          </cell>
          <cell r="H6912" t="str">
            <v>JKT4558W01L0</v>
          </cell>
        </row>
        <row r="6913">
          <cell r="F6913">
            <v>685248</v>
          </cell>
          <cell r="G6913" t="str">
            <v>WIRE SEAL</v>
          </cell>
          <cell r="H6913" t="str">
            <v>JKT4528001L0</v>
          </cell>
        </row>
        <row r="6914">
          <cell r="F6914" t="str">
            <v>MG681119</v>
          </cell>
          <cell r="G6914" t="str">
            <v>WIRE SEAL</v>
          </cell>
          <cell r="H6914" t="str">
            <v>JKT44092W1B0</v>
          </cell>
        </row>
        <row r="6915">
          <cell r="F6915" t="str">
            <v>MG685514</v>
          </cell>
          <cell r="G6915" t="str">
            <v>WIRE SEAL</v>
          </cell>
          <cell r="H6915" t="str">
            <v>JKT34C0601R0</v>
          </cell>
        </row>
        <row r="6916">
          <cell r="F6916" t="str">
            <v>MG681115</v>
          </cell>
          <cell r="G6916" t="str">
            <v>WIRE SEAL</v>
          </cell>
          <cell r="H6916" t="str">
            <v>JKT34092W1R0</v>
          </cell>
        </row>
        <row r="6917">
          <cell r="F6917">
            <v>682621</v>
          </cell>
          <cell r="G6917" t="str">
            <v>WIRE SEAL</v>
          </cell>
          <cell r="H6917" t="str">
            <v>JKT2304WP1R0</v>
          </cell>
        </row>
        <row r="6918">
          <cell r="F6918" t="str">
            <v>MG683292</v>
          </cell>
          <cell r="G6918" t="str">
            <v>WIRE SEAL</v>
          </cell>
          <cell r="H6918" t="str">
            <v>JKT22RH002BR</v>
          </cell>
        </row>
        <row r="6919">
          <cell r="F6919">
            <v>685517</v>
          </cell>
          <cell r="G6919" t="str">
            <v>WIRE SEAL</v>
          </cell>
          <cell r="H6919" t="str">
            <v>JKT22C0251R0</v>
          </cell>
        </row>
        <row r="6920">
          <cell r="F6920" t="str">
            <v>MG685390</v>
          </cell>
          <cell r="G6920" t="str">
            <v>WIRE SEAL</v>
          </cell>
          <cell r="H6920" t="str">
            <v>JKT12N0601R0</v>
          </cell>
        </row>
        <row r="6921">
          <cell r="F6921" t="str">
            <v>MG685513</v>
          </cell>
          <cell r="G6921" t="str">
            <v>WIRE SEAL</v>
          </cell>
          <cell r="H6921" t="str">
            <v>JKT12C0601G0</v>
          </cell>
        </row>
        <row r="6922">
          <cell r="F6922" t="str">
            <v>MG680522</v>
          </cell>
          <cell r="G6922" t="str">
            <v>WIRE SEAL</v>
          </cell>
          <cell r="H6922" t="str">
            <v>JKT1258W01G0</v>
          </cell>
        </row>
        <row r="6923">
          <cell r="F6923" t="str">
            <v>MG683894</v>
          </cell>
          <cell r="G6923" t="str">
            <v>WIRE SEAL</v>
          </cell>
          <cell r="H6923" t="str">
            <v>JKT12093W1L0</v>
          </cell>
        </row>
        <row r="6924">
          <cell r="F6924" t="str">
            <v>MG681114</v>
          </cell>
          <cell r="G6924" t="str">
            <v>WIRE SEAL</v>
          </cell>
          <cell r="H6924" t="str">
            <v>JKT12092W1L0</v>
          </cell>
        </row>
        <row r="6925">
          <cell r="F6925" t="str">
            <v>MG685540</v>
          </cell>
          <cell r="G6925" t="str">
            <v>WIRE SEAL</v>
          </cell>
          <cell r="H6925" t="str">
            <v>JKT12050W1Y0</v>
          </cell>
        </row>
        <row r="6926">
          <cell r="F6926" t="str">
            <v>MG680713</v>
          </cell>
          <cell r="G6926" t="str">
            <v>WIRE SEAL</v>
          </cell>
          <cell r="H6926" t="str">
            <v>JKT12050W1R0</v>
          </cell>
        </row>
        <row r="6927">
          <cell r="F6927" t="str">
            <v>MG680448</v>
          </cell>
          <cell r="G6927" t="str">
            <v>WIRE SEAL</v>
          </cell>
          <cell r="H6927" t="str">
            <v>JKT11SWP01G0</v>
          </cell>
        </row>
        <row r="6928">
          <cell r="F6928" t="str">
            <v>MG683293</v>
          </cell>
          <cell r="G6928" t="str">
            <v>WIRE SEAL</v>
          </cell>
          <cell r="H6928" t="str">
            <v>JKT11RH002G0</v>
          </cell>
        </row>
        <row r="6929">
          <cell r="F6929">
            <v>685516</v>
          </cell>
          <cell r="G6929" t="str">
            <v>WIRE SEAL</v>
          </cell>
          <cell r="H6929" t="str">
            <v>JKT11C0251G1</v>
          </cell>
        </row>
        <row r="6930">
          <cell r="F6930">
            <v>682620</v>
          </cell>
          <cell r="G6930" t="str">
            <v>WIRE SEAL</v>
          </cell>
          <cell r="H6930" t="str">
            <v>JKT1104WP1L0</v>
          </cell>
        </row>
        <row r="6931">
          <cell r="F6931" t="str">
            <v>MG685387</v>
          </cell>
          <cell r="G6931" t="str">
            <v>WIRE SEAL</v>
          </cell>
          <cell r="H6931" t="str">
            <v>JKT1102501L0</v>
          </cell>
        </row>
        <row r="6932">
          <cell r="F6932" t="str">
            <v>MG680905</v>
          </cell>
          <cell r="G6932" t="str">
            <v>BLANKING SEAL</v>
          </cell>
          <cell r="H6932" t="str">
            <v>JKT0158W04R0</v>
          </cell>
        </row>
        <row r="6933">
          <cell r="F6933" t="str">
            <v>MG681266</v>
          </cell>
          <cell r="G6933" t="str">
            <v>WIRE SEAL</v>
          </cell>
          <cell r="H6933" t="str">
            <v>JKT00SWP05OR</v>
          </cell>
        </row>
        <row r="6934">
          <cell r="F6934" t="str">
            <v>MG683290</v>
          </cell>
          <cell r="G6934" t="str">
            <v>BLANKING SEAL</v>
          </cell>
          <cell r="H6934" t="str">
            <v>JKT00RH005GR</v>
          </cell>
        </row>
        <row r="6935">
          <cell r="F6935" t="str">
            <v>MG685502</v>
          </cell>
          <cell r="G6935" t="str">
            <v>BLANKING SEAL</v>
          </cell>
          <cell r="H6935" t="str">
            <v>JKT00N06T5OR</v>
          </cell>
        </row>
        <row r="6936">
          <cell r="F6936" t="str">
            <v>MG685476</v>
          </cell>
          <cell r="G6936" t="str">
            <v>BLANKING SEAL</v>
          </cell>
          <cell r="H6936" t="str">
            <v>JKT00FAK05G0</v>
          </cell>
        </row>
        <row r="6937">
          <cell r="F6937" t="str">
            <v>MG685519</v>
          </cell>
          <cell r="G6937" t="str">
            <v>BLANKING SEAL</v>
          </cell>
          <cell r="H6937" t="str">
            <v>JKT00C0605OR</v>
          </cell>
        </row>
        <row r="6938">
          <cell r="F6938">
            <v>685518</v>
          </cell>
          <cell r="G6938" t="str">
            <v>BLANKING SEAL</v>
          </cell>
          <cell r="H6938" t="str">
            <v>JKT00C0255OR</v>
          </cell>
        </row>
        <row r="6939">
          <cell r="F6939" t="str">
            <v>MG635914-4</v>
          </cell>
          <cell r="G6939" t="str">
            <v>BLANKING SEAL</v>
          </cell>
          <cell r="H6939" t="str">
            <v>JKT00060M5GR</v>
          </cell>
        </row>
        <row r="6940">
          <cell r="F6940" t="str">
            <v>MG682622</v>
          </cell>
          <cell r="G6940" t="str">
            <v>BLANKING SEAL</v>
          </cell>
          <cell r="H6940" t="str">
            <v>JKT0004WP5G0</v>
          </cell>
        </row>
        <row r="6941">
          <cell r="F6941" t="str">
            <v>MG685416</v>
          </cell>
          <cell r="G6941" t="str">
            <v>BLANKING SEAL</v>
          </cell>
          <cell r="H6941" t="str">
            <v>JKT0002505G0</v>
          </cell>
        </row>
        <row r="6942">
          <cell r="F6942" t="str">
            <v>108 00 47263 3</v>
          </cell>
          <cell r="G6942" t="str">
            <v>BLANKING SEAL</v>
          </cell>
          <cell r="H6942" t="str">
            <v>JKS00ELU05GR</v>
          </cell>
        </row>
        <row r="6943">
          <cell r="F6943">
            <v>10122757</v>
          </cell>
          <cell r="G6943" t="str">
            <v>BLANKING PIN</v>
          </cell>
          <cell r="H6943" t="str">
            <v>JKS0027575GR</v>
          </cell>
        </row>
        <row r="6944">
          <cell r="F6944" t="str">
            <v>JIADP-H-3A-Y</v>
          </cell>
          <cell r="G6944" t="str">
            <v>PIN</v>
          </cell>
          <cell r="H6944" t="str">
            <v>JJS34JIA03Y0</v>
          </cell>
        </row>
        <row r="6945">
          <cell r="F6945" t="str">
            <v>JIADP-H-1A-M</v>
          </cell>
          <cell r="G6945" t="str">
            <v>BLANK SEAL</v>
          </cell>
          <cell r="H6945" t="str">
            <v>JJS12JIA03G0</v>
          </cell>
        </row>
        <row r="6946">
          <cell r="F6946" t="str">
            <v>A03WS-MSAZ-E</v>
          </cell>
          <cell r="G6946" t="str">
            <v>WIRE SEAL</v>
          </cell>
          <cell r="H6946" t="str">
            <v>JJS11MSAZ1L0</v>
          </cell>
        </row>
        <row r="6947">
          <cell r="F6947" t="str">
            <v>CL6405-0065-0-000</v>
          </cell>
          <cell r="G6947" t="str">
            <v>BLANKING SEAL</v>
          </cell>
          <cell r="H6947" t="str">
            <v>JHR000250500</v>
          </cell>
        </row>
        <row r="6948">
          <cell r="F6948">
            <v>60993304</v>
          </cell>
          <cell r="G6948" t="str">
            <v>WIRE SEAL</v>
          </cell>
          <cell r="H6948" t="str">
            <v>JFC8ADC951Y0</v>
          </cell>
        </row>
        <row r="6949">
          <cell r="F6949">
            <v>60994034</v>
          </cell>
          <cell r="G6949" t="str">
            <v>WIRE SEAL</v>
          </cell>
          <cell r="H6949" t="str">
            <v>JFC35DCS21Y0</v>
          </cell>
        </row>
        <row r="6950">
          <cell r="F6950" t="str">
            <v>F610400</v>
          </cell>
          <cell r="G6950" t="str">
            <v>WIRE SEAL</v>
          </cell>
          <cell r="H6950" t="str">
            <v>JFC35DC281R0</v>
          </cell>
        </row>
        <row r="6951">
          <cell r="F6951" t="str">
            <v>F510400</v>
          </cell>
          <cell r="G6951" t="str">
            <v>WIRE SEAL</v>
          </cell>
          <cell r="H6951" t="str">
            <v>JFC23DC281L0</v>
          </cell>
        </row>
        <row r="6952">
          <cell r="F6952" t="str">
            <v>210A015019</v>
          </cell>
          <cell r="G6952" t="str">
            <v>BLANKING SEAL</v>
          </cell>
          <cell r="H6952" t="str">
            <v>JFC0SICMA500</v>
          </cell>
        </row>
        <row r="6953">
          <cell r="F6953">
            <v>54241629</v>
          </cell>
          <cell r="G6953" t="str">
            <v>BLANKING SEAL</v>
          </cell>
          <cell r="H6953" t="str">
            <v>JFC000150500</v>
          </cell>
        </row>
        <row r="6954">
          <cell r="F6954" t="str">
            <v>3508-2292</v>
          </cell>
          <cell r="G6954" t="str">
            <v>WIRE SEAL</v>
          </cell>
          <cell r="H6954" t="str">
            <v>JDP78DC951DG</v>
          </cell>
        </row>
        <row r="6955">
          <cell r="F6955" t="str">
            <v>1532-4994</v>
          </cell>
          <cell r="G6955" t="str">
            <v>WIRE SEAL</v>
          </cell>
          <cell r="H6955" t="str">
            <v>JDP6663001GR</v>
          </cell>
        </row>
        <row r="6956">
          <cell r="F6956" t="str">
            <v>3521-5173</v>
          </cell>
          <cell r="G6956" t="str">
            <v>WIRE SEAL</v>
          </cell>
          <cell r="H6956" t="str">
            <v>JDP55AE281B0</v>
          </cell>
        </row>
        <row r="6957">
          <cell r="F6957" t="str">
            <v>3331-8275</v>
          </cell>
          <cell r="G6957" t="str">
            <v>WIRE SEAL</v>
          </cell>
          <cell r="H6957" t="str">
            <v>JDP45DC151B0</v>
          </cell>
        </row>
        <row r="6958">
          <cell r="F6958" t="str">
            <v>3508-2288</v>
          </cell>
          <cell r="G6958" t="str">
            <v>WIRE SEAL</v>
          </cell>
          <cell r="H6958" t="str">
            <v>JDP23DC481LG</v>
          </cell>
        </row>
        <row r="6959">
          <cell r="F6959" t="str">
            <v>3331-8279</v>
          </cell>
          <cell r="G6959" t="str">
            <v>WIRE SEAL</v>
          </cell>
          <cell r="H6959" t="str">
            <v>JDP23DC151LG</v>
          </cell>
        </row>
        <row r="6960">
          <cell r="F6960" t="str">
            <v>3331-8278</v>
          </cell>
          <cell r="G6960" t="str">
            <v>WIRE SEAL</v>
          </cell>
          <cell r="H6960" t="str">
            <v>JDP11DC151GR</v>
          </cell>
        </row>
        <row r="6961">
          <cell r="F6961" t="str">
            <v>3331-8273</v>
          </cell>
          <cell r="G6961" t="str">
            <v>WIRE SEAL</v>
          </cell>
          <cell r="H6961" t="str">
            <v>JDP11DC151B0</v>
          </cell>
        </row>
        <row r="6962">
          <cell r="F6962" t="str">
            <v>1532-7913</v>
          </cell>
          <cell r="G6962" t="str">
            <v>WIRE SEAL</v>
          </cell>
          <cell r="H6962" t="str">
            <v>JDP11150W1R0</v>
          </cell>
        </row>
        <row r="6963">
          <cell r="F6963" t="str">
            <v>1219-8198</v>
          </cell>
          <cell r="G6963" t="str">
            <v>WIRE SEAL</v>
          </cell>
          <cell r="H6963" t="str">
            <v>JDP01360W5W0</v>
          </cell>
        </row>
        <row r="6964">
          <cell r="F6964" t="str">
            <v>3328-2443</v>
          </cell>
          <cell r="G6964" t="str">
            <v>WIRE SEAL</v>
          </cell>
          <cell r="H6964" t="str">
            <v>JDP00DC285G0</v>
          </cell>
        </row>
        <row r="6965">
          <cell r="F6965" t="str">
            <v>1540-4841</v>
          </cell>
          <cell r="G6965" t="str">
            <v>BLANKING SEAL</v>
          </cell>
          <cell r="H6965" t="str">
            <v>JDP0064005R0</v>
          </cell>
        </row>
        <row r="6966">
          <cell r="F6966">
            <v>33402443</v>
          </cell>
          <cell r="G6966" t="str">
            <v>WIRE SEAL</v>
          </cell>
          <cell r="H6966" t="str">
            <v>JDP0015003W0</v>
          </cell>
        </row>
        <row r="6967">
          <cell r="F6967" t="str">
            <v>3502-0635</v>
          </cell>
          <cell r="G6967" t="str">
            <v>WIRE SEAL</v>
          </cell>
          <cell r="H6967" t="str">
            <v>JDP0015003DG</v>
          </cell>
        </row>
        <row r="6968">
          <cell r="F6968" t="str">
            <v>1-928-300-600</v>
          </cell>
          <cell r="G6968" t="str">
            <v>WIRE SEAL</v>
          </cell>
          <cell r="H6968" t="str">
            <v>JBS25BOSW1W0</v>
          </cell>
        </row>
        <row r="6969">
          <cell r="F6969" t="str">
            <v>1719043-1</v>
          </cell>
          <cell r="G6969" t="str">
            <v>WIRE SEAL</v>
          </cell>
          <cell r="H6969" t="str">
            <v>JAP78WMCP1G0</v>
          </cell>
        </row>
        <row r="6970">
          <cell r="F6970" t="str">
            <v>963245-1</v>
          </cell>
          <cell r="G6970" t="str">
            <v>WIRE SEAL</v>
          </cell>
          <cell r="H6970" t="str">
            <v>JAP67ABS21Y0</v>
          </cell>
        </row>
        <row r="6971">
          <cell r="F6971" t="str">
            <v>1394512-1</v>
          </cell>
          <cell r="G6971" t="str">
            <v>WIRE SEAL</v>
          </cell>
          <cell r="H6971" t="str">
            <v>JAP66WMCP1L0</v>
          </cell>
        </row>
        <row r="6972">
          <cell r="F6972" t="str">
            <v>1897826-1</v>
          </cell>
          <cell r="G6972" t="str">
            <v>WIRE SEAL</v>
          </cell>
          <cell r="H6972" t="str">
            <v>JAP56SEAL1OR</v>
          </cell>
        </row>
        <row r="6973">
          <cell r="F6973" t="str">
            <v>963292-1</v>
          </cell>
          <cell r="G6973" t="str">
            <v>WIRE SEAL</v>
          </cell>
          <cell r="H6973" t="str">
            <v>JAP56JPT11Y0</v>
          </cell>
        </row>
        <row r="6974">
          <cell r="F6974" t="str">
            <v>1823111-1</v>
          </cell>
          <cell r="G6974" t="str">
            <v>WIRE SEAL</v>
          </cell>
          <cell r="H6974" t="str">
            <v>JAP55WMCP1RB</v>
          </cell>
        </row>
        <row r="6975">
          <cell r="F6975" t="str">
            <v>964972-1</v>
          </cell>
          <cell r="G6975" t="str">
            <v>WIRE SEAL</v>
          </cell>
          <cell r="H6975" t="str">
            <v>JAP34MT2W1Y0</v>
          </cell>
        </row>
        <row r="6976">
          <cell r="F6976" t="str">
            <v>828905-1</v>
          </cell>
          <cell r="G6976" t="str">
            <v>WIRE SEAL</v>
          </cell>
          <cell r="H6976" t="str">
            <v>JAP25JPT01W0</v>
          </cell>
        </row>
        <row r="6977">
          <cell r="F6977" t="str">
            <v>963293-1</v>
          </cell>
          <cell r="G6977" t="str">
            <v>WIRE SEAL</v>
          </cell>
          <cell r="H6977" t="str">
            <v>JAP24JPT11R0</v>
          </cell>
        </row>
        <row r="6978">
          <cell r="F6978" t="str">
            <v>368947-1</v>
          </cell>
          <cell r="G6978" t="str">
            <v>WIRE SEAL</v>
          </cell>
          <cell r="H6978" t="str">
            <v>JAP2328001Y0</v>
          </cell>
        </row>
        <row r="6979">
          <cell r="F6979" t="str">
            <v>368947-2</v>
          </cell>
          <cell r="G6979" t="str">
            <v>WIRE SEAL</v>
          </cell>
          <cell r="H6979" t="str">
            <v>JAP2328001R0</v>
          </cell>
        </row>
        <row r="6980">
          <cell r="F6980" t="str">
            <v>963530-1</v>
          </cell>
          <cell r="G6980" t="str">
            <v>WIRE SEAL</v>
          </cell>
          <cell r="H6980" t="str">
            <v>JAP13ABS01GR</v>
          </cell>
        </row>
        <row r="6981">
          <cell r="F6981" t="str">
            <v>1-368889-1</v>
          </cell>
          <cell r="G6981" t="str">
            <v>WIRE SEAL</v>
          </cell>
          <cell r="H6981" t="str">
            <v>JAP12MSWD0L0</v>
          </cell>
        </row>
        <row r="6982">
          <cell r="F6982" t="str">
            <v>967067-1</v>
          </cell>
          <cell r="G6982" t="str">
            <v>WIRE SEAL</v>
          </cell>
          <cell r="H6982" t="str">
            <v>JAP12MQS01G0</v>
          </cell>
        </row>
        <row r="6983">
          <cell r="F6983" t="str">
            <v>963294-1</v>
          </cell>
          <cell r="G6983" t="str">
            <v>WIRE SEAL</v>
          </cell>
          <cell r="H6983" t="str">
            <v>JAP12JPT1100</v>
          </cell>
        </row>
        <row r="6984">
          <cell r="F6984" t="str">
            <v>828904-1</v>
          </cell>
          <cell r="G6984" t="str">
            <v>WIRE SEAL</v>
          </cell>
          <cell r="H6984" t="str">
            <v>JAP12JPT01L0</v>
          </cell>
        </row>
        <row r="6985">
          <cell r="F6985" t="str">
            <v>964971-1</v>
          </cell>
          <cell r="G6985" t="str">
            <v>WIRE SEAL</v>
          </cell>
          <cell r="H6985" t="str">
            <v>JAP11MT201R0</v>
          </cell>
        </row>
        <row r="6986">
          <cell r="F6986" t="str">
            <v>828922-1</v>
          </cell>
          <cell r="G6986" t="str">
            <v>BLANKING SEAL</v>
          </cell>
          <cell r="H6986" t="str">
            <v>JAP01JPT04W0</v>
          </cell>
        </row>
        <row r="6987">
          <cell r="F6987" t="str">
            <v>2109258-4</v>
          </cell>
          <cell r="G6987" t="str">
            <v>BLANKING SEAL</v>
          </cell>
          <cell r="H6987" t="str">
            <v>JAP01E0755BR</v>
          </cell>
        </row>
        <row r="6988">
          <cell r="F6988" t="str">
            <v>963531-1</v>
          </cell>
          <cell r="G6988" t="str">
            <v>BLANKING SEAL</v>
          </cell>
          <cell r="H6988" t="str">
            <v>JAP01ABS04GR</v>
          </cell>
        </row>
        <row r="6989">
          <cell r="F6989" t="str">
            <v>1897421-2</v>
          </cell>
          <cell r="G6989" t="str">
            <v>WIRE SEAL</v>
          </cell>
          <cell r="H6989" t="str">
            <v>JAP00MQS05B1</v>
          </cell>
        </row>
        <row r="6990">
          <cell r="F6990" t="str">
            <v>967652-1</v>
          </cell>
          <cell r="G6990" t="str">
            <v>WIRE SEAL</v>
          </cell>
          <cell r="H6990" t="str">
            <v>JAP00MQS0500</v>
          </cell>
        </row>
        <row r="6991">
          <cell r="F6991" t="str">
            <v>2219498-2</v>
          </cell>
          <cell r="G6991" t="str">
            <v>BLANKING PIN</v>
          </cell>
          <cell r="H6991" t="str">
            <v>JAP00MCON5G0</v>
          </cell>
        </row>
        <row r="6992">
          <cell r="F6992" t="str">
            <v>0-0936054-1</v>
          </cell>
          <cell r="G6992" t="str">
            <v>BLANKING PIN</v>
          </cell>
          <cell r="H6992" t="str">
            <v>JAP00ECU03Y0</v>
          </cell>
        </row>
        <row r="6993">
          <cell r="F6993" t="str">
            <v>DA61-15473A</v>
          </cell>
          <cell r="G6993" t="str">
            <v>FIXER COVER</v>
          </cell>
          <cell r="H6993" t="str">
            <v>INJ0553</v>
          </cell>
        </row>
        <row r="6994">
          <cell r="F6994" t="str">
            <v>DA63-12359A</v>
          </cell>
          <cell r="G6994" t="str">
            <v>GROMMET GUIDE</v>
          </cell>
          <cell r="H6994" t="str">
            <v>INJ0552</v>
          </cell>
        </row>
        <row r="6995">
          <cell r="F6995" t="str">
            <v>DA63-12352A</v>
          </cell>
          <cell r="G6995" t="str">
            <v>GROMMET HINGE - UP</v>
          </cell>
          <cell r="H6995" t="str">
            <v>INJ0551</v>
          </cell>
        </row>
        <row r="6996">
          <cell r="F6996" t="str">
            <v>20075330A</v>
          </cell>
          <cell r="G6996" t="str">
            <v>HARNESS PACKING</v>
          </cell>
          <cell r="H6996" t="str">
            <v>INJ0550</v>
          </cell>
        </row>
        <row r="6997">
          <cell r="F6997" t="str">
            <v>20075329A</v>
          </cell>
          <cell r="G6997" t="str">
            <v>HARNESS PACKING</v>
          </cell>
          <cell r="H6997" t="str">
            <v>INJ0549</v>
          </cell>
        </row>
        <row r="6998">
          <cell r="F6998" t="str">
            <v>WG11-00198A</v>
          </cell>
          <cell r="G6998" t="str">
            <v>CONNECTOR HOUSING MID</v>
          </cell>
          <cell r="H6998" t="str">
            <v>INJ0548</v>
          </cell>
        </row>
        <row r="6999">
          <cell r="F6999" t="str">
            <v>WG11-00197A</v>
          </cell>
          <cell r="G6999" t="str">
            <v>CONNECTOR HOUSING TOP</v>
          </cell>
          <cell r="H6999" t="str">
            <v>INJ0547</v>
          </cell>
        </row>
        <row r="7000">
          <cell r="F7000" t="str">
            <v>DA63-12351A</v>
          </cell>
          <cell r="G7000" t="str">
            <v>GROMMET DOOR-REF LEFT</v>
          </cell>
          <cell r="H7000" t="str">
            <v>INJ0546</v>
          </cell>
        </row>
        <row r="7001">
          <cell r="F7001" t="str">
            <v>20006973A</v>
          </cell>
          <cell r="G7001" t="str">
            <v>RUBBER BUSH</v>
          </cell>
          <cell r="H7001" t="str">
            <v>INJ0544</v>
          </cell>
        </row>
        <row r="7002">
          <cell r="F7002" t="str">
            <v>DA63-12338A</v>
          </cell>
          <cell r="G7002" t="str">
            <v>GROMMET DOOR-REF RIGHT</v>
          </cell>
          <cell r="H7002" t="str">
            <v>INJ0543</v>
          </cell>
        </row>
        <row r="7003">
          <cell r="F7003" t="str">
            <v>DA63-12337A</v>
          </cell>
          <cell r="G7003" t="str">
            <v>GROMMET DOOR-REF LEFT</v>
          </cell>
          <cell r="H7003" t="str">
            <v>INJ0542</v>
          </cell>
        </row>
        <row r="7004">
          <cell r="F7004" t="str">
            <v>DC61-06096A</v>
          </cell>
          <cell r="G7004" t="str">
            <v>GUIDE WIRE</v>
          </cell>
          <cell r="H7004" t="str">
            <v>INJ0541</v>
          </cell>
        </row>
        <row r="7005">
          <cell r="F7005" t="str">
            <v>DA61-16377A</v>
          </cell>
          <cell r="G7005" t="str">
            <v>CASE CONTROL</v>
          </cell>
          <cell r="H7005" t="str">
            <v>INJ0540</v>
          </cell>
        </row>
        <row r="7006">
          <cell r="F7006" t="str">
            <v>DA61-16376A</v>
          </cell>
          <cell r="G7006" t="str">
            <v>CASE LAMP-REF</v>
          </cell>
          <cell r="H7006" t="str">
            <v>INJ0539</v>
          </cell>
        </row>
        <row r="7007">
          <cell r="F7007" t="str">
            <v>TS09AF4-21</v>
          </cell>
          <cell r="G7007" t="str">
            <v>GROMMET</v>
          </cell>
          <cell r="H7007" t="str">
            <v>INJ0538</v>
          </cell>
        </row>
        <row r="7008">
          <cell r="F7008" t="str">
            <v>DA61-16304B</v>
          </cell>
          <cell r="G7008" t="str">
            <v>FIXER HOUSING REF RIGHT</v>
          </cell>
          <cell r="H7008" t="str">
            <v>INJ0537</v>
          </cell>
        </row>
        <row r="7009">
          <cell r="F7009" t="str">
            <v>DA61-16304A</v>
          </cell>
          <cell r="G7009" t="str">
            <v>FIXER HOUSING REF RIGHT</v>
          </cell>
          <cell r="H7009" t="str">
            <v>INJ0536</v>
          </cell>
        </row>
        <row r="7010">
          <cell r="F7010" t="str">
            <v>20048292A</v>
          </cell>
          <cell r="G7010" t="str">
            <v>BRACKET REAR</v>
          </cell>
          <cell r="H7010" t="str">
            <v>INJ0535</v>
          </cell>
        </row>
        <row r="7011">
          <cell r="F7011" t="str">
            <v>20048402A</v>
          </cell>
          <cell r="G7011" t="str">
            <v>BRACKET FRONT</v>
          </cell>
          <cell r="H7011" t="str">
            <v>INJ0534</v>
          </cell>
        </row>
        <row r="7012">
          <cell r="F7012" t="str">
            <v>MG636008-001</v>
          </cell>
          <cell r="G7012" t="str">
            <v>COVER BOTTOM</v>
          </cell>
          <cell r="H7012" t="str">
            <v>INJ0533</v>
          </cell>
        </row>
        <row r="7013">
          <cell r="F7013" t="str">
            <v>MG636007-001</v>
          </cell>
          <cell r="G7013" t="str">
            <v>COVER TOP</v>
          </cell>
          <cell r="H7013" t="str">
            <v>INJ0532</v>
          </cell>
        </row>
        <row r="7014">
          <cell r="F7014" t="str">
            <v>MG625490-201</v>
          </cell>
          <cell r="G7014" t="str">
            <v>COVER BOTTOM</v>
          </cell>
          <cell r="H7014" t="str">
            <v>INJ0531</v>
          </cell>
        </row>
        <row r="7015">
          <cell r="F7015" t="str">
            <v>MG625489-001</v>
          </cell>
          <cell r="G7015" t="str">
            <v>COVER TOP</v>
          </cell>
          <cell r="H7015" t="str">
            <v>INJ0530</v>
          </cell>
        </row>
        <row r="7016">
          <cell r="F7016" t="str">
            <v>DA61-16283B</v>
          </cell>
          <cell r="G7016" t="str">
            <v>FIXER HOUSING-FRE</v>
          </cell>
          <cell r="H7016" t="str">
            <v>INJ0519</v>
          </cell>
        </row>
        <row r="7017">
          <cell r="F7017" t="str">
            <v>DA63-11468B</v>
          </cell>
          <cell r="G7017" t="str">
            <v>COVER FIXER HOUSING FRE</v>
          </cell>
          <cell r="H7017" t="str">
            <v>INJ0518</v>
          </cell>
        </row>
        <row r="7018">
          <cell r="F7018" t="str">
            <v>DA61-16283A</v>
          </cell>
          <cell r="G7018" t="str">
            <v>FIXER HOUSING-FRE</v>
          </cell>
          <cell r="H7018" t="str">
            <v>INJ0517</v>
          </cell>
        </row>
        <row r="7019">
          <cell r="F7019">
            <v>11220437360</v>
          </cell>
          <cell r="G7019" t="str">
            <v>GROMMET</v>
          </cell>
          <cell r="H7019" t="str">
            <v>INJ0516</v>
          </cell>
        </row>
        <row r="7020">
          <cell r="F7020">
            <v>11220437359</v>
          </cell>
          <cell r="G7020" t="str">
            <v>GROMMET</v>
          </cell>
          <cell r="H7020" t="str">
            <v>INJ0515</v>
          </cell>
        </row>
        <row r="7021">
          <cell r="F7021" t="str">
            <v>20006973B</v>
          </cell>
          <cell r="G7021" t="str">
            <v>RUBBER BUSH</v>
          </cell>
          <cell r="H7021" t="str">
            <v>INJ0514</v>
          </cell>
        </row>
        <row r="7022">
          <cell r="F7022" t="str">
            <v>20006774A</v>
          </cell>
          <cell r="G7022" t="str">
            <v>RUBBER BUSH</v>
          </cell>
          <cell r="H7022" t="str">
            <v>INJ0513</v>
          </cell>
        </row>
        <row r="7023">
          <cell r="F7023" t="str">
            <v>DA63-12127B</v>
          </cell>
          <cell r="G7023" t="str">
            <v>GROMMET HINGE RIGHT</v>
          </cell>
          <cell r="H7023" t="str">
            <v>INJ0512</v>
          </cell>
        </row>
        <row r="7024">
          <cell r="F7024" t="str">
            <v>DA63-12124B</v>
          </cell>
          <cell r="G7024" t="str">
            <v>GROMMET HINGE LEFT</v>
          </cell>
          <cell r="H7024" t="str">
            <v>INJ0511</v>
          </cell>
        </row>
        <row r="7025">
          <cell r="F7025" t="str">
            <v>6X2X20(RED)F</v>
          </cell>
          <cell r="G7025" t="str">
            <v>END-CAP</v>
          </cell>
          <cell r="H7025" t="str">
            <v>INJ0510</v>
          </cell>
        </row>
        <row r="7026">
          <cell r="F7026" t="str">
            <v>DC61-05649A</v>
          </cell>
          <cell r="G7026" t="str">
            <v>GUIDE-LEAKAGE SENSOR</v>
          </cell>
          <cell r="H7026" t="str">
            <v>INJ0508</v>
          </cell>
        </row>
        <row r="7027">
          <cell r="F7027" t="str">
            <v>DA63-12127A</v>
          </cell>
          <cell r="G7027" t="str">
            <v>GROMMET HINGE RIGHT</v>
          </cell>
          <cell r="H7027" t="str">
            <v>INJ0507</v>
          </cell>
        </row>
        <row r="7028">
          <cell r="F7028" t="str">
            <v>DA63-12124A</v>
          </cell>
          <cell r="G7028" t="str">
            <v>GROMMET HINGE LEFT</v>
          </cell>
          <cell r="H7028" t="str">
            <v>INJ0505</v>
          </cell>
        </row>
        <row r="7029">
          <cell r="F7029" t="str">
            <v>DA61-15958A</v>
          </cell>
          <cell r="G7029" t="str">
            <v>FIXER HOUSING</v>
          </cell>
          <cell r="H7029" t="str">
            <v>INJ0504</v>
          </cell>
        </row>
        <row r="7030">
          <cell r="F7030" t="str">
            <v>DA63-12012A</v>
          </cell>
          <cell r="G7030" t="str">
            <v>COVER FIXER HOUSING</v>
          </cell>
          <cell r="H7030" t="str">
            <v>INJ0503</v>
          </cell>
        </row>
        <row r="7031">
          <cell r="F7031" t="str">
            <v>DA61-09066A</v>
          </cell>
          <cell r="G7031" t="str">
            <v>FIXER HOUSING</v>
          </cell>
          <cell r="H7031" t="str">
            <v>INJ0502</v>
          </cell>
        </row>
        <row r="7032">
          <cell r="F7032" t="str">
            <v>DA61-14820A</v>
          </cell>
          <cell r="G7032" t="str">
            <v>FIXER HOUSING</v>
          </cell>
          <cell r="H7032" t="str">
            <v>INJ0501</v>
          </cell>
        </row>
        <row r="7033">
          <cell r="F7033" t="str">
            <v>DA63-12082A</v>
          </cell>
          <cell r="G7033" t="str">
            <v>GROMMET</v>
          </cell>
          <cell r="H7033" t="str">
            <v>INJ0500</v>
          </cell>
        </row>
        <row r="7034">
          <cell r="F7034" t="str">
            <v>DA63-12081A</v>
          </cell>
          <cell r="G7034" t="str">
            <v>GROMMET</v>
          </cell>
          <cell r="H7034" t="str">
            <v>INJ0499</v>
          </cell>
        </row>
        <row r="7035">
          <cell r="F7035" t="str">
            <v>DC61-05721A</v>
          </cell>
          <cell r="G7035" t="str">
            <v>GUIDE WIRE</v>
          </cell>
          <cell r="H7035" t="str">
            <v>INJ0498</v>
          </cell>
        </row>
        <row r="7036">
          <cell r="F7036" t="str">
            <v>DC61-04879A</v>
          </cell>
          <cell r="G7036" t="str">
            <v>GUIDE WIRE</v>
          </cell>
          <cell r="H7036" t="str">
            <v>INJ0497</v>
          </cell>
        </row>
        <row r="7037">
          <cell r="F7037" t="str">
            <v>DA63-12122A</v>
          </cell>
          <cell r="G7037" t="str">
            <v>GROMMET HINGE R</v>
          </cell>
          <cell r="H7037" t="str">
            <v>INJ0496</v>
          </cell>
        </row>
        <row r="7038">
          <cell r="F7038" t="str">
            <v>DA63-12123A</v>
          </cell>
          <cell r="G7038" t="str">
            <v>GROMMET HINGE L</v>
          </cell>
          <cell r="H7038" t="str">
            <v>INJ0495</v>
          </cell>
        </row>
        <row r="7039">
          <cell r="F7039" t="str">
            <v>DA61-16060A(DA62-03171A)(NEW)</v>
          </cell>
          <cell r="G7039" t="str">
            <v>ASSY FIXER HOUSING-REF</v>
          </cell>
          <cell r="H7039" t="str">
            <v>INJ0494</v>
          </cell>
        </row>
        <row r="7040">
          <cell r="F7040" t="str">
            <v>DA61-15190B</v>
          </cell>
          <cell r="G7040" t="str">
            <v>FUSE HOLDER</v>
          </cell>
          <cell r="H7040" t="str">
            <v>INJ0492</v>
          </cell>
        </row>
        <row r="7041">
          <cell r="F7041" t="str">
            <v>DA61-15190A</v>
          </cell>
          <cell r="G7041" t="str">
            <v>FUSE HOLDER</v>
          </cell>
          <cell r="H7041" t="str">
            <v>INJ0491</v>
          </cell>
        </row>
        <row r="7042">
          <cell r="F7042" t="str">
            <v>DA61-16060A(DA62-03171A)</v>
          </cell>
          <cell r="G7042" t="str">
            <v>ASSY FIXER HOUSING-REF</v>
          </cell>
          <cell r="H7042" t="str">
            <v>INJ0490</v>
          </cell>
        </row>
        <row r="7043">
          <cell r="F7043" t="str">
            <v>DA61-15930A</v>
          </cell>
          <cell r="G7043" t="str">
            <v>CASE LAMP</v>
          </cell>
          <cell r="H7043" t="str">
            <v>INJ0489</v>
          </cell>
        </row>
        <row r="7044">
          <cell r="F7044" t="str">
            <v>DA61-16060A</v>
          </cell>
          <cell r="G7044" t="str">
            <v>FIXER HOUSING-REF</v>
          </cell>
          <cell r="H7044" t="str">
            <v>INJ0488</v>
          </cell>
        </row>
        <row r="7045">
          <cell r="F7045" t="str">
            <v>DA97-23185E</v>
          </cell>
          <cell r="G7045" t="str">
            <v>ASSY HOSE</v>
          </cell>
          <cell r="H7045" t="str">
            <v>INJ0487</v>
          </cell>
        </row>
        <row r="7046">
          <cell r="F7046" t="str">
            <v>DA61-14892B</v>
          </cell>
          <cell r="G7046" t="str">
            <v>GUIDE HOSE</v>
          </cell>
          <cell r="H7046" t="str">
            <v>INJ0486</v>
          </cell>
        </row>
        <row r="7047">
          <cell r="F7047" t="str">
            <v>DC61-05128A</v>
          </cell>
          <cell r="G7047" t="str">
            <v>GUIDE WIRE</v>
          </cell>
          <cell r="H7047" t="str">
            <v>INJ0485</v>
          </cell>
        </row>
        <row r="7048">
          <cell r="F7048" t="str">
            <v>DC61-05202A</v>
          </cell>
          <cell r="G7048" t="str">
            <v>GUIDE WIRE</v>
          </cell>
          <cell r="H7048" t="str">
            <v>INJ0484</v>
          </cell>
        </row>
        <row r="7049">
          <cell r="F7049" t="str">
            <v>DJ63-01962A</v>
          </cell>
          <cell r="G7049" t="str">
            <v>GASKET WIRE</v>
          </cell>
          <cell r="H7049" t="str">
            <v>INJ0483</v>
          </cell>
        </row>
        <row r="7050">
          <cell r="F7050" t="str">
            <v>DA61-14280B</v>
          </cell>
          <cell r="G7050" t="str">
            <v>SPRING ETC</v>
          </cell>
          <cell r="H7050" t="str">
            <v>INJ0482</v>
          </cell>
        </row>
        <row r="7051">
          <cell r="F7051" t="str">
            <v>DA61-03063B</v>
          </cell>
          <cell r="G7051" t="str">
            <v>SUPPROT WIRE</v>
          </cell>
          <cell r="H7051" t="str">
            <v>INJ0481</v>
          </cell>
        </row>
        <row r="7052">
          <cell r="F7052" t="str">
            <v>DA97-05970A</v>
          </cell>
          <cell r="G7052" t="str">
            <v>ASSY FIXER HOUSING</v>
          </cell>
          <cell r="H7052" t="str">
            <v>INJ0480</v>
          </cell>
        </row>
        <row r="7053">
          <cell r="F7053" t="str">
            <v>DA63-09803A</v>
          </cell>
          <cell r="G7053" t="str">
            <v>GROMMET WIRE REF</v>
          </cell>
          <cell r="H7053" t="str">
            <v>INJ0479</v>
          </cell>
        </row>
        <row r="7054">
          <cell r="F7054" t="str">
            <v>DA63-11940A</v>
          </cell>
          <cell r="G7054" t="str">
            <v>GROMMET HINGE UP</v>
          </cell>
          <cell r="H7054" t="str">
            <v>INJ0478</v>
          </cell>
        </row>
        <row r="7055">
          <cell r="F7055" t="str">
            <v>DA97-24366A</v>
          </cell>
          <cell r="G7055" t="str">
            <v>ASSY FIXER HOUSING</v>
          </cell>
          <cell r="H7055" t="str">
            <v>INJ0477</v>
          </cell>
        </row>
        <row r="7056">
          <cell r="F7056" t="str">
            <v>DA63-11988A</v>
          </cell>
          <cell r="G7056" t="str">
            <v>GROMMET</v>
          </cell>
          <cell r="H7056" t="str">
            <v>INJ0475</v>
          </cell>
        </row>
        <row r="7057">
          <cell r="F7057" t="str">
            <v>DA61-15760A</v>
          </cell>
          <cell r="G7057" t="str">
            <v>CASE HOUSING</v>
          </cell>
          <cell r="H7057" t="str">
            <v>INJ0474</v>
          </cell>
        </row>
        <row r="7058">
          <cell r="F7058" t="str">
            <v>DA63-11939A</v>
          </cell>
          <cell r="G7058" t="str">
            <v>GROMMET HINGE-UP</v>
          </cell>
          <cell r="H7058" t="str">
            <v>INJ0473</v>
          </cell>
        </row>
        <row r="7059">
          <cell r="F7059" t="str">
            <v>DA63-11938A</v>
          </cell>
          <cell r="G7059" t="str">
            <v>GROMMET HINGE-UP</v>
          </cell>
          <cell r="H7059" t="str">
            <v>INJ0472</v>
          </cell>
        </row>
        <row r="7060">
          <cell r="F7060" t="str">
            <v>DA61-15832A</v>
          </cell>
          <cell r="G7060" t="str">
            <v>ASSY FIXER HOUSING</v>
          </cell>
          <cell r="H7060" t="str">
            <v>INJ0471</v>
          </cell>
        </row>
        <row r="7061">
          <cell r="F7061" t="str">
            <v>DA61-06343A</v>
          </cell>
          <cell r="G7061" t="str">
            <v>TERMINAL MAGMATE</v>
          </cell>
          <cell r="H7061" t="str">
            <v>INJ0470</v>
          </cell>
        </row>
        <row r="7062">
          <cell r="F7062" t="str">
            <v>DA62-06044A</v>
          </cell>
          <cell r="G7062" t="str">
            <v>INSULATION COVER-BOTTOM</v>
          </cell>
          <cell r="H7062" t="str">
            <v>INJ0469</v>
          </cell>
        </row>
        <row r="7063">
          <cell r="F7063" t="str">
            <v>DA62-06041A</v>
          </cell>
          <cell r="G7063" t="str">
            <v>INSULATION COVER-TOP</v>
          </cell>
          <cell r="H7063" t="str">
            <v>INJ0468</v>
          </cell>
        </row>
        <row r="7064">
          <cell r="F7064" t="str">
            <v>DA62-06021A</v>
          </cell>
          <cell r="G7064" t="str">
            <v>SEAL</v>
          </cell>
          <cell r="H7064" t="str">
            <v>INJ0467</v>
          </cell>
        </row>
        <row r="7065">
          <cell r="F7065" t="str">
            <v>DA61-15604A</v>
          </cell>
          <cell r="G7065" t="str">
            <v>FIXER HOUSING-FRE</v>
          </cell>
          <cell r="H7065" t="str">
            <v>INJ0466</v>
          </cell>
        </row>
        <row r="7066">
          <cell r="F7066" t="str">
            <v>DA62-06003B</v>
          </cell>
          <cell r="G7066" t="str">
            <v>SEAL</v>
          </cell>
          <cell r="H7066" t="str">
            <v>INJ0465</v>
          </cell>
        </row>
        <row r="7067">
          <cell r="F7067" t="str">
            <v>DA62-06003A</v>
          </cell>
          <cell r="G7067" t="str">
            <v>SEAL</v>
          </cell>
          <cell r="H7067" t="str">
            <v>INJ0464</v>
          </cell>
        </row>
        <row r="7068">
          <cell r="F7068" t="str">
            <v>DA63-11827A</v>
          </cell>
          <cell r="G7068" t="str">
            <v>COVER FIXER</v>
          </cell>
          <cell r="H7068" t="str">
            <v>INJ0463</v>
          </cell>
        </row>
        <row r="7069">
          <cell r="F7069" t="str">
            <v>DA61-15559A</v>
          </cell>
          <cell r="G7069" t="str">
            <v>FIXER HOUSING-FRE</v>
          </cell>
          <cell r="H7069" t="str">
            <v>INJ0462</v>
          </cell>
        </row>
        <row r="7070">
          <cell r="F7070" t="str">
            <v>DA96-00065A</v>
          </cell>
          <cell r="G7070" t="str">
            <v>ASSY B/K HINGE</v>
          </cell>
          <cell r="H7070" t="str">
            <v>INJ0461</v>
          </cell>
        </row>
        <row r="7071">
          <cell r="F7071" t="str">
            <v>DA61-15323A</v>
          </cell>
          <cell r="G7071" t="str">
            <v>SUPPORT WIRE UP</v>
          </cell>
          <cell r="H7071" t="str">
            <v>INJ0460</v>
          </cell>
        </row>
        <row r="7072">
          <cell r="F7072" t="str">
            <v>DA61-15291A</v>
          </cell>
          <cell r="G7072" t="str">
            <v>FIXER HOUSING REF</v>
          </cell>
          <cell r="H7072" t="str">
            <v>INJ0459</v>
          </cell>
        </row>
        <row r="7073">
          <cell r="F7073" t="str">
            <v>DA62-05905A</v>
          </cell>
          <cell r="G7073" t="str">
            <v>W/V SEAL FIXER HOUSING</v>
          </cell>
          <cell r="H7073" t="str">
            <v>INJ0458</v>
          </cell>
        </row>
        <row r="7074">
          <cell r="F7074" t="str">
            <v>DA61-15306A</v>
          </cell>
          <cell r="G7074" t="str">
            <v>FIXER WIRE</v>
          </cell>
          <cell r="H7074" t="str">
            <v>INJ0457</v>
          </cell>
        </row>
        <row r="7075">
          <cell r="F7075" t="str">
            <v>DA61-15233A</v>
          </cell>
          <cell r="G7075" t="str">
            <v>CASE HEATER</v>
          </cell>
          <cell r="H7075" t="str">
            <v>INJ0456</v>
          </cell>
        </row>
        <row r="7076">
          <cell r="F7076" t="str">
            <v>DA97-23185A</v>
          </cell>
          <cell r="G7076" t="str">
            <v>ASSY HOSE</v>
          </cell>
          <cell r="H7076" t="str">
            <v>INJ0455</v>
          </cell>
        </row>
        <row r="7077">
          <cell r="F7077" t="str">
            <v>DA63-11621A</v>
          </cell>
          <cell r="G7077" t="str">
            <v>GROMMET HINGE-UP</v>
          </cell>
          <cell r="H7077" t="str">
            <v>INJ0453</v>
          </cell>
        </row>
        <row r="7078">
          <cell r="F7078" t="str">
            <v>DA61-15274A</v>
          </cell>
          <cell r="G7078" t="str">
            <v>FIXER CABLE</v>
          </cell>
          <cell r="H7078" t="str">
            <v>INJ0452</v>
          </cell>
        </row>
        <row r="7079">
          <cell r="F7079" t="str">
            <v>DA63-11195A</v>
          </cell>
          <cell r="G7079" t="str">
            <v>GROMMET WIRE</v>
          </cell>
          <cell r="H7079" t="str">
            <v>INJ0451</v>
          </cell>
        </row>
        <row r="7080">
          <cell r="F7080" t="str">
            <v>DA62-05775A</v>
          </cell>
          <cell r="G7080" t="str">
            <v>SEAL FIXER HOUSING FRE</v>
          </cell>
          <cell r="H7080" t="str">
            <v>INJ0450</v>
          </cell>
        </row>
        <row r="7081">
          <cell r="F7081" t="str">
            <v>DA61-14923A</v>
          </cell>
          <cell r="G7081" t="str">
            <v>FIXER HOUSING FRE</v>
          </cell>
          <cell r="H7081" t="str">
            <v>INJ0449</v>
          </cell>
        </row>
        <row r="7082">
          <cell r="F7082" t="str">
            <v>DA63-11468A</v>
          </cell>
          <cell r="G7082" t="str">
            <v>COVER FIXER HOUSING FRE</v>
          </cell>
          <cell r="H7082" t="str">
            <v>INJ0448</v>
          </cell>
        </row>
        <row r="7083">
          <cell r="F7083" t="str">
            <v>DC61-05057B</v>
          </cell>
          <cell r="G7083" t="str">
            <v>GUIDE WIRE B</v>
          </cell>
          <cell r="H7083" t="str">
            <v>INJ0447</v>
          </cell>
        </row>
        <row r="7084">
          <cell r="F7084" t="str">
            <v>DA61-15086A</v>
          </cell>
          <cell r="G7084" t="str">
            <v>CASE CONTROL-PANEL</v>
          </cell>
          <cell r="H7084" t="str">
            <v>INJ0446</v>
          </cell>
        </row>
        <row r="7085">
          <cell r="F7085" t="str">
            <v>DA61-15099A</v>
          </cell>
          <cell r="G7085" t="str">
            <v>SUPPORT DOOR IN</v>
          </cell>
          <cell r="H7085" t="str">
            <v>INJ0445</v>
          </cell>
        </row>
        <row r="7086">
          <cell r="F7086" t="str">
            <v>DA63-09170A</v>
          </cell>
          <cell r="G7086" t="str">
            <v>COVER FIXER HOUSING</v>
          </cell>
          <cell r="H7086" t="str">
            <v>INJ0444</v>
          </cell>
        </row>
        <row r="7087">
          <cell r="F7087" t="str">
            <v>DA97-18643B</v>
          </cell>
          <cell r="G7087" t="str">
            <v>ASSY FIXER</v>
          </cell>
          <cell r="H7087" t="str">
            <v>INJ0443</v>
          </cell>
        </row>
        <row r="7088">
          <cell r="F7088" t="str">
            <v>DC61-01895B</v>
          </cell>
          <cell r="G7088" t="str">
            <v>GUIDE WIRE</v>
          </cell>
          <cell r="H7088" t="str">
            <v>INJ0442</v>
          </cell>
        </row>
        <row r="7089">
          <cell r="F7089" t="str">
            <v>DA97-22743A</v>
          </cell>
          <cell r="G7089" t="str">
            <v>ASSY HOSE</v>
          </cell>
          <cell r="H7089" t="str">
            <v>INJ0441</v>
          </cell>
        </row>
        <row r="7090">
          <cell r="F7090" t="str">
            <v>DA61-14962A</v>
          </cell>
          <cell r="G7090" t="str">
            <v>CASE CONTROL PANEL</v>
          </cell>
          <cell r="H7090" t="str">
            <v>INJ0440</v>
          </cell>
        </row>
        <row r="7091">
          <cell r="F7091" t="str">
            <v>DA61-14954A</v>
          </cell>
          <cell r="G7091" t="str">
            <v>FIXER COVER REF</v>
          </cell>
          <cell r="H7091" t="str">
            <v>INJ0439</v>
          </cell>
        </row>
        <row r="7092">
          <cell r="F7092" t="str">
            <v>DA61-14971A</v>
          </cell>
          <cell r="G7092" t="str">
            <v>FIXER COVER REF</v>
          </cell>
          <cell r="H7092" t="str">
            <v>INJ0438</v>
          </cell>
        </row>
        <row r="7093">
          <cell r="F7093" t="str">
            <v>DA61-14975A</v>
          </cell>
          <cell r="G7093" t="str">
            <v>FIXER COVER REF</v>
          </cell>
          <cell r="H7093" t="str">
            <v>INJ0437</v>
          </cell>
        </row>
        <row r="7094">
          <cell r="F7094" t="str">
            <v>DA61-14939A</v>
          </cell>
          <cell r="G7094" t="str">
            <v>LED FIXER WIRE</v>
          </cell>
          <cell r="H7094" t="str">
            <v>INJ0435</v>
          </cell>
        </row>
        <row r="7095">
          <cell r="F7095" t="str">
            <v>DA61-14892A</v>
          </cell>
          <cell r="G7095" t="str">
            <v>GUIDE HOSE</v>
          </cell>
          <cell r="H7095" t="str">
            <v>INJ0434</v>
          </cell>
        </row>
        <row r="7096">
          <cell r="F7096" t="str">
            <v>DA61-14280A</v>
          </cell>
          <cell r="G7096" t="str">
            <v>SPRING ETC</v>
          </cell>
          <cell r="H7096" t="str">
            <v>INJ0433</v>
          </cell>
        </row>
        <row r="7097">
          <cell r="F7097" t="str">
            <v>DA61-14303A</v>
          </cell>
          <cell r="G7097" t="str">
            <v>FIXER HOSE</v>
          </cell>
          <cell r="H7097" t="str">
            <v>INJ0432</v>
          </cell>
        </row>
        <row r="7098">
          <cell r="F7098" t="str">
            <v>DA62-05319A</v>
          </cell>
          <cell r="G7098" t="str">
            <v>PIPE WATER LINE</v>
          </cell>
          <cell r="H7098" t="str">
            <v>INJ0431</v>
          </cell>
        </row>
        <row r="7099">
          <cell r="F7099" t="str">
            <v>6002-000213</v>
          </cell>
          <cell r="G7099" t="str">
            <v>SCREW-TAPPING</v>
          </cell>
          <cell r="H7099" t="str">
            <v>INJ0430</v>
          </cell>
        </row>
        <row r="7100">
          <cell r="F7100" t="str">
            <v>DA61-14853A</v>
          </cell>
          <cell r="G7100" t="str">
            <v>CASE PANEL</v>
          </cell>
          <cell r="H7100" t="str">
            <v>INJ0428</v>
          </cell>
        </row>
        <row r="7101">
          <cell r="F7101" t="str">
            <v>DA63-11431A</v>
          </cell>
          <cell r="G7101" t="str">
            <v>GROMMET CAP DOOR</v>
          </cell>
          <cell r="H7101" t="str">
            <v>INJ0427</v>
          </cell>
        </row>
        <row r="7102">
          <cell r="F7102" t="str">
            <v>LS1STL010A (3.0)</v>
          </cell>
          <cell r="G7102" t="str">
            <v>SEAL PIPE (3.0)</v>
          </cell>
          <cell r="H7102" t="str">
            <v>INJ0426</v>
          </cell>
        </row>
        <row r="7103">
          <cell r="F7103" t="str">
            <v>LS1STL010A (2.5)</v>
          </cell>
          <cell r="G7103" t="str">
            <v>SEAL PIPE (2.5)</v>
          </cell>
          <cell r="H7103" t="str">
            <v>INJ0425</v>
          </cell>
        </row>
        <row r="7104">
          <cell r="F7104" t="str">
            <v>DA61-14677A(DA62-05690A)</v>
          </cell>
          <cell r="G7104" t="str">
            <v>FIXER HOUSING-REF RIGHT</v>
          </cell>
          <cell r="H7104" t="str">
            <v>INJ0424</v>
          </cell>
        </row>
        <row r="7105">
          <cell r="F7105" t="str">
            <v>DA61-14477A(DA62-05618A)</v>
          </cell>
          <cell r="G7105" t="str">
            <v>FIXER SPI</v>
          </cell>
          <cell r="H7105" t="str">
            <v>INJ0423</v>
          </cell>
        </row>
        <row r="7106">
          <cell r="F7106" t="str">
            <v>DA61-14522A(DA72-60405Y)</v>
          </cell>
          <cell r="G7106" t="str">
            <v>FIXER HOUSING REF</v>
          </cell>
          <cell r="H7106" t="str">
            <v>INJ0422</v>
          </cell>
        </row>
        <row r="7107">
          <cell r="F7107" t="str">
            <v>COVER CARE-6P</v>
          </cell>
          <cell r="G7107" t="str">
            <v>COVER HOUSING JIG</v>
          </cell>
          <cell r="H7107" t="str">
            <v>INJ0421</v>
          </cell>
        </row>
        <row r="7108">
          <cell r="F7108" t="str">
            <v>COVER CARE-4P</v>
          </cell>
          <cell r="G7108" t="str">
            <v>COVER HOUSING JIG</v>
          </cell>
          <cell r="H7108" t="str">
            <v>INJ0420</v>
          </cell>
        </row>
        <row r="7109">
          <cell r="F7109" t="str">
            <v>DA61-14677A</v>
          </cell>
          <cell r="G7109" t="str">
            <v>FIXER HOUSING-REF RIGHT</v>
          </cell>
          <cell r="H7109" t="str">
            <v>INJ0419</v>
          </cell>
        </row>
        <row r="7110">
          <cell r="F7110" t="str">
            <v>DA61-14487A</v>
          </cell>
          <cell r="G7110" t="str">
            <v>GUIDE HOSE</v>
          </cell>
          <cell r="H7110" t="str">
            <v>INJ0418</v>
          </cell>
        </row>
        <row r="7111">
          <cell r="F7111" t="str">
            <v>DA63-09636A</v>
          </cell>
          <cell r="G7111" t="str">
            <v>GROMMET-HINGE UPP RIGHT</v>
          </cell>
          <cell r="H7111" t="str">
            <v>INJ0417</v>
          </cell>
        </row>
        <row r="7112">
          <cell r="F7112" t="str">
            <v>DA97-22252A</v>
          </cell>
          <cell r="G7112" t="str">
            <v>ASSY FIXER HOUSING-FRE</v>
          </cell>
          <cell r="H7112" t="str">
            <v>INJ0416</v>
          </cell>
        </row>
        <row r="7113">
          <cell r="F7113" t="str">
            <v>DA61-02367B</v>
          </cell>
          <cell r="G7113" t="str">
            <v>FIXER HOUSING V</v>
          </cell>
          <cell r="H7113" t="str">
            <v>INJ0415</v>
          </cell>
        </row>
        <row r="7114">
          <cell r="F7114" t="str">
            <v>WG34-00012A</v>
          </cell>
          <cell r="G7114" t="str">
            <v>CASE LED LAMP - SEAL</v>
          </cell>
          <cell r="H7114" t="str">
            <v>INJ0414</v>
          </cell>
        </row>
        <row r="7115">
          <cell r="F7115" t="str">
            <v>WG11-00034A</v>
          </cell>
          <cell r="G7115" t="str">
            <v>CASE LED LAMP</v>
          </cell>
          <cell r="H7115" t="str">
            <v>INJ0413</v>
          </cell>
        </row>
        <row r="7116">
          <cell r="F7116" t="str">
            <v>WG11-00034A(WG34-00012A)</v>
          </cell>
          <cell r="G7116" t="str">
            <v>ASSY CASE LED LAMP</v>
          </cell>
          <cell r="H7116" t="str">
            <v>INJ0412</v>
          </cell>
        </row>
        <row r="7117">
          <cell r="F7117" t="str">
            <v>DA61-02367B(WG34-00013A)</v>
          </cell>
          <cell r="G7117" t="str">
            <v>ASSY FIXER HOUSING V</v>
          </cell>
          <cell r="H7117" t="str">
            <v>INJ0411</v>
          </cell>
        </row>
        <row r="7118">
          <cell r="F7118" t="str">
            <v>WG34-00013A</v>
          </cell>
          <cell r="G7118" t="str">
            <v>SEAL</v>
          </cell>
          <cell r="H7118" t="str">
            <v>INJ0410</v>
          </cell>
        </row>
        <row r="7119">
          <cell r="F7119" t="str">
            <v>AR01-2020004</v>
          </cell>
          <cell r="G7119" t="str">
            <v>GROMMET</v>
          </cell>
          <cell r="H7119" t="str">
            <v>INJ0409</v>
          </cell>
        </row>
        <row r="7120">
          <cell r="F7120" t="str">
            <v>AR01-3020002</v>
          </cell>
          <cell r="G7120" t="str">
            <v>GROMMET</v>
          </cell>
          <cell r="H7120" t="str">
            <v>INJ0408</v>
          </cell>
        </row>
        <row r="7121">
          <cell r="F7121" t="str">
            <v>DC63-02681B</v>
          </cell>
          <cell r="G7121" t="str">
            <v>COVER WIRE</v>
          </cell>
          <cell r="H7121" t="str">
            <v>INJ0407</v>
          </cell>
        </row>
        <row r="7122">
          <cell r="F7122" t="str">
            <v>DA63-11234A</v>
          </cell>
          <cell r="G7122" t="str">
            <v>GROMMET</v>
          </cell>
          <cell r="H7122" t="str">
            <v>INJ0406</v>
          </cell>
        </row>
        <row r="7123">
          <cell r="F7123" t="str">
            <v>DA61-14522A</v>
          </cell>
          <cell r="G7123" t="str">
            <v>FIXER HOUSING REF</v>
          </cell>
          <cell r="H7123" t="str">
            <v>INJ0405</v>
          </cell>
        </row>
        <row r="7124">
          <cell r="F7124" t="str">
            <v>DA61-14477A</v>
          </cell>
          <cell r="G7124" t="str">
            <v>FIXER SPI</v>
          </cell>
          <cell r="H7124" t="str">
            <v>INJ0404</v>
          </cell>
        </row>
        <row r="7125">
          <cell r="F7125" t="str">
            <v>DA61-14483A</v>
          </cell>
          <cell r="G7125" t="str">
            <v>CASE HEATER</v>
          </cell>
          <cell r="H7125" t="str">
            <v>INJ0403</v>
          </cell>
        </row>
        <row r="7126">
          <cell r="F7126" t="str">
            <v>DC63-02676A</v>
          </cell>
          <cell r="G7126" t="str">
            <v>COVER WIRE</v>
          </cell>
          <cell r="H7126" t="str">
            <v>INJ0402</v>
          </cell>
        </row>
        <row r="7127">
          <cell r="F7127" t="str">
            <v>DC61-05181A</v>
          </cell>
          <cell r="G7127" t="str">
            <v>GUIDE WIRE</v>
          </cell>
          <cell r="H7127" t="str">
            <v>INJ0401</v>
          </cell>
        </row>
        <row r="7128">
          <cell r="F7128" t="str">
            <v>DC61-05180A</v>
          </cell>
          <cell r="G7128" t="str">
            <v>GUIDE WIRE</v>
          </cell>
          <cell r="H7128" t="str">
            <v>INJ0400</v>
          </cell>
        </row>
        <row r="7129">
          <cell r="F7129" t="str">
            <v>DC61-04800A</v>
          </cell>
          <cell r="G7129" t="str">
            <v>FIXER WIRE</v>
          </cell>
          <cell r="H7129" t="str">
            <v>INJ0399</v>
          </cell>
        </row>
        <row r="7130">
          <cell r="F7130" t="str">
            <v>DA63-09896A</v>
          </cell>
          <cell r="G7130" t="str">
            <v>GROMMET</v>
          </cell>
          <cell r="H7130" t="str">
            <v>INJ0398</v>
          </cell>
        </row>
        <row r="7131">
          <cell r="F7131" t="str">
            <v>DA63-09895A</v>
          </cell>
          <cell r="G7131" t="str">
            <v>GROMMET</v>
          </cell>
          <cell r="H7131" t="str">
            <v>INJ0397</v>
          </cell>
        </row>
        <row r="7132">
          <cell r="F7132" t="str">
            <v>DA63-09364A</v>
          </cell>
          <cell r="G7132" t="str">
            <v>GROMMET</v>
          </cell>
          <cell r="H7132" t="str">
            <v>INJ0396</v>
          </cell>
        </row>
        <row r="7133">
          <cell r="F7133" t="str">
            <v>DA61-14237A</v>
          </cell>
          <cell r="G7133" t="str">
            <v>FIXER WIRE</v>
          </cell>
          <cell r="H7133" t="str">
            <v>INJ0395</v>
          </cell>
        </row>
        <row r="7134">
          <cell r="F7134" t="str">
            <v>0-0828904-1</v>
          </cell>
          <cell r="G7134" t="str">
            <v>RUBBER CAP</v>
          </cell>
          <cell r="H7134" t="str">
            <v>INJ0393</v>
          </cell>
        </row>
        <row r="7135">
          <cell r="F7135">
            <v>7731146</v>
          </cell>
          <cell r="G7135" t="str">
            <v>RING</v>
          </cell>
          <cell r="H7135" t="str">
            <v>INJ0392</v>
          </cell>
        </row>
        <row r="7136">
          <cell r="F7136" t="str">
            <v>MG680760</v>
          </cell>
          <cell r="G7136" t="str">
            <v>GROMMET OUTER</v>
          </cell>
          <cell r="H7136" t="str">
            <v>INJ0391</v>
          </cell>
        </row>
        <row r="7137">
          <cell r="F7137" t="str">
            <v>MG670764</v>
          </cell>
          <cell r="G7137" t="str">
            <v>GROMMET INNER</v>
          </cell>
          <cell r="H7137" t="str">
            <v>INJ0390</v>
          </cell>
        </row>
        <row r="7138">
          <cell r="F7138" t="str">
            <v>DC63-02569A</v>
          </cell>
          <cell r="G7138" t="str">
            <v>COVER WIRE</v>
          </cell>
          <cell r="H7138" t="str">
            <v>INJ0389</v>
          </cell>
        </row>
        <row r="7139">
          <cell r="F7139" t="str">
            <v>DC61-04935A</v>
          </cell>
          <cell r="G7139" t="str">
            <v>ASSY FIXER-FRE</v>
          </cell>
          <cell r="H7139" t="str">
            <v>INJ0388</v>
          </cell>
        </row>
        <row r="7140">
          <cell r="F7140" t="str">
            <v>DC61-04870B</v>
          </cell>
          <cell r="G7140" t="str">
            <v>GUIDE WIRE</v>
          </cell>
          <cell r="H7140" t="str">
            <v>INJ0387</v>
          </cell>
        </row>
        <row r="7141">
          <cell r="F7141" t="str">
            <v>DA61-09784B</v>
          </cell>
          <cell r="G7141" t="str">
            <v>FIXER CABLE</v>
          </cell>
          <cell r="H7141" t="str">
            <v>INJ0386</v>
          </cell>
        </row>
        <row r="7142">
          <cell r="F7142" t="str">
            <v>DA63-09755A</v>
          </cell>
          <cell r="G7142" t="str">
            <v>COVER FIXER HOUSING</v>
          </cell>
          <cell r="H7142" t="str">
            <v>INJ0385</v>
          </cell>
        </row>
        <row r="7143">
          <cell r="F7143" t="str">
            <v>DA61-13899A</v>
          </cell>
          <cell r="G7143" t="str">
            <v>FIXER HOUSING</v>
          </cell>
          <cell r="H7143" t="str">
            <v>INJ0384</v>
          </cell>
        </row>
        <row r="7144">
          <cell r="F7144" t="str">
            <v>DC61-04870A</v>
          </cell>
          <cell r="G7144" t="str">
            <v>GUIDE WIRE</v>
          </cell>
          <cell r="H7144" t="str">
            <v>INJ0383</v>
          </cell>
        </row>
        <row r="7145">
          <cell r="F7145" t="str">
            <v>DA63-09583A</v>
          </cell>
          <cell r="G7145" t="str">
            <v>GROMMET WIRE</v>
          </cell>
          <cell r="H7145" t="str">
            <v>INJ0382</v>
          </cell>
        </row>
        <row r="7146">
          <cell r="F7146" t="str">
            <v>DA61-07130A</v>
          </cell>
          <cell r="G7146" t="str">
            <v>FIXER SUCTION</v>
          </cell>
          <cell r="H7146" t="str">
            <v>INJ0381</v>
          </cell>
        </row>
        <row r="7147">
          <cell r="F7147" t="str">
            <v>DA61-13524A</v>
          </cell>
          <cell r="G7147" t="str">
            <v>CASE LAMP-REF</v>
          </cell>
          <cell r="H7147" t="str">
            <v>INJ0380</v>
          </cell>
        </row>
        <row r="7148">
          <cell r="F7148" t="str">
            <v>SP-506A+IS-15 H05VV-F 3X1.0mm2 5.9M CT-12(Black)</v>
          </cell>
          <cell r="G7148" t="str">
            <v>POWER CODE</v>
          </cell>
          <cell r="H7148" t="str">
            <v>INJ0379</v>
          </cell>
        </row>
        <row r="7149">
          <cell r="F7149" t="str">
            <v>DA61-13264A</v>
          </cell>
          <cell r="G7149" t="str">
            <v>CASE SENSOR</v>
          </cell>
          <cell r="H7149" t="str">
            <v>INJ0378</v>
          </cell>
        </row>
        <row r="7150">
          <cell r="F7150" t="str">
            <v>DA61-13485A</v>
          </cell>
          <cell r="G7150" t="str">
            <v>FIXER WIRE</v>
          </cell>
          <cell r="H7150" t="str">
            <v>INJ0377</v>
          </cell>
        </row>
        <row r="7151">
          <cell r="F7151" t="str">
            <v>DA67-03716A</v>
          </cell>
          <cell r="G7151" t="str">
            <v>CAP DISPENSER-OUT</v>
          </cell>
          <cell r="H7151" t="str">
            <v>INJ0376</v>
          </cell>
        </row>
        <row r="7152">
          <cell r="F7152" t="str">
            <v>DA61-07960A</v>
          </cell>
          <cell r="G7152" t="str">
            <v>FIXER WIRE</v>
          </cell>
          <cell r="H7152" t="str">
            <v>INJ0375</v>
          </cell>
        </row>
        <row r="7153">
          <cell r="F7153" t="str">
            <v>DC61-04449C</v>
          </cell>
          <cell r="G7153" t="str">
            <v>GUIDE WIRE</v>
          </cell>
          <cell r="H7153" t="str">
            <v>INJ0374</v>
          </cell>
        </row>
        <row r="7154">
          <cell r="F7154" t="str">
            <v>DA62-02496B</v>
          </cell>
          <cell r="G7154" t="str">
            <v>SEAL CASE LED</v>
          </cell>
          <cell r="H7154" t="str">
            <v>INJ0373</v>
          </cell>
        </row>
        <row r="7155">
          <cell r="F7155" t="str">
            <v>DA97-19519A</v>
          </cell>
          <cell r="G7155" t="str">
            <v>ASSY FIXER</v>
          </cell>
          <cell r="H7155" t="str">
            <v>INJ0371</v>
          </cell>
        </row>
        <row r="7156">
          <cell r="F7156" t="str">
            <v>DA63-09377A</v>
          </cell>
          <cell r="G7156" t="str">
            <v>FIXER COVER HOUSING</v>
          </cell>
          <cell r="H7156" t="str">
            <v>INJ0370</v>
          </cell>
        </row>
        <row r="7157">
          <cell r="F7157" t="str">
            <v>DA61-13057A</v>
          </cell>
          <cell r="G7157" t="str">
            <v>FIXER HOUSING</v>
          </cell>
          <cell r="H7157" t="str">
            <v>INJ0369</v>
          </cell>
        </row>
        <row r="7158">
          <cell r="F7158" t="str">
            <v>DA61-13085A</v>
          </cell>
          <cell r="G7158" t="str">
            <v>FIXER WIRE</v>
          </cell>
          <cell r="H7158" t="str">
            <v>INJ0368</v>
          </cell>
        </row>
        <row r="7159">
          <cell r="F7159" t="str">
            <v>DA61-13056A</v>
          </cell>
          <cell r="G7159" t="str">
            <v>SUPPORT WIRE UP</v>
          </cell>
          <cell r="H7159" t="str">
            <v>INJ0367</v>
          </cell>
        </row>
        <row r="7160">
          <cell r="F7160" t="str">
            <v>DA63-08007A</v>
          </cell>
          <cell r="G7160" t="str">
            <v>GROMMET GASKET WIRE</v>
          </cell>
          <cell r="H7160" t="str">
            <v>INJ0366</v>
          </cell>
        </row>
        <row r="7161">
          <cell r="F7161" t="str">
            <v>DA61-12838A</v>
          </cell>
          <cell r="G7161" t="str">
            <v>BRACKET DOOR-LEFT</v>
          </cell>
          <cell r="H7161" t="str">
            <v>INJ0365</v>
          </cell>
        </row>
        <row r="7162">
          <cell r="F7162" t="str">
            <v>DA63-01907A</v>
          </cell>
          <cell r="G7162" t="str">
            <v>GROMMET-WATER LINE</v>
          </cell>
          <cell r="H7162" t="str">
            <v>INJ0364</v>
          </cell>
        </row>
        <row r="7163">
          <cell r="F7163" t="str">
            <v>DA63-01467A</v>
          </cell>
          <cell r="G7163" t="str">
            <v>GROMMET-HINGE UPP</v>
          </cell>
          <cell r="H7163" t="str">
            <v>INJ0363</v>
          </cell>
        </row>
        <row r="7164">
          <cell r="F7164" t="str">
            <v>DDE 30114-0113200</v>
          </cell>
          <cell r="G7164" t="str">
            <v>COVER HOUSING I/MAKER A2 AS</v>
          </cell>
          <cell r="H7164" t="str">
            <v>INJ0362</v>
          </cell>
        </row>
        <row r="7165">
          <cell r="F7165" t="str">
            <v>DC61-03268B</v>
          </cell>
          <cell r="G7165" t="str">
            <v>HOLDER-HOSE</v>
          </cell>
          <cell r="H7165" t="str">
            <v>INJ0361</v>
          </cell>
        </row>
        <row r="7166">
          <cell r="F7166" t="str">
            <v>DC61-01985B</v>
          </cell>
          <cell r="G7166" t="str">
            <v>GUIDE-WIRE</v>
          </cell>
          <cell r="H7166" t="str">
            <v>INJ0360</v>
          </cell>
        </row>
        <row r="7167">
          <cell r="F7167" t="str">
            <v>DC61-04449A</v>
          </cell>
          <cell r="G7167" t="str">
            <v>GUIDE-WIRE</v>
          </cell>
          <cell r="H7167" t="str">
            <v>INJ0359</v>
          </cell>
        </row>
        <row r="7168">
          <cell r="F7168" t="str">
            <v>DC61-04508A</v>
          </cell>
          <cell r="G7168" t="str">
            <v>GUIDE-WIRE</v>
          </cell>
          <cell r="H7168" t="str">
            <v>INJ0358</v>
          </cell>
        </row>
        <row r="7169">
          <cell r="F7169" t="str">
            <v>DDE 3010707700</v>
          </cell>
          <cell r="G7169" t="str">
            <v>BUSHING F DR *T</v>
          </cell>
          <cell r="H7169" t="str">
            <v>INJ0357</v>
          </cell>
        </row>
        <row r="7170">
          <cell r="F7170" t="str">
            <v>DA61-07609A(11766A )</v>
          </cell>
          <cell r="G7170" t="str">
            <v>ASSY FIXER HOUSING SPI-2</v>
          </cell>
          <cell r="H7170" t="str">
            <v>INJ0355</v>
          </cell>
        </row>
        <row r="7171">
          <cell r="F7171" t="str">
            <v>01500322H</v>
          </cell>
          <cell r="G7171" t="str">
            <v>FUSE HOLDER</v>
          </cell>
          <cell r="H7171" t="str">
            <v>INJ0353</v>
          </cell>
        </row>
        <row r="7172">
          <cell r="F7172" t="str">
            <v>DA62-02496A-1(8589 SEAL)</v>
          </cell>
          <cell r="G7172" t="str">
            <v>SEAL FIXER CASE LED SIDE</v>
          </cell>
          <cell r="H7172" t="str">
            <v>INJ0352</v>
          </cell>
        </row>
        <row r="7173">
          <cell r="F7173" t="str">
            <v>DA61-05913A(8589 )</v>
          </cell>
          <cell r="G7173" t="str">
            <v>FIXER CASE LED SIDE</v>
          </cell>
          <cell r="H7173" t="str">
            <v>INJ0351</v>
          </cell>
        </row>
        <row r="7174">
          <cell r="F7174" t="str">
            <v>DA97-17313A</v>
          </cell>
          <cell r="G7174" t="str">
            <v>ASSY CABI FRAME-UP FRONT</v>
          </cell>
          <cell r="H7174" t="str">
            <v>INJ0350</v>
          </cell>
        </row>
        <row r="7175">
          <cell r="F7175" t="str">
            <v>DA61-12195A</v>
          </cell>
          <cell r="G7175" t="str">
            <v>FIXER CASE PBA</v>
          </cell>
          <cell r="H7175" t="str">
            <v>INJ0349</v>
          </cell>
        </row>
        <row r="7176">
          <cell r="F7176" t="str">
            <v>DA63-08800A</v>
          </cell>
          <cell r="G7176" t="str">
            <v>COVER FIXER-HOUSING ICE</v>
          </cell>
          <cell r="H7176" t="str">
            <v>INJ0348</v>
          </cell>
        </row>
        <row r="7177">
          <cell r="F7177" t="str">
            <v>DA97-17423A</v>
          </cell>
          <cell r="G7177" t="str">
            <v>ASSY FIXER-HOUSING ICE</v>
          </cell>
          <cell r="H7177" t="str">
            <v>INJ0347</v>
          </cell>
        </row>
        <row r="7178">
          <cell r="F7178" t="str">
            <v>DA97-17360A</v>
          </cell>
          <cell r="G7178" t="str">
            <v>ASSYFIXER-FRE</v>
          </cell>
          <cell r="H7178" t="str">
            <v>INJ0346</v>
          </cell>
        </row>
        <row r="7179">
          <cell r="F7179" t="str">
            <v>DA61-11377A</v>
          </cell>
          <cell r="G7179" t="str">
            <v>CASE LAMP</v>
          </cell>
          <cell r="H7179" t="str">
            <v>INJ0345</v>
          </cell>
        </row>
        <row r="7180">
          <cell r="F7180" t="str">
            <v>DA97-17126A</v>
          </cell>
          <cell r="G7180" t="str">
            <v>ASSY CASE LED</v>
          </cell>
          <cell r="H7180" t="str">
            <v>INJ0344</v>
          </cell>
        </row>
        <row r="7181">
          <cell r="F7181" t="str">
            <v>DA97-17127A</v>
          </cell>
          <cell r="G7181" t="str">
            <v>ASSY CASE LED</v>
          </cell>
          <cell r="H7181" t="str">
            <v>INJ0343</v>
          </cell>
        </row>
        <row r="7182">
          <cell r="F7182" t="str">
            <v>30107-0004600</v>
          </cell>
          <cell r="G7182" t="str">
            <v>BUSHING H*T</v>
          </cell>
          <cell r="H7182" t="str">
            <v>INJ0342</v>
          </cell>
        </row>
        <row r="7183">
          <cell r="F7183" t="str">
            <v>SR36-4101504</v>
          </cell>
          <cell r="G7183" t="str">
            <v>RUBBER BUSH</v>
          </cell>
          <cell r="H7183" t="str">
            <v>INJ0341</v>
          </cell>
        </row>
        <row r="7184">
          <cell r="F7184" t="str">
            <v>SR36-4101502</v>
          </cell>
          <cell r="G7184" t="str">
            <v>FRZ. UPPER PROFILE BUSH</v>
          </cell>
          <cell r="H7184" t="str">
            <v>INJ0340</v>
          </cell>
        </row>
        <row r="7185">
          <cell r="F7185" t="str">
            <v>SR36-4101503</v>
          </cell>
          <cell r="G7185" t="str">
            <v>DISPENSER BUSH</v>
          </cell>
          <cell r="H7185" t="str">
            <v>INJ0339</v>
          </cell>
        </row>
        <row r="7186">
          <cell r="F7186" t="str">
            <v>DA63-08528A</v>
          </cell>
          <cell r="G7186" t="str">
            <v>GROMET CASE HOMEBAR</v>
          </cell>
          <cell r="H7186" t="str">
            <v>INJ0338</v>
          </cell>
        </row>
        <row r="7187">
          <cell r="F7187" t="str">
            <v>DA63-08081A</v>
          </cell>
          <cell r="G7187" t="str">
            <v>GROMET WIRE</v>
          </cell>
          <cell r="H7187" t="str">
            <v>INJ0336</v>
          </cell>
        </row>
        <row r="7188">
          <cell r="F7188">
            <v>3010707600</v>
          </cell>
          <cell r="G7188" t="str">
            <v>BUSHING F DR HRNS</v>
          </cell>
          <cell r="H7188" t="str">
            <v>INJ0335</v>
          </cell>
        </row>
        <row r="7189">
          <cell r="F7189">
            <v>3010704900</v>
          </cell>
          <cell r="G7189" t="str">
            <v>BUSHING</v>
          </cell>
          <cell r="H7189" t="str">
            <v>INJ0334</v>
          </cell>
        </row>
        <row r="7190">
          <cell r="F7190" t="str">
            <v>3X18X9X9</v>
          </cell>
          <cell r="G7190" t="str">
            <v>CODE BUSH</v>
          </cell>
          <cell r="H7190" t="str">
            <v>INJ0333</v>
          </cell>
        </row>
        <row r="7191">
          <cell r="F7191" t="str">
            <v>DA97-01934A</v>
          </cell>
          <cell r="G7191" t="str">
            <v>ASSY FIXER HOUSING</v>
          </cell>
          <cell r="H7191" t="str">
            <v>INJ0332</v>
          </cell>
        </row>
        <row r="7192">
          <cell r="F7192">
            <v>3010704910</v>
          </cell>
          <cell r="G7192" t="str">
            <v>BUSHING HIT</v>
          </cell>
          <cell r="H7192" t="str">
            <v>INJ0330</v>
          </cell>
        </row>
        <row r="7193">
          <cell r="F7193" t="str">
            <v>DDE 3010700310</v>
          </cell>
          <cell r="G7193" t="str">
            <v>BUSHING CAP T</v>
          </cell>
          <cell r="H7193" t="str">
            <v>INJ0329</v>
          </cell>
        </row>
        <row r="7194">
          <cell r="F7194" t="str">
            <v>DEM3-00391(3X15X20 GRY)</v>
          </cell>
          <cell r="G7194" t="str">
            <v>FIXER WIRE</v>
          </cell>
          <cell r="H7194" t="str">
            <v>INJ0328</v>
          </cell>
        </row>
        <row r="7195">
          <cell r="F7195" t="str">
            <v>DA61-11033A(5T SPONGE DA62-02496A)</v>
          </cell>
          <cell r="G7195" t="str">
            <v>CASE LAMP-LED</v>
          </cell>
          <cell r="H7195" t="str">
            <v>INJ0327</v>
          </cell>
        </row>
        <row r="7196">
          <cell r="F7196" t="str">
            <v>DA61-11033A</v>
          </cell>
          <cell r="G7196" t="str">
            <v>CASE LAMP-LED</v>
          </cell>
          <cell r="H7196" t="str">
            <v>INJ0326</v>
          </cell>
        </row>
        <row r="7197">
          <cell r="F7197">
            <v>3010706000</v>
          </cell>
          <cell r="G7197" t="str">
            <v>BUSHING DR*T</v>
          </cell>
          <cell r="H7197" t="str">
            <v>INJ0325</v>
          </cell>
        </row>
        <row r="7198">
          <cell r="F7198" t="str">
            <v>DDE 3011400779</v>
          </cell>
          <cell r="G7198" t="str">
            <v>COVER DR S/W</v>
          </cell>
          <cell r="H7198" t="str">
            <v>INJ0324</v>
          </cell>
        </row>
        <row r="7199">
          <cell r="F7199" t="str">
            <v>DA61-10773A(16140A )</v>
          </cell>
          <cell r="G7199" t="str">
            <v>CASE LAMP REF</v>
          </cell>
          <cell r="H7199" t="str">
            <v>INJ0322</v>
          </cell>
        </row>
        <row r="7200">
          <cell r="F7200" t="str">
            <v>DC61-03103A</v>
          </cell>
          <cell r="G7200" t="str">
            <v>GUIDE WIRE-B</v>
          </cell>
          <cell r="H7200" t="str">
            <v>INJ0320</v>
          </cell>
        </row>
        <row r="7201">
          <cell r="F7201" t="str">
            <v>DC61-03102A</v>
          </cell>
          <cell r="G7201" t="str">
            <v>GUIDE WIRE-F</v>
          </cell>
          <cell r="H7201" t="str">
            <v>INJ0319</v>
          </cell>
        </row>
        <row r="7202">
          <cell r="F7202" t="str">
            <v>DA63-07921A</v>
          </cell>
          <cell r="G7202" t="str">
            <v>GROMMET HINGE</v>
          </cell>
          <cell r="H7202" t="str">
            <v>INJ0318</v>
          </cell>
        </row>
        <row r="7203">
          <cell r="F7203" t="str">
            <v>DA61-10794A</v>
          </cell>
          <cell r="G7203" t="str">
            <v>FIXER WIRE</v>
          </cell>
          <cell r="H7203" t="str">
            <v>INJ0317</v>
          </cell>
        </row>
        <row r="7204">
          <cell r="F7204" t="str">
            <v>DA97-16140A</v>
          </cell>
          <cell r="G7204" t="str">
            <v>CASE LAMP-REF</v>
          </cell>
          <cell r="H7204" t="str">
            <v>INJ0316</v>
          </cell>
        </row>
        <row r="7205">
          <cell r="F7205" t="str">
            <v>DEM3-00391(3X30X20 WHT)</v>
          </cell>
          <cell r="G7205" t="str">
            <v>FIXER WIRE</v>
          </cell>
          <cell r="H7205" t="str">
            <v>INJ0315</v>
          </cell>
        </row>
        <row r="7206">
          <cell r="F7206" t="str">
            <v>DC61-02197A</v>
          </cell>
          <cell r="G7206" t="str">
            <v>GUIDE-HINGE</v>
          </cell>
          <cell r="H7206" t="str">
            <v>INJ0313</v>
          </cell>
        </row>
        <row r="7207">
          <cell r="F7207" t="str">
            <v>DC61-02372A</v>
          </cell>
          <cell r="G7207" t="str">
            <v>GUIDE WIRE</v>
          </cell>
          <cell r="H7207" t="str">
            <v>INJ0312</v>
          </cell>
        </row>
        <row r="7208">
          <cell r="F7208" t="str">
            <v>DC61-03247A</v>
          </cell>
          <cell r="G7208" t="str">
            <v>GUIDE WIRE</v>
          </cell>
          <cell r="H7208" t="str">
            <v>INJ0311</v>
          </cell>
        </row>
        <row r="7209">
          <cell r="F7209" t="str">
            <v>DC61-02077A</v>
          </cell>
          <cell r="G7209" t="str">
            <v>GUIDE WIRE</v>
          </cell>
          <cell r="H7209" t="str">
            <v>INJ0310</v>
          </cell>
        </row>
        <row r="7210">
          <cell r="F7210" t="str">
            <v>WD113270</v>
          </cell>
          <cell r="G7210" t="str">
            <v>GROMMET</v>
          </cell>
          <cell r="H7210" t="str">
            <v>INJ0308</v>
          </cell>
        </row>
        <row r="7211">
          <cell r="F7211" t="str">
            <v>DA97-08775A(BUSIC)</v>
          </cell>
          <cell r="G7211" t="str">
            <v>ASSY FIXER HOUSING LED</v>
          </cell>
          <cell r="H7211" t="str">
            <v>INJ0304</v>
          </cell>
        </row>
        <row r="7212">
          <cell r="F7212" t="str">
            <v>DC63-00927A</v>
          </cell>
          <cell r="G7212" t="str">
            <v>COVER HEATER</v>
          </cell>
          <cell r="H7212" t="str">
            <v>INJ0303</v>
          </cell>
        </row>
        <row r="7213">
          <cell r="F7213" t="str">
            <v>DC61-02143A</v>
          </cell>
          <cell r="G7213" t="str">
            <v>GUIDE WIRE</v>
          </cell>
          <cell r="H7213" t="str">
            <v>INJ0302</v>
          </cell>
        </row>
        <row r="7214">
          <cell r="F7214" t="str">
            <v>DA97-15794A</v>
          </cell>
          <cell r="G7214" t="str">
            <v>ASSY FIXER-REF</v>
          </cell>
          <cell r="H7214" t="str">
            <v>INJ0301</v>
          </cell>
        </row>
        <row r="7215">
          <cell r="F7215" t="str">
            <v>DA63-08109A</v>
          </cell>
          <cell r="G7215" t="str">
            <v>COVER FIXER HOUSING-FRE</v>
          </cell>
          <cell r="H7215" t="str">
            <v>INJ0299</v>
          </cell>
        </row>
        <row r="7216">
          <cell r="F7216" t="str">
            <v>DA97-15756A</v>
          </cell>
          <cell r="G7216" t="str">
            <v>ASSY FIXER-FRE</v>
          </cell>
          <cell r="H7216" t="str">
            <v>INJ0298</v>
          </cell>
        </row>
        <row r="7217">
          <cell r="F7217" t="str">
            <v>DA61-10293A</v>
          </cell>
          <cell r="G7217" t="str">
            <v>SUPPORT HARNESS LOW</v>
          </cell>
          <cell r="H7217" t="str">
            <v>INJ0297</v>
          </cell>
        </row>
        <row r="7218">
          <cell r="F7218" t="str">
            <v>DA97-06091B</v>
          </cell>
          <cell r="G7218" t="str">
            <v>ASSY FIXER HOUSING CABI</v>
          </cell>
          <cell r="H7218" t="str">
            <v>INJ0295</v>
          </cell>
        </row>
        <row r="7219">
          <cell r="F7219">
            <v>3010703000</v>
          </cell>
          <cell r="G7219" t="str">
            <v>BUSHING DR</v>
          </cell>
          <cell r="H7219" t="str">
            <v>INJ0292</v>
          </cell>
        </row>
        <row r="7220">
          <cell r="F7220">
            <v>3010701200</v>
          </cell>
          <cell r="G7220" t="str">
            <v>GUID L/D WIRE</v>
          </cell>
          <cell r="H7220" t="str">
            <v>INJ0291</v>
          </cell>
        </row>
        <row r="7221">
          <cell r="F7221">
            <v>3012509500</v>
          </cell>
          <cell r="G7221" t="str">
            <v>GUID L/D WIRE</v>
          </cell>
          <cell r="H7221" t="str">
            <v>INJ0290</v>
          </cell>
        </row>
        <row r="7222">
          <cell r="F7222" t="str">
            <v>DDE 3010702400</v>
          </cell>
          <cell r="G7222" t="str">
            <v>BUSHING *F DR *T</v>
          </cell>
          <cell r="H7222" t="str">
            <v>INJ0289</v>
          </cell>
        </row>
        <row r="7223">
          <cell r="F7223" t="str">
            <v>DA61-09784A</v>
          </cell>
          <cell r="G7223" t="str">
            <v>FIXER CABLE</v>
          </cell>
          <cell r="H7223" t="str">
            <v>INJ0286</v>
          </cell>
        </row>
        <row r="7224">
          <cell r="F7224" t="str">
            <v>DA61-09934A</v>
          </cell>
          <cell r="G7224" t="str">
            <v>FIXER WIRE-FRE</v>
          </cell>
          <cell r="H7224" t="str">
            <v>INJ0285</v>
          </cell>
        </row>
        <row r="7225">
          <cell r="F7225" t="str">
            <v>DA61-09702A</v>
          </cell>
          <cell r="G7225" t="str">
            <v>FIXER WIRE</v>
          </cell>
          <cell r="H7225" t="str">
            <v>INJ0284</v>
          </cell>
        </row>
        <row r="7226">
          <cell r="F7226" t="str">
            <v>DA97-14554A</v>
          </cell>
          <cell r="G7226" t="str">
            <v>ASSY FIXER-REF</v>
          </cell>
          <cell r="H7226" t="str">
            <v>INJ0283</v>
          </cell>
        </row>
        <row r="7227">
          <cell r="F7227" t="str">
            <v>DA63-07751A</v>
          </cell>
          <cell r="G7227" t="str">
            <v>COVER FIXER HOUISING-FRE</v>
          </cell>
          <cell r="H7227" t="str">
            <v>INJ0280</v>
          </cell>
        </row>
        <row r="7228">
          <cell r="F7228" t="str">
            <v>DA97-14601A</v>
          </cell>
          <cell r="G7228" t="str">
            <v>ASSY FIXER-FRE</v>
          </cell>
          <cell r="H7228" t="str">
            <v>INJ0279</v>
          </cell>
        </row>
        <row r="7229">
          <cell r="F7229" t="str">
            <v>DA61-09649A ASS'Y</v>
          </cell>
          <cell r="G7229" t="str">
            <v>FIXER HOUSING FRE</v>
          </cell>
          <cell r="H7229" t="str">
            <v>INJ0278</v>
          </cell>
        </row>
        <row r="7230">
          <cell r="F7230" t="str">
            <v>DA62-04368A</v>
          </cell>
          <cell r="G7230" t="str">
            <v>SEAL FIXER HOUSING,FRE</v>
          </cell>
          <cell r="H7230" t="str">
            <v>INJ0276</v>
          </cell>
        </row>
        <row r="7231">
          <cell r="F7231" t="str">
            <v>DA61-09649A</v>
          </cell>
          <cell r="G7231" t="str">
            <v>FIXER HOUSING,FRE</v>
          </cell>
          <cell r="H7231" t="str">
            <v>INJ0275</v>
          </cell>
        </row>
        <row r="7232">
          <cell r="F7232" t="str">
            <v>DA61-09533A</v>
          </cell>
          <cell r="G7232" t="str">
            <v>FIXER CASE PBA</v>
          </cell>
          <cell r="H7232" t="str">
            <v>INJ0274</v>
          </cell>
        </row>
        <row r="7233">
          <cell r="F7233" t="str">
            <v>DA63-03243B</v>
          </cell>
          <cell r="G7233" t="str">
            <v>GROMMET-HING,UPP</v>
          </cell>
          <cell r="H7233" t="str">
            <v>INJ0273</v>
          </cell>
        </row>
        <row r="7234">
          <cell r="F7234" t="str">
            <v>WW100849</v>
          </cell>
          <cell r="G7234" t="str">
            <v>BKT ASSY(HOLDER HARNESS)</v>
          </cell>
          <cell r="H7234" t="str">
            <v>INJ0272</v>
          </cell>
        </row>
        <row r="7235">
          <cell r="F7235" t="str">
            <v>WW100830</v>
          </cell>
          <cell r="G7235" t="str">
            <v>HOLDER HARNESS(RH)</v>
          </cell>
          <cell r="H7235" t="str">
            <v>INJ0271</v>
          </cell>
        </row>
        <row r="7236">
          <cell r="F7236" t="str">
            <v>WW100671</v>
          </cell>
          <cell r="G7236" t="str">
            <v>HOLDER HARNESS(LH)</v>
          </cell>
          <cell r="H7236" t="str">
            <v>INJ0270</v>
          </cell>
        </row>
        <row r="7237">
          <cell r="F7237" t="str">
            <v>WW100494</v>
          </cell>
          <cell r="G7237" t="str">
            <v>LAMP CASE (SIDE) 320L</v>
          </cell>
          <cell r="H7237" t="str">
            <v>INJ0269</v>
          </cell>
        </row>
        <row r="7238">
          <cell r="F7238" t="str">
            <v>WW100489</v>
          </cell>
          <cell r="G7238" t="str">
            <v>LAMP CASE (SIDE)</v>
          </cell>
          <cell r="H7238" t="str">
            <v>INJ0268</v>
          </cell>
        </row>
        <row r="7239">
          <cell r="F7239" t="str">
            <v>WW100488</v>
          </cell>
          <cell r="G7239" t="str">
            <v>LAMP CASE (UP)</v>
          </cell>
          <cell r="H7239" t="str">
            <v>INJ0267</v>
          </cell>
        </row>
        <row r="7240">
          <cell r="F7240" t="str">
            <v>WW100156</v>
          </cell>
          <cell r="G7240" t="str">
            <v>HARNESS GUIDE</v>
          </cell>
          <cell r="H7240" t="str">
            <v>INJ0266</v>
          </cell>
        </row>
        <row r="7241">
          <cell r="F7241" t="str">
            <v>DA61-03421B 5T(SPONGEDA62-01473B)</v>
          </cell>
          <cell r="G7241" t="str">
            <v>CASE LAMP SEAL</v>
          </cell>
          <cell r="H7241" t="str">
            <v>INJ0265</v>
          </cell>
        </row>
        <row r="7242">
          <cell r="F7242" t="str">
            <v>DA62-02496A</v>
          </cell>
          <cell r="G7242" t="str">
            <v>SEAL CASE LAMP LED</v>
          </cell>
          <cell r="H7242" t="str">
            <v>INJ0263</v>
          </cell>
        </row>
        <row r="7243">
          <cell r="F7243" t="str">
            <v>DA63-07544A</v>
          </cell>
          <cell r="G7243" t="str">
            <v>CAP DOOR UPP</v>
          </cell>
          <cell r="H7243" t="str">
            <v>INJ0260</v>
          </cell>
        </row>
        <row r="7244">
          <cell r="F7244" t="str">
            <v>DA63-07540A</v>
          </cell>
          <cell r="G7244" t="str">
            <v>CAP DOOR UPP</v>
          </cell>
          <cell r="H7244" t="str">
            <v>INJ0259</v>
          </cell>
        </row>
        <row r="7245">
          <cell r="F7245" t="str">
            <v>KIRH-0001</v>
          </cell>
          <cell r="G7245" t="str">
            <v>GROMMET-HING,UPP</v>
          </cell>
          <cell r="H7245" t="str">
            <v>INJ0258</v>
          </cell>
        </row>
        <row r="7246">
          <cell r="F7246" t="str">
            <v>DA63-07228A</v>
          </cell>
          <cell r="G7246" t="str">
            <v>COVER FIXER-HOUSING BOTTOM</v>
          </cell>
          <cell r="H7246" t="str">
            <v>INJ0257</v>
          </cell>
        </row>
        <row r="7247">
          <cell r="F7247" t="str">
            <v>DA97-13206A</v>
          </cell>
          <cell r="G7247" t="str">
            <v>ASSY FIXER-HOUSING BOTTOM</v>
          </cell>
          <cell r="H7247" t="str">
            <v>INJ0256</v>
          </cell>
        </row>
        <row r="7248">
          <cell r="F7248" t="str">
            <v>DA47-00298S</v>
          </cell>
          <cell r="G7248" t="str">
            <v>RAMP HOLDER</v>
          </cell>
          <cell r="H7248" t="str">
            <v>INJ0255</v>
          </cell>
        </row>
        <row r="7249">
          <cell r="F7249" t="str">
            <v>DA63-03030K</v>
          </cell>
          <cell r="G7249" t="str">
            <v>COVER-WIRE HINGE R;CORE-PJT,PP</v>
          </cell>
          <cell r="H7249" t="str">
            <v>INJ0253</v>
          </cell>
        </row>
        <row r="7250">
          <cell r="F7250" t="str">
            <v>DA97-07045E</v>
          </cell>
          <cell r="G7250" t="str">
            <v>INJECTED PART</v>
          </cell>
          <cell r="H7250" t="str">
            <v>INJ0251</v>
          </cell>
        </row>
        <row r="7251">
          <cell r="F7251" t="str">
            <v>DA62-03673A</v>
          </cell>
          <cell r="G7251" t="str">
            <v>SEAL FIXER-HOUSING ICE</v>
          </cell>
          <cell r="H7251" t="str">
            <v>INJ0249</v>
          </cell>
        </row>
        <row r="7252">
          <cell r="F7252" t="str">
            <v>DA63-06893A</v>
          </cell>
          <cell r="G7252" t="str">
            <v>COVER FIXER-HOUSING ICE</v>
          </cell>
          <cell r="H7252" t="str">
            <v>INJ0248</v>
          </cell>
        </row>
        <row r="7253">
          <cell r="F7253" t="str">
            <v>DA97-12581A</v>
          </cell>
          <cell r="G7253" t="str">
            <v>ASSY FIXER-HOUSING ICE</v>
          </cell>
          <cell r="H7253" t="str">
            <v>INJ0247</v>
          </cell>
        </row>
        <row r="7254">
          <cell r="F7254" t="str">
            <v>DA62-03262A</v>
          </cell>
          <cell r="G7254" t="str">
            <v>SEAL FIXER-HOUSING VALVE WATER</v>
          </cell>
          <cell r="H7254" t="str">
            <v>INJ0246</v>
          </cell>
        </row>
        <row r="7255">
          <cell r="F7255" t="str">
            <v>DA63-06892A</v>
          </cell>
          <cell r="G7255" t="str">
            <v>GROMMET-HINGE UPP L</v>
          </cell>
          <cell r="H7255" t="str">
            <v>INJ0244</v>
          </cell>
        </row>
        <row r="7256">
          <cell r="F7256" t="str">
            <v>DA63-03074A</v>
          </cell>
          <cell r="G7256" t="str">
            <v>COVER-WIRE CABI</v>
          </cell>
          <cell r="H7256" t="str">
            <v>INJ0243</v>
          </cell>
        </row>
        <row r="7257">
          <cell r="F7257" t="str">
            <v>DA63-06741A</v>
          </cell>
          <cell r="G7257" t="str">
            <v>COVER FIXER-HOUSING REF</v>
          </cell>
          <cell r="H7257" t="str">
            <v>INJ0241</v>
          </cell>
        </row>
        <row r="7258">
          <cell r="F7258" t="str">
            <v>DA61-07941A</v>
          </cell>
          <cell r="G7258" t="str">
            <v>FIXER-HOUSING REF</v>
          </cell>
          <cell r="H7258" t="str">
            <v>INJ0240</v>
          </cell>
        </row>
        <row r="7259">
          <cell r="F7259" t="str">
            <v>DA63-05470B</v>
          </cell>
          <cell r="G7259" t="str">
            <v>COVER SENSOR</v>
          </cell>
          <cell r="H7259" t="str">
            <v>INJ0239</v>
          </cell>
        </row>
        <row r="7260">
          <cell r="F7260" t="str">
            <v>DA97-12075A</v>
          </cell>
          <cell r="G7260" t="str">
            <v>ASSY CASE H/T FRENCH</v>
          </cell>
          <cell r="H7260" t="str">
            <v>INJ0238</v>
          </cell>
        </row>
        <row r="7261">
          <cell r="F7261" t="str">
            <v>DA61-08126A</v>
          </cell>
          <cell r="G7261" t="str">
            <v>REINF-HINGE-UPP FRONT</v>
          </cell>
          <cell r="H7261" t="str">
            <v>INJ0237</v>
          </cell>
        </row>
        <row r="7262">
          <cell r="F7262" t="str">
            <v>DA63-03030F</v>
          </cell>
          <cell r="G7262" t="str">
            <v>COVER-WIRE HINGE R;CORE,PP</v>
          </cell>
          <cell r="H7262" t="str">
            <v>INJ0236</v>
          </cell>
        </row>
        <row r="7263">
          <cell r="F7263" t="str">
            <v>DA97-03899A</v>
          </cell>
          <cell r="G7263" t="str">
            <v>ASSY HINGE-UPP;CORE,T4.5,-,-,PAINTING</v>
          </cell>
          <cell r="H7263" t="str">
            <v>INJ0235</v>
          </cell>
        </row>
        <row r="7264">
          <cell r="F7264" t="str">
            <v>DA63-03030D</v>
          </cell>
          <cell r="G7264" t="str">
            <v>COVER-WIRE HINGE R;CORE-PJT,PP</v>
          </cell>
          <cell r="H7264" t="str">
            <v>INJ0234</v>
          </cell>
        </row>
        <row r="7265">
          <cell r="F7265" t="str">
            <v>DA63-03074B</v>
          </cell>
          <cell r="G7265" t="str">
            <v>COVER-WIRE CABI;CORE/SVETA,PP</v>
          </cell>
          <cell r="H7265" t="str">
            <v>INJ0233</v>
          </cell>
        </row>
        <row r="7266">
          <cell r="F7266" t="str">
            <v>DA67-03091B</v>
          </cell>
          <cell r="G7266" t="str">
            <v>CAP FIXER HOUSING VALVE WATER</v>
          </cell>
          <cell r="H7266" t="str">
            <v>INJ0232</v>
          </cell>
        </row>
        <row r="7267">
          <cell r="F7267" t="str">
            <v>DA97-11489B</v>
          </cell>
          <cell r="G7267" t="str">
            <v>ASSY FIXER HOUSING</v>
          </cell>
          <cell r="H7267" t="str">
            <v>INJ0231</v>
          </cell>
        </row>
        <row r="7268">
          <cell r="F7268" t="str">
            <v>DC63-00889C</v>
          </cell>
          <cell r="G7268" t="str">
            <v>GUIDE WIRE</v>
          </cell>
          <cell r="H7268" t="str">
            <v>INJ0230</v>
          </cell>
        </row>
        <row r="7269">
          <cell r="F7269" t="str">
            <v>DC61-02591A</v>
          </cell>
          <cell r="G7269" t="str">
            <v>GUIDE WIRE</v>
          </cell>
          <cell r="H7269" t="str">
            <v>INJ0229</v>
          </cell>
        </row>
        <row r="7270">
          <cell r="F7270" t="str">
            <v>DA63-06383B</v>
          </cell>
          <cell r="G7270" t="str">
            <v>COVER FIXER- HOUSING FRE</v>
          </cell>
          <cell r="H7270" t="str">
            <v>INJ0227</v>
          </cell>
        </row>
        <row r="7271">
          <cell r="F7271" t="str">
            <v>DA97-11496B</v>
          </cell>
          <cell r="G7271" t="str">
            <v>ASSY FIXER HOUSING</v>
          </cell>
          <cell r="H7271" t="str">
            <v>INJ0226</v>
          </cell>
        </row>
        <row r="7272">
          <cell r="F7272" t="str">
            <v>DA63-06382B</v>
          </cell>
          <cell r="G7272" t="str">
            <v>COVER FIXER- HOUSING FRE</v>
          </cell>
          <cell r="H7272" t="str">
            <v>INJ0225</v>
          </cell>
        </row>
        <row r="7273">
          <cell r="F7273" t="str">
            <v>DA97-11495B</v>
          </cell>
          <cell r="G7273" t="str">
            <v>FIXER HOUSING REF</v>
          </cell>
          <cell r="H7273" t="str">
            <v>INJ0224</v>
          </cell>
        </row>
        <row r="7274">
          <cell r="F7274" t="str">
            <v>DA97-11514B</v>
          </cell>
          <cell r="G7274" t="str">
            <v>ASSY FIXER HOUSING</v>
          </cell>
          <cell r="H7274" t="str">
            <v>INJ0223</v>
          </cell>
        </row>
        <row r="7275">
          <cell r="F7275" t="str">
            <v>DA97-11059B</v>
          </cell>
          <cell r="G7275" t="str">
            <v>ASSY FIXER HOUSING</v>
          </cell>
          <cell r="H7275" t="str">
            <v>INJ0222</v>
          </cell>
        </row>
        <row r="7276">
          <cell r="F7276" t="str">
            <v>DA97-11058B</v>
          </cell>
          <cell r="G7276" t="str">
            <v>ASSY FIXER HOUSING</v>
          </cell>
          <cell r="H7276" t="str">
            <v>INJ0221</v>
          </cell>
        </row>
        <row r="7277">
          <cell r="F7277" t="str">
            <v>DA97-11057B</v>
          </cell>
          <cell r="G7277" t="str">
            <v>ASSY FIXER HOUSING</v>
          </cell>
          <cell r="H7277" t="str">
            <v>INJ0220</v>
          </cell>
        </row>
        <row r="7278">
          <cell r="F7278" t="str">
            <v>DA97-10984B</v>
          </cell>
          <cell r="G7278" t="str">
            <v>ASSY FIXER HOUSING</v>
          </cell>
          <cell r="H7278" t="str">
            <v>INJ0219</v>
          </cell>
        </row>
        <row r="7279">
          <cell r="F7279" t="str">
            <v>DA97-10935B</v>
          </cell>
          <cell r="G7279" t="str">
            <v>ASSY FIXER HOUSING</v>
          </cell>
          <cell r="H7279" t="str">
            <v>INJ0218</v>
          </cell>
        </row>
        <row r="7280">
          <cell r="F7280" t="str">
            <v>DA97-10913B</v>
          </cell>
          <cell r="G7280" t="str">
            <v>ASSY FIXER HOUSING</v>
          </cell>
          <cell r="H7280" t="str">
            <v>INJ0217</v>
          </cell>
        </row>
        <row r="7281">
          <cell r="F7281" t="str">
            <v>DA97-06257B</v>
          </cell>
          <cell r="G7281" t="str">
            <v>ASSY FIXER HOUSING</v>
          </cell>
          <cell r="H7281" t="str">
            <v>INJ0216</v>
          </cell>
        </row>
        <row r="7282">
          <cell r="F7282" t="str">
            <v>DA67-02839B</v>
          </cell>
          <cell r="G7282" t="str">
            <v>CAP FIXER HOUSING FRE</v>
          </cell>
          <cell r="H7282" t="str">
            <v>INJ0215</v>
          </cell>
        </row>
        <row r="7283">
          <cell r="F7283" t="str">
            <v>DA67-02834B</v>
          </cell>
          <cell r="G7283" t="str">
            <v>CAP FIXER HOUSING REF</v>
          </cell>
          <cell r="H7283" t="str">
            <v>INJ0214</v>
          </cell>
        </row>
        <row r="7284">
          <cell r="F7284" t="str">
            <v>DA73-00211A</v>
          </cell>
          <cell r="G7284" t="str">
            <v>CAP VALVE WATER</v>
          </cell>
          <cell r="H7284" t="str">
            <v>INJ0213</v>
          </cell>
        </row>
        <row r="7285">
          <cell r="F7285" t="str">
            <v>DA97-06678D</v>
          </cell>
          <cell r="G7285" t="str">
            <v>ASSY FIXER HOUSING</v>
          </cell>
          <cell r="H7285" t="str">
            <v>INJ0212</v>
          </cell>
        </row>
        <row r="7286">
          <cell r="F7286" t="str">
            <v>DA97-07904C</v>
          </cell>
          <cell r="G7286" t="str">
            <v>ASSY FIXER HOUSING</v>
          </cell>
          <cell r="H7286" t="str">
            <v>INJ0211</v>
          </cell>
        </row>
        <row r="7287">
          <cell r="F7287" t="str">
            <v>DA97-07904D</v>
          </cell>
          <cell r="G7287" t="str">
            <v>ASSY FIXER HOUSING</v>
          </cell>
          <cell r="H7287" t="str">
            <v>INJ0210</v>
          </cell>
        </row>
        <row r="7288">
          <cell r="F7288" t="str">
            <v>DA97-08732B</v>
          </cell>
          <cell r="G7288" t="str">
            <v>ASSY FIXER HOUSING</v>
          </cell>
          <cell r="H7288" t="str">
            <v>INJ0209</v>
          </cell>
        </row>
        <row r="7289">
          <cell r="F7289" t="str">
            <v>DA97-06678C</v>
          </cell>
          <cell r="G7289" t="str">
            <v>FIXER HOUSING REF L</v>
          </cell>
          <cell r="H7289" t="str">
            <v>INJ0208</v>
          </cell>
        </row>
        <row r="7290">
          <cell r="F7290" t="str">
            <v>DA97-03102B</v>
          </cell>
          <cell r="G7290" t="str">
            <v>FIXER HOUSING</v>
          </cell>
          <cell r="H7290" t="str">
            <v>INJ0207</v>
          </cell>
        </row>
        <row r="7291">
          <cell r="F7291" t="str">
            <v>DA97-08662C</v>
          </cell>
          <cell r="G7291" t="str">
            <v>FIXER LED</v>
          </cell>
          <cell r="H7291" t="str">
            <v>INJ0205</v>
          </cell>
        </row>
        <row r="7292">
          <cell r="F7292" t="str">
            <v>DA97-06339B</v>
          </cell>
          <cell r="G7292" t="str">
            <v>FIXER HOUSING REF</v>
          </cell>
          <cell r="H7292" t="str">
            <v>INJ0204</v>
          </cell>
        </row>
        <row r="7293">
          <cell r="F7293" t="str">
            <v>DC61-02648A</v>
          </cell>
          <cell r="G7293" t="str">
            <v>GULDE WIRE(TUB)</v>
          </cell>
          <cell r="H7293" t="str">
            <v>INJ0202</v>
          </cell>
        </row>
        <row r="7294">
          <cell r="F7294" t="str">
            <v>DA61-06921A</v>
          </cell>
          <cell r="G7294" t="str">
            <v>SUPPORT HOUSING HING</v>
          </cell>
          <cell r="H7294" t="str">
            <v>INJ0200</v>
          </cell>
        </row>
        <row r="7295">
          <cell r="F7295" t="str">
            <v>DA97-11766A</v>
          </cell>
          <cell r="G7295" t="str">
            <v>ASSY FIXER HOUSING SPI-2</v>
          </cell>
          <cell r="H7295" t="str">
            <v>INJ0199</v>
          </cell>
        </row>
        <row r="7296">
          <cell r="F7296" t="str">
            <v>DA97-11496A</v>
          </cell>
          <cell r="G7296" t="str">
            <v>ASSY FIXER HOUSING</v>
          </cell>
          <cell r="H7296" t="str">
            <v>INJ0193</v>
          </cell>
        </row>
        <row r="7297">
          <cell r="F7297" t="str">
            <v>DA97-11544A</v>
          </cell>
          <cell r="G7297" t="str">
            <v>ASSY FIXER HOUSING</v>
          </cell>
          <cell r="H7297" t="str">
            <v>INJ0192</v>
          </cell>
        </row>
        <row r="7298">
          <cell r="F7298" t="str">
            <v>DA63-06382A</v>
          </cell>
          <cell r="G7298" t="str">
            <v>COVER FIXER- HOUSING FRE</v>
          </cell>
          <cell r="H7298" t="str">
            <v>INJ0191</v>
          </cell>
        </row>
        <row r="7299">
          <cell r="F7299" t="str">
            <v>DA97-11495A</v>
          </cell>
          <cell r="G7299" t="str">
            <v>FIXER HOUSING REF</v>
          </cell>
          <cell r="H7299" t="str">
            <v>INJ0190</v>
          </cell>
        </row>
        <row r="7300">
          <cell r="F7300" t="str">
            <v>DA63-06409A</v>
          </cell>
          <cell r="G7300" t="str">
            <v>GROMMET-HING,UPP</v>
          </cell>
          <cell r="H7300" t="str">
            <v>INJ0189</v>
          </cell>
        </row>
        <row r="7301">
          <cell r="F7301" t="str">
            <v>DA61-03421B 3T(FOMEDA62-01473A)</v>
          </cell>
          <cell r="G7301" t="str">
            <v>CASE LAMP SEAL</v>
          </cell>
          <cell r="H7301" t="str">
            <v>INJ0187</v>
          </cell>
        </row>
        <row r="7302">
          <cell r="F7302" t="str">
            <v>DC61-02025A</v>
          </cell>
          <cell r="G7302" t="str">
            <v>GUIDE WIRE</v>
          </cell>
          <cell r="H7302" t="str">
            <v>INJ0186</v>
          </cell>
        </row>
        <row r="7303">
          <cell r="F7303" t="str">
            <v>DA61-04125B 10T(DA62-1747B)</v>
          </cell>
          <cell r="G7303" t="str">
            <v>CASE-LAMP</v>
          </cell>
          <cell r="H7303" t="str">
            <v>INJ0183</v>
          </cell>
        </row>
        <row r="7304">
          <cell r="F7304" t="str">
            <v>DA61-04125B</v>
          </cell>
          <cell r="G7304" t="str">
            <v>CASE-LAMP</v>
          </cell>
          <cell r="H7304" t="str">
            <v>INJ0182</v>
          </cell>
        </row>
        <row r="7305">
          <cell r="F7305" t="str">
            <v>DA61-03421B</v>
          </cell>
          <cell r="G7305" t="str">
            <v>CASE-LAMP</v>
          </cell>
          <cell r="H7305" t="str">
            <v>INJ0181</v>
          </cell>
        </row>
        <row r="7306">
          <cell r="F7306" t="str">
            <v>RING-10</v>
          </cell>
          <cell r="G7306" t="str">
            <v>WIRE BRACKET</v>
          </cell>
          <cell r="H7306" t="str">
            <v>INJ0168</v>
          </cell>
        </row>
        <row r="7307">
          <cell r="F7307" t="str">
            <v>RING-20</v>
          </cell>
          <cell r="G7307" t="str">
            <v>WIRE BRACKET</v>
          </cell>
          <cell r="H7307" t="str">
            <v>INJ0167</v>
          </cell>
        </row>
        <row r="7308">
          <cell r="F7308" t="str">
            <v>RING-30</v>
          </cell>
          <cell r="G7308" t="str">
            <v>WIRE BRACKET</v>
          </cell>
          <cell r="H7308" t="str">
            <v>INJ0166</v>
          </cell>
        </row>
        <row r="7309">
          <cell r="F7309" t="str">
            <v>DA61-05954A(7T,DA62-02523A)</v>
          </cell>
          <cell r="G7309" t="str">
            <v>CASE HOUSING CONV</v>
          </cell>
          <cell r="H7309" t="str">
            <v>INJ0165</v>
          </cell>
        </row>
        <row r="7310">
          <cell r="F7310" t="str">
            <v>DA62-01943B(7T)</v>
          </cell>
          <cell r="G7310" t="str">
            <v>FIXER HOUSING(SEAL)</v>
          </cell>
          <cell r="H7310" t="str">
            <v>INJ0163</v>
          </cell>
        </row>
        <row r="7311">
          <cell r="F7311" t="str">
            <v>45X14X1</v>
          </cell>
          <cell r="G7311" t="str">
            <v>플라스틱 사출물</v>
          </cell>
          <cell r="H7311" t="str">
            <v>INJ0158</v>
          </cell>
        </row>
        <row r="7312">
          <cell r="F7312" t="str">
            <v>DA62-01517A</v>
          </cell>
          <cell r="G7312" t="str">
            <v>SEAL CASE-SENSOR FRE</v>
          </cell>
          <cell r="H7312" t="str">
            <v>INJ0153</v>
          </cell>
        </row>
        <row r="7313">
          <cell r="F7313" t="str">
            <v>DA62-02508A</v>
          </cell>
          <cell r="G7313" t="str">
            <v>SEAL CASE-SENSOR FRE</v>
          </cell>
          <cell r="H7313" t="str">
            <v>INJ0152</v>
          </cell>
        </row>
        <row r="7314">
          <cell r="F7314" t="str">
            <v>DA61-05920A</v>
          </cell>
          <cell r="G7314" t="str">
            <v>CASE-SENSOR FRE</v>
          </cell>
          <cell r="H7314" t="str">
            <v>INJ0151</v>
          </cell>
        </row>
        <row r="7315">
          <cell r="F7315" t="str">
            <v>DC61-01985A</v>
          </cell>
          <cell r="G7315" t="str">
            <v>GUIDE WIRE</v>
          </cell>
          <cell r="H7315" t="str">
            <v>INJ0150</v>
          </cell>
        </row>
        <row r="7316">
          <cell r="F7316" t="str">
            <v>DA97-08608A</v>
          </cell>
          <cell r="G7316" t="str">
            <v>FIXER 센서</v>
          </cell>
          <cell r="H7316" t="str">
            <v>INJ0145</v>
          </cell>
        </row>
        <row r="7317">
          <cell r="F7317" t="str">
            <v>DA97-08775A</v>
          </cell>
          <cell r="G7317" t="str">
            <v>ASSY FIXER HOUSING LED</v>
          </cell>
          <cell r="H7317" t="str">
            <v>INJ0143</v>
          </cell>
        </row>
        <row r="7318">
          <cell r="F7318" t="str">
            <v>DA97-08662A</v>
          </cell>
          <cell r="G7318" t="str">
            <v>FIXER LED(AW3)</v>
          </cell>
          <cell r="H7318" t="str">
            <v>INJ0141</v>
          </cell>
        </row>
        <row r="7319">
          <cell r="F7319" t="str">
            <v>DA97-08343A</v>
          </cell>
          <cell r="G7319" t="str">
            <v>ASSY FIXER HOUSING</v>
          </cell>
          <cell r="H7319" t="str">
            <v>INJ0140</v>
          </cell>
        </row>
        <row r="7320">
          <cell r="F7320" t="str">
            <v>DA97-08825A</v>
          </cell>
          <cell r="G7320" t="str">
            <v>ASSY FIXER HOUSING</v>
          </cell>
          <cell r="H7320" t="str">
            <v>INJ0139</v>
          </cell>
        </row>
        <row r="7321">
          <cell r="F7321" t="str">
            <v>DA97-08824A</v>
          </cell>
          <cell r="G7321" t="str">
            <v>ASSY FIXER HOUSING</v>
          </cell>
          <cell r="H7321" t="str">
            <v>INJ0138</v>
          </cell>
        </row>
        <row r="7322">
          <cell r="F7322" t="str">
            <v>DC61-02801A</v>
          </cell>
          <cell r="G7322" t="str">
            <v>GUIDE-WIRE(B)</v>
          </cell>
          <cell r="H7322" t="str">
            <v>INJ0137</v>
          </cell>
        </row>
        <row r="7323">
          <cell r="F7323" t="str">
            <v>DC61-02800A</v>
          </cell>
          <cell r="G7323" t="str">
            <v>GUIDE-WIRE(F)</v>
          </cell>
          <cell r="H7323" t="str">
            <v>INJ0136</v>
          </cell>
        </row>
        <row r="7324">
          <cell r="F7324" t="str">
            <v>DA61-05954A</v>
          </cell>
          <cell r="G7324" t="str">
            <v>CASE HOUSING CON~LINER</v>
          </cell>
          <cell r="H7324" t="str">
            <v>INJ0135</v>
          </cell>
        </row>
        <row r="7325">
          <cell r="F7325" t="str">
            <v>DD61-00128A</v>
          </cell>
          <cell r="G7325" t="str">
            <v>GUIDE LEAKAGE SENSOR</v>
          </cell>
          <cell r="H7325" t="str">
            <v>INJ0133</v>
          </cell>
        </row>
        <row r="7326">
          <cell r="F7326" t="str">
            <v>DA97-08589A</v>
          </cell>
          <cell r="G7326" t="str">
            <v>FIXER CASE LED SIDE</v>
          </cell>
          <cell r="H7326" t="str">
            <v>INJ0132</v>
          </cell>
        </row>
        <row r="7327">
          <cell r="F7327" t="str">
            <v>DA63-05339A</v>
          </cell>
          <cell r="G7327" t="str">
            <v>GROMMET-CASE</v>
          </cell>
          <cell r="H7327" t="str">
            <v>INJ0130</v>
          </cell>
        </row>
        <row r="7328">
          <cell r="F7328" t="str">
            <v>DA63-05241A</v>
          </cell>
          <cell r="G7328" t="str">
            <v>GROMMET HINGE</v>
          </cell>
          <cell r="H7328" t="str">
            <v>INJ0124</v>
          </cell>
        </row>
        <row r="7329">
          <cell r="F7329" t="str">
            <v>DA63-05242A</v>
          </cell>
          <cell r="G7329" t="str">
            <v>GROMMET HINGE</v>
          </cell>
          <cell r="H7329" t="str">
            <v>INJ0123</v>
          </cell>
        </row>
        <row r="7330">
          <cell r="F7330" t="str">
            <v>DA97-08313A</v>
          </cell>
          <cell r="G7330" t="str">
            <v>FIXER HOUSING 4-PIN</v>
          </cell>
          <cell r="H7330" t="str">
            <v>INJ0119</v>
          </cell>
        </row>
        <row r="7331">
          <cell r="F7331" t="str">
            <v>DA97-08312A</v>
          </cell>
          <cell r="G7331" t="str">
            <v>FIXER HOUSING EVAP FRE</v>
          </cell>
          <cell r="H7331" t="str">
            <v>INJ0118</v>
          </cell>
        </row>
        <row r="7332">
          <cell r="F7332" t="str">
            <v>DA97-08314A</v>
          </cell>
          <cell r="G7332" t="str">
            <v>FIXER HOUSING AUGER MOTER</v>
          </cell>
          <cell r="H7332" t="str">
            <v>INJ0116</v>
          </cell>
        </row>
        <row r="7333">
          <cell r="F7333" t="str">
            <v>DA61-05123A</v>
          </cell>
          <cell r="G7333" t="str">
            <v>SEAL FIXER DEODOR</v>
          </cell>
          <cell r="H7333" t="str">
            <v>INJ0115</v>
          </cell>
        </row>
        <row r="7334">
          <cell r="F7334" t="str">
            <v>DA97-01934B</v>
          </cell>
          <cell r="G7334" t="str">
            <v>픽스HOUSING16p</v>
          </cell>
          <cell r="H7334" t="str">
            <v>INJ0114</v>
          </cell>
        </row>
        <row r="7335">
          <cell r="F7335" t="str">
            <v>DA97-07045D</v>
          </cell>
          <cell r="G7335" t="str">
            <v>INJECTED PART</v>
          </cell>
          <cell r="H7335" t="str">
            <v>INJ0113</v>
          </cell>
        </row>
        <row r="7336">
          <cell r="F7336" t="str">
            <v>DA97-07045B</v>
          </cell>
          <cell r="G7336" t="str">
            <v>사출</v>
          </cell>
          <cell r="H7336" t="str">
            <v>INJ0111</v>
          </cell>
        </row>
        <row r="7337">
          <cell r="F7337" t="str">
            <v>DA97-02679A</v>
          </cell>
          <cell r="G7337" t="str">
            <v>FIX HOUSING(6P)</v>
          </cell>
          <cell r="H7337" t="str">
            <v>INJ0108</v>
          </cell>
        </row>
        <row r="7338">
          <cell r="F7338" t="str">
            <v>DA61-03348A</v>
          </cell>
          <cell r="G7338" t="str">
            <v>(Convo)FIXER HOUSING</v>
          </cell>
          <cell r="H7338" t="str">
            <v>INJ0102</v>
          </cell>
        </row>
        <row r="7339">
          <cell r="F7339" t="str">
            <v>DA97-05019B 5T</v>
          </cell>
          <cell r="G7339" t="str">
            <v>ASSY FIXER HOUSING</v>
          </cell>
          <cell r="H7339" t="str">
            <v>INJ0101</v>
          </cell>
        </row>
        <row r="7340">
          <cell r="F7340" t="str">
            <v>DA61-3349A 2T SEAL</v>
          </cell>
          <cell r="G7340" t="str">
            <v>FIXER HOUSING ICE-SEAL</v>
          </cell>
          <cell r="H7340" t="str">
            <v>INJ0099</v>
          </cell>
        </row>
        <row r="7341">
          <cell r="F7341" t="str">
            <v>DA61-03349A</v>
          </cell>
          <cell r="G7341" t="str">
            <v>FIXER-HOUSING CONVERTIBLE</v>
          </cell>
          <cell r="H7341" t="str">
            <v>INJ0098</v>
          </cell>
        </row>
        <row r="7342">
          <cell r="F7342" t="str">
            <v>DA63-40254A</v>
          </cell>
          <cell r="G7342" t="str">
            <v>GROMMET-WIRE</v>
          </cell>
          <cell r="H7342" t="str">
            <v>INJ0097</v>
          </cell>
        </row>
        <row r="7343">
          <cell r="F7343" t="str">
            <v>DA61-3494A 3T (DA62-01474A)</v>
          </cell>
          <cell r="G7343" t="str">
            <v>FIXER HOUSING SEAL</v>
          </cell>
          <cell r="H7343" t="str">
            <v>INJ0096</v>
          </cell>
        </row>
        <row r="7344">
          <cell r="F7344" t="str">
            <v>DA61-03494A</v>
          </cell>
          <cell r="G7344" t="str">
            <v>FIXER HOUSING</v>
          </cell>
          <cell r="H7344" t="str">
            <v>INJ0095</v>
          </cell>
        </row>
        <row r="7345">
          <cell r="F7345" t="str">
            <v>DA61-04125B 5T(DA62-1747A)</v>
          </cell>
          <cell r="G7345" t="str">
            <v>CASE LAMP-LED FORNT</v>
          </cell>
          <cell r="H7345" t="str">
            <v>INJ0089</v>
          </cell>
        </row>
        <row r="7346">
          <cell r="F7346" t="str">
            <v>DA97-06410A</v>
          </cell>
          <cell r="G7346" t="str">
            <v>ASSY FIXER HOUSING</v>
          </cell>
          <cell r="H7346" t="str">
            <v>INJ0087</v>
          </cell>
        </row>
        <row r="7347">
          <cell r="F7347" t="str">
            <v>DA63-03243A</v>
          </cell>
          <cell r="G7347" t="str">
            <v>GROMMET-HING,UPP</v>
          </cell>
          <cell r="H7347" t="str">
            <v>INJ0083</v>
          </cell>
        </row>
        <row r="7348">
          <cell r="F7348" t="str">
            <v>DA63-02720E</v>
          </cell>
          <cell r="G7348" t="str">
            <v>GROMMET-HING,UPP</v>
          </cell>
          <cell r="H7348" t="str">
            <v>INJ0082</v>
          </cell>
        </row>
        <row r="7349">
          <cell r="F7349" t="str">
            <v>DA63-04548A</v>
          </cell>
          <cell r="G7349" t="str">
            <v>GROMMET-HING,UPP</v>
          </cell>
          <cell r="H7349" t="str">
            <v>INJ0081</v>
          </cell>
        </row>
        <row r="7350">
          <cell r="F7350" t="str">
            <v>DA61-04434A</v>
          </cell>
          <cell r="G7350" t="str">
            <v>SUPPORT HARNESS LOW</v>
          </cell>
          <cell r="H7350" t="str">
            <v>INJ0079</v>
          </cell>
        </row>
        <row r="7351">
          <cell r="F7351" t="str">
            <v>DA97-06257A</v>
          </cell>
          <cell r="G7351" t="str">
            <v>ASSY FIXER HOUSING</v>
          </cell>
          <cell r="H7351" t="str">
            <v>INJ0077</v>
          </cell>
        </row>
        <row r="7352">
          <cell r="F7352" t="str">
            <v>DA61-03698A</v>
          </cell>
          <cell r="G7352" t="str">
            <v>CASE-OPTIKEOL LED</v>
          </cell>
          <cell r="H7352" t="str">
            <v>INJ0075</v>
          </cell>
        </row>
        <row r="7353">
          <cell r="F7353" t="str">
            <v>DA61-02114C</v>
          </cell>
          <cell r="G7353" t="str">
            <v>FIXER DEODORIZER(탈취기)</v>
          </cell>
          <cell r="H7353" t="str">
            <v>INJ0074</v>
          </cell>
        </row>
        <row r="7354">
          <cell r="F7354" t="str">
            <v>DA63-02720D</v>
          </cell>
          <cell r="G7354" t="str">
            <v>GROMMET-HING,UPP</v>
          </cell>
          <cell r="H7354" t="str">
            <v>INJ0071</v>
          </cell>
        </row>
        <row r="7355">
          <cell r="F7355" t="str">
            <v>DA63-02720C</v>
          </cell>
          <cell r="G7355" t="str">
            <v>GROMMET-HING,UPP</v>
          </cell>
          <cell r="H7355" t="str">
            <v>INJ0070</v>
          </cell>
        </row>
        <row r="7356">
          <cell r="F7356" t="str">
            <v>DA63-02720B</v>
          </cell>
          <cell r="G7356" t="str">
            <v>GROMMET-HING,UPP</v>
          </cell>
          <cell r="H7356" t="str">
            <v>INJ0069</v>
          </cell>
        </row>
        <row r="7357">
          <cell r="F7357" t="str">
            <v>DA61-03062A</v>
          </cell>
          <cell r="G7357" t="str">
            <v>SUPPORT HARNESS UPP</v>
          </cell>
          <cell r="H7357" t="str">
            <v>INJ0068</v>
          </cell>
        </row>
        <row r="7358">
          <cell r="F7358" t="str">
            <v>DA63-02720A</v>
          </cell>
          <cell r="G7358" t="str">
            <v>GROMMET-HING,UPP L</v>
          </cell>
          <cell r="H7358" t="str">
            <v>INJ0067</v>
          </cell>
        </row>
        <row r="7359">
          <cell r="F7359" t="str">
            <v>DA61-02367A</v>
          </cell>
          <cell r="G7359" t="str">
            <v>ASSY FIXER HOUSING</v>
          </cell>
          <cell r="H7359" t="str">
            <v>INJ0065</v>
          </cell>
        </row>
        <row r="7360">
          <cell r="F7360" t="str">
            <v>DA67-01376C</v>
          </cell>
          <cell r="G7360" t="str">
            <v>CAP DOOR-UPP</v>
          </cell>
          <cell r="H7360" t="str">
            <v>INJ0062</v>
          </cell>
        </row>
        <row r="7361">
          <cell r="F7361" t="str">
            <v>DA67-01185C</v>
          </cell>
          <cell r="G7361" t="str">
            <v>CAP DOOR(L,I/BLACK)EPEL</v>
          </cell>
          <cell r="H7361" t="str">
            <v>INJ0057</v>
          </cell>
        </row>
        <row r="7362">
          <cell r="F7362" t="str">
            <v>DA67-01185B</v>
          </cell>
          <cell r="G7362" t="str">
            <v>CAP DOOR(C/W)EPEL UPP L</v>
          </cell>
          <cell r="H7362" t="str">
            <v>INJ0056</v>
          </cell>
        </row>
        <row r="7363">
          <cell r="F7363" t="str">
            <v>DA63-02485A</v>
          </cell>
          <cell r="G7363" t="str">
            <v>GROMMET H,R(소)(05년 USP)</v>
          </cell>
          <cell r="H7363" t="str">
            <v>INJ0053</v>
          </cell>
        </row>
        <row r="7364">
          <cell r="F7364" t="str">
            <v>DA67-01185A</v>
          </cell>
          <cell r="G7364" t="str">
            <v>CAP DOOR EPEL(N/S)UPP,L</v>
          </cell>
          <cell r="H7364" t="str">
            <v>INJ0051</v>
          </cell>
        </row>
        <row r="7365">
          <cell r="F7365" t="str">
            <v>DA63-40122A</v>
          </cell>
          <cell r="G7365" t="str">
            <v>GROMMET-WIRE.A</v>
          </cell>
          <cell r="H7365" t="str">
            <v>INJ0043</v>
          </cell>
        </row>
        <row r="7366">
          <cell r="F7366" t="str">
            <v>DA63-01771A</v>
          </cell>
          <cell r="G7366" t="str">
            <v>GROMMET WIRE(BBC)</v>
          </cell>
          <cell r="H7366" t="str">
            <v>INJ0040</v>
          </cell>
        </row>
        <row r="7367">
          <cell r="F7367" t="str">
            <v>DA63-00009A</v>
          </cell>
          <cell r="G7367" t="str">
            <v>GROMMET H/R</v>
          </cell>
          <cell r="H7367" t="str">
            <v>INJ0039</v>
          </cell>
        </row>
        <row r="7368">
          <cell r="F7368" t="str">
            <v>DA63-00430A</v>
          </cell>
          <cell r="G7368" t="str">
            <v>COVER DOOR S/W</v>
          </cell>
          <cell r="H7368" t="str">
            <v>INJ0035</v>
          </cell>
        </row>
        <row r="7369">
          <cell r="F7369" t="str">
            <v>HOLDER FH603</v>
          </cell>
          <cell r="G7369" t="str">
            <v>FUSE CASE</v>
          </cell>
          <cell r="H7369" t="str">
            <v>INJ0017</v>
          </cell>
        </row>
        <row r="7370">
          <cell r="F7370" t="str">
            <v>BBC P/J(DA61-01122A)</v>
          </cell>
          <cell r="G7370" t="str">
            <v>CASE PCB</v>
          </cell>
          <cell r="H7370" t="str">
            <v>INJ0012</v>
          </cell>
        </row>
        <row r="7371">
          <cell r="F7371" t="str">
            <v>DA97-03102A</v>
          </cell>
          <cell r="G7371" t="str">
            <v>ASSY FIXER HOUSING</v>
          </cell>
          <cell r="H7371" t="str">
            <v>INJ0007</v>
          </cell>
        </row>
        <row r="7372">
          <cell r="F7372" t="str">
            <v>DA61-05204A</v>
          </cell>
          <cell r="G7372" t="str">
            <v>INJECTED PART</v>
          </cell>
          <cell r="H7372" t="str">
            <v>INJ0003</v>
          </cell>
        </row>
        <row r="7373">
          <cell r="F7373" t="str">
            <v>DA63-01146A</v>
          </cell>
          <cell r="G7373" t="str">
            <v>GROMMET MOTOR</v>
          </cell>
          <cell r="H7373" t="str">
            <v>ING0215</v>
          </cell>
        </row>
        <row r="7374">
          <cell r="F7374" t="str">
            <v>DA97-10788C</v>
          </cell>
          <cell r="G7374" t="str">
            <v>CASE-SENSOR FRE</v>
          </cell>
          <cell r="H7374" t="str">
            <v>ING0207</v>
          </cell>
        </row>
        <row r="7375">
          <cell r="F7375" t="str">
            <v>DA97-08410C</v>
          </cell>
          <cell r="G7375" t="str">
            <v>FIXER HOUSING</v>
          </cell>
          <cell r="H7375" t="str">
            <v>ING0206</v>
          </cell>
        </row>
        <row r="7376">
          <cell r="F7376" t="str">
            <v>DA97-08411C</v>
          </cell>
          <cell r="G7376" t="str">
            <v>FIXER HOUSING REF</v>
          </cell>
          <cell r="H7376" t="str">
            <v>ING0205</v>
          </cell>
        </row>
        <row r="7377">
          <cell r="F7377" t="str">
            <v>DA61-06859A</v>
          </cell>
          <cell r="G7377" t="str">
            <v>FIXER WIRE HARNESS CABI</v>
          </cell>
          <cell r="H7377" t="str">
            <v>ING0179</v>
          </cell>
        </row>
        <row r="7378">
          <cell r="F7378" t="str">
            <v>DA63-04182A</v>
          </cell>
          <cell r="G7378" t="str">
            <v>GROMMET HINGE UPP</v>
          </cell>
          <cell r="H7378" t="str">
            <v>ING0166</v>
          </cell>
        </row>
        <row r="7379">
          <cell r="F7379" t="str">
            <v>DA61-05920A(3T,DA62-02508A)</v>
          </cell>
          <cell r="G7379" t="str">
            <v>CASE-SENSOR FRE</v>
          </cell>
          <cell r="H7379" t="str">
            <v>ING0165</v>
          </cell>
        </row>
        <row r="7380">
          <cell r="F7380" t="str">
            <v>DA97-08789A</v>
          </cell>
          <cell r="G7380" t="str">
            <v>ASSY FIXER HOUSING</v>
          </cell>
          <cell r="H7380" t="str">
            <v>ING0155</v>
          </cell>
        </row>
        <row r="7381">
          <cell r="F7381" t="str">
            <v>DA62-02523A</v>
          </cell>
          <cell r="G7381" t="str">
            <v>SEAL CASE-HOUSING CONV</v>
          </cell>
          <cell r="H7381" t="str">
            <v>ING0151</v>
          </cell>
        </row>
        <row r="7382">
          <cell r="F7382" t="str">
            <v>DC61-01151A</v>
          </cell>
          <cell r="G7382" t="str">
            <v>GUIDE WIRE</v>
          </cell>
          <cell r="H7382" t="str">
            <v>ING0141</v>
          </cell>
        </row>
        <row r="7383">
          <cell r="F7383" t="str">
            <v>DA97-07904A</v>
          </cell>
          <cell r="G7383" t="str">
            <v>ASSY FIXER HOUSING</v>
          </cell>
          <cell r="H7383" t="str">
            <v>ING0116</v>
          </cell>
        </row>
        <row r="7384">
          <cell r="F7384" t="str">
            <v>DA97-06338B</v>
          </cell>
          <cell r="G7384" t="str">
            <v>FIXER HOUSING FRE</v>
          </cell>
          <cell r="H7384" t="str">
            <v>ING0051</v>
          </cell>
        </row>
        <row r="7385">
          <cell r="F7385" t="str">
            <v>210345-DG</v>
          </cell>
          <cell r="G7385" t="str">
            <v>LOW VOLTAGE HOUSING</v>
          </cell>
          <cell r="H7385" t="str">
            <v>HYR60HYB05DG</v>
          </cell>
        </row>
        <row r="7386">
          <cell r="F7386" t="str">
            <v>210345-BK</v>
          </cell>
          <cell r="G7386" t="str">
            <v>LOW VOLTAGE HOUSING</v>
          </cell>
          <cell r="H7386" t="str">
            <v>HYR60HYB05B0</v>
          </cell>
        </row>
        <row r="7387">
          <cell r="F7387" t="str">
            <v>220242-BK</v>
          </cell>
          <cell r="G7387" t="str">
            <v>LOW VOLTAGE HOUSING</v>
          </cell>
          <cell r="H7387" t="str">
            <v>HYR47HYB02B0</v>
          </cell>
        </row>
        <row r="7388">
          <cell r="F7388" t="str">
            <v>220312-GR</v>
          </cell>
          <cell r="G7388" t="str">
            <v>LOW VOLTAGE HOUSING</v>
          </cell>
          <cell r="H7388" t="str">
            <v>HYR45HYBF6GR</v>
          </cell>
        </row>
        <row r="7389">
          <cell r="F7389" t="str">
            <v>210344-GR</v>
          </cell>
          <cell r="G7389" t="str">
            <v>LOW VOLTAGE HOUSING</v>
          </cell>
          <cell r="H7389" t="str">
            <v>HYR45HYBF5GR</v>
          </cell>
        </row>
        <row r="7390">
          <cell r="F7390" t="str">
            <v>220296-NA</v>
          </cell>
          <cell r="G7390" t="str">
            <v>LOW VOLTAGE HOUSING</v>
          </cell>
          <cell r="H7390" t="str">
            <v>HYR44HYF12W0</v>
          </cell>
        </row>
        <row r="7391">
          <cell r="F7391" t="str">
            <v>220311-BK</v>
          </cell>
          <cell r="G7391" t="str">
            <v>LOW VOLTAGE HOUSING</v>
          </cell>
          <cell r="H7391" t="str">
            <v>HYR34256A6B0</v>
          </cell>
        </row>
        <row r="7392">
          <cell r="F7392" t="str">
            <v>210343-BK</v>
          </cell>
          <cell r="G7392" t="str">
            <v>LOW VOLTAGE HOUSING</v>
          </cell>
          <cell r="H7392" t="str">
            <v>HYR34256A5B0</v>
          </cell>
        </row>
        <row r="7393">
          <cell r="F7393" t="str">
            <v>210320-NA</v>
          </cell>
          <cell r="G7393" t="str">
            <v>LOW VOLTAGE HOUSING</v>
          </cell>
          <cell r="H7393" t="str">
            <v>HYR32J0252W0</v>
          </cell>
        </row>
        <row r="7394">
          <cell r="F7394" t="str">
            <v>210320-BK</v>
          </cell>
          <cell r="G7394" t="str">
            <v>LOW VOLTAGE HOUSING</v>
          </cell>
          <cell r="H7394" t="str">
            <v>HYR32J0252B0</v>
          </cell>
        </row>
        <row r="7395">
          <cell r="F7395" t="str">
            <v>220339-BK</v>
          </cell>
          <cell r="G7395" t="str">
            <v>LOW VOLTAGE HOUSING</v>
          </cell>
          <cell r="H7395" t="str">
            <v>HYR24HYB02B0</v>
          </cell>
        </row>
        <row r="7396">
          <cell r="F7396" t="str">
            <v>220179-GE</v>
          </cell>
          <cell r="G7396" t="str">
            <v>LOW VOLTAGE HOUSING</v>
          </cell>
          <cell r="H7396" t="str">
            <v>HYR22HYB02G0</v>
          </cell>
        </row>
        <row r="7397">
          <cell r="F7397" t="str">
            <v>220358-BK</v>
          </cell>
          <cell r="G7397" t="str">
            <v>LOW VOLTAGE HOUSING</v>
          </cell>
          <cell r="H7397" t="str">
            <v>HYR2225066B0</v>
          </cell>
        </row>
        <row r="7398">
          <cell r="F7398" t="str">
            <v>210381-BK</v>
          </cell>
          <cell r="G7398" t="str">
            <v>LOW VOLTAGE HOUSING</v>
          </cell>
          <cell r="H7398" t="str">
            <v>HYR2225065B0</v>
          </cell>
        </row>
        <row r="7399">
          <cell r="F7399" t="str">
            <v>210338-GR</v>
          </cell>
          <cell r="G7399" t="str">
            <v>LOW VOLTAGE HOUSING</v>
          </cell>
          <cell r="H7399" t="str">
            <v>HYR1506F05GR</v>
          </cell>
        </row>
        <row r="7400">
          <cell r="F7400" t="str">
            <v>210319-YL</v>
          </cell>
          <cell r="G7400" t="str">
            <v>LOW VOLTAGE HOUSING</v>
          </cell>
          <cell r="H7400" t="str">
            <v>HYR14J0252Y0</v>
          </cell>
        </row>
        <row r="7401">
          <cell r="F7401" t="str">
            <v>210319-BR</v>
          </cell>
          <cell r="G7401" t="str">
            <v>LOW VOLTAGE HOUSING</v>
          </cell>
          <cell r="H7401" t="str">
            <v>HYR14J0252BR</v>
          </cell>
        </row>
        <row r="7402">
          <cell r="F7402" t="str">
            <v>210319-BK</v>
          </cell>
          <cell r="G7402" t="str">
            <v>LOW VOLTAGE HOUSING</v>
          </cell>
          <cell r="H7402" t="str">
            <v>HYR14J0252B0</v>
          </cell>
        </row>
        <row r="7403">
          <cell r="F7403" t="str">
            <v>210349-NA</v>
          </cell>
          <cell r="G7403" t="str">
            <v>LOW VOLTAGE HOUSING</v>
          </cell>
          <cell r="H7403" t="str">
            <v>HYR1425061W0</v>
          </cell>
        </row>
        <row r="7404">
          <cell r="F7404" t="str">
            <v>220168-NA</v>
          </cell>
          <cell r="G7404" t="str">
            <v>LOW VOLTAGE HOUSING</v>
          </cell>
          <cell r="H7404" t="str">
            <v>HYR1206002W0</v>
          </cell>
        </row>
        <row r="7405">
          <cell r="F7405" t="str">
            <v>210030-BK</v>
          </cell>
          <cell r="G7405" t="str">
            <v>LOW VOLTAGE HOUSING</v>
          </cell>
          <cell r="H7405" t="str">
            <v>HYR10025A1B0</v>
          </cell>
        </row>
        <row r="7406">
          <cell r="F7406" t="str">
            <v>C210215-YL</v>
          </cell>
          <cell r="G7406" t="str">
            <v>LOW VOLTAGE HOUSING</v>
          </cell>
          <cell r="H7406" t="str">
            <v>HYR0806J32Y0</v>
          </cell>
        </row>
        <row r="7407">
          <cell r="F7407" t="str">
            <v>210215-NA</v>
          </cell>
          <cell r="G7407" t="str">
            <v>LOW VOLTAGE HOUSING</v>
          </cell>
          <cell r="H7407" t="str">
            <v>HYR0806J32W0</v>
          </cell>
        </row>
        <row r="7408">
          <cell r="F7408" t="str">
            <v>210301-NA</v>
          </cell>
          <cell r="G7408" t="str">
            <v>LOW VOLTAGE HOUSING</v>
          </cell>
          <cell r="H7408" t="str">
            <v>HYR0802512W0</v>
          </cell>
        </row>
        <row r="7409">
          <cell r="F7409" t="str">
            <v>210301-BK</v>
          </cell>
          <cell r="G7409" t="str">
            <v>LOW VOLTAGE HOUSING</v>
          </cell>
          <cell r="H7409" t="str">
            <v>HYR0802512B0</v>
          </cell>
        </row>
        <row r="7410">
          <cell r="F7410" t="str">
            <v>220185-NA</v>
          </cell>
          <cell r="G7410" t="str">
            <v>LOW VOLTAGE HOUSING</v>
          </cell>
          <cell r="H7410" t="str">
            <v>HYR0802502W0</v>
          </cell>
        </row>
        <row r="7411">
          <cell r="F7411" t="str">
            <v>220197-NA</v>
          </cell>
          <cell r="G7411" t="str">
            <v>LOW VOLTAGE HOUSING</v>
          </cell>
          <cell r="H7411" t="str">
            <v>HYR0725F02W0</v>
          </cell>
        </row>
        <row r="7412">
          <cell r="F7412" t="str">
            <v>220188-NA</v>
          </cell>
          <cell r="G7412" t="str">
            <v>LOW VOLTAGE HOUSING</v>
          </cell>
          <cell r="H7412" t="str">
            <v>HYR0606032W0</v>
          </cell>
        </row>
        <row r="7413">
          <cell r="F7413" t="str">
            <v>240013-BK</v>
          </cell>
          <cell r="G7413" t="str">
            <v>LOW VOLTAGE HOUSING</v>
          </cell>
          <cell r="H7413" t="str">
            <v>HYR02060W5B0</v>
          </cell>
        </row>
        <row r="7414">
          <cell r="F7414" t="str">
            <v>220285-BK</v>
          </cell>
          <cell r="G7414" t="str">
            <v>LOW VOLTAGE HOUSING</v>
          </cell>
          <cell r="H7414" t="str">
            <v>HYR0202002B0</v>
          </cell>
        </row>
        <row r="7415">
          <cell r="F7415" t="str">
            <v>220342-BK</v>
          </cell>
          <cell r="G7415" t="str">
            <v>LOW VOLTAGE HOUSING</v>
          </cell>
          <cell r="H7415" t="str">
            <v>HYR0137502B0</v>
          </cell>
        </row>
        <row r="7416">
          <cell r="F7416" t="str">
            <v>KH2100102-11</v>
          </cell>
          <cell r="G7416" t="str">
            <v>LOW VOLTAGE HOUSING</v>
          </cell>
          <cell r="H7416" t="str">
            <v>HUJ1602502W0</v>
          </cell>
        </row>
        <row r="7417">
          <cell r="F7417" t="str">
            <v>KH2100102-21</v>
          </cell>
          <cell r="G7417" t="str">
            <v>LOW VOLTAGE HOUSING</v>
          </cell>
          <cell r="H7417" t="str">
            <v>HUJ1602502B0</v>
          </cell>
        </row>
        <row r="7418">
          <cell r="F7418" t="str">
            <v>KH1800004-21</v>
          </cell>
          <cell r="G7418" t="str">
            <v>LOW VOLTAGE HOUSING</v>
          </cell>
          <cell r="H7418" t="str">
            <v>HUJ10020D2B0</v>
          </cell>
        </row>
        <row r="7419">
          <cell r="F7419" t="str">
            <v>KH2000082-10</v>
          </cell>
          <cell r="G7419" t="str">
            <v>LOW VOLTAGE HOUSING</v>
          </cell>
          <cell r="H7419" t="str">
            <v>HUJ0802502W1</v>
          </cell>
        </row>
        <row r="7420">
          <cell r="F7420" t="str">
            <v>KH2000082-20</v>
          </cell>
          <cell r="G7420" t="str">
            <v>LOW VOLTAGE HOUSING</v>
          </cell>
          <cell r="H7420" t="str">
            <v>HUJ0802502B0</v>
          </cell>
        </row>
        <row r="7421">
          <cell r="F7421" t="str">
            <v>KH2000074-10</v>
          </cell>
          <cell r="G7421" t="str">
            <v>LOW VOLTAGE HOUSING</v>
          </cell>
          <cell r="H7421" t="str">
            <v>HUJ06025D2W1</v>
          </cell>
        </row>
        <row r="7422">
          <cell r="F7422" t="str">
            <v>KH1700104-10</v>
          </cell>
          <cell r="G7422" t="str">
            <v>LOW VOLTAGE HOUSING</v>
          </cell>
          <cell r="H7422" t="str">
            <v>HUJ04020D2W0</v>
          </cell>
        </row>
        <row r="7423">
          <cell r="F7423" t="str">
            <v>KH1800056-21</v>
          </cell>
          <cell r="G7423" t="str">
            <v>LOW VOLTAGE HOUSING</v>
          </cell>
          <cell r="H7423" t="str">
            <v>HUJ02025D2B0</v>
          </cell>
        </row>
        <row r="7424">
          <cell r="F7424" t="str">
            <v>6189-7100</v>
          </cell>
          <cell r="G7424" t="str">
            <v>LOW VOLTAGE HOUSING</v>
          </cell>
          <cell r="H7424" t="str">
            <v>HSM0606406B1</v>
          </cell>
        </row>
        <row r="7425">
          <cell r="F7425" t="str">
            <v>6189-7625</v>
          </cell>
          <cell r="G7425" t="str">
            <v>LOW VOLTAGE HOUSING</v>
          </cell>
          <cell r="H7425" t="str">
            <v>HSM0312006B0</v>
          </cell>
        </row>
        <row r="7426">
          <cell r="F7426" t="str">
            <v>6189-7771</v>
          </cell>
          <cell r="G7426" t="str">
            <v>LOW VOLTAGE HOUSING</v>
          </cell>
          <cell r="H7426" t="str">
            <v>HSM0212006Y2</v>
          </cell>
        </row>
        <row r="7427">
          <cell r="F7427" t="str">
            <v>SMH200-H04H3</v>
          </cell>
          <cell r="G7427" t="str">
            <v>HOUSING</v>
          </cell>
          <cell r="H7427" t="str">
            <v>HOUO614</v>
          </cell>
        </row>
        <row r="7428">
          <cell r="F7428" t="str">
            <v>CHDW1140-08(V0)</v>
          </cell>
          <cell r="G7428" t="str">
            <v>HOUSING</v>
          </cell>
          <cell r="H7428" t="str">
            <v>HOU2449</v>
          </cell>
        </row>
        <row r="7429">
          <cell r="F7429" t="str">
            <v>CHD1140-08(V0)</v>
          </cell>
          <cell r="G7429" t="str">
            <v>HOUSING</v>
          </cell>
          <cell r="H7429" t="str">
            <v>HOU2448</v>
          </cell>
        </row>
        <row r="7430">
          <cell r="F7430" t="str">
            <v>ZHR-3</v>
          </cell>
          <cell r="G7430" t="str">
            <v>HOUSING</v>
          </cell>
          <cell r="H7430" t="str">
            <v>HOU2447</v>
          </cell>
        </row>
        <row r="7431">
          <cell r="F7431" t="str">
            <v>XARR-09V</v>
          </cell>
          <cell r="G7431" t="str">
            <v>HOUSING</v>
          </cell>
          <cell r="H7431" t="str">
            <v>HOU2446</v>
          </cell>
        </row>
        <row r="7432">
          <cell r="F7432" t="str">
            <v>XARP-09V</v>
          </cell>
          <cell r="G7432" t="str">
            <v>HOUSING</v>
          </cell>
          <cell r="H7432" t="str">
            <v>HOU2445</v>
          </cell>
        </row>
        <row r="7433">
          <cell r="F7433" t="str">
            <v>PWEP-03V-1WGL1-S</v>
          </cell>
          <cell r="G7433" t="str">
            <v>HOUSING</v>
          </cell>
          <cell r="H7433" t="str">
            <v>HOU2444</v>
          </cell>
        </row>
        <row r="7434">
          <cell r="F7434" t="str">
            <v>204102-0609</v>
          </cell>
          <cell r="G7434" t="str">
            <v>HOUSING</v>
          </cell>
          <cell r="H7434" t="str">
            <v>HOU2443</v>
          </cell>
        </row>
        <row r="7435">
          <cell r="F7435" t="str">
            <v>MG615708-015</v>
          </cell>
          <cell r="G7435" t="str">
            <v>HOUSING</v>
          </cell>
          <cell r="H7435" t="str">
            <v>HOU2442</v>
          </cell>
        </row>
        <row r="7436">
          <cell r="F7436" t="str">
            <v>MG615708-012</v>
          </cell>
          <cell r="G7436" t="str">
            <v>HOUSING</v>
          </cell>
          <cell r="H7436" t="str">
            <v>HOU2441</v>
          </cell>
        </row>
        <row r="7437">
          <cell r="F7437" t="str">
            <v>MG615687-002</v>
          </cell>
          <cell r="G7437" t="str">
            <v>HOUSING</v>
          </cell>
          <cell r="H7437" t="str">
            <v>HOU2440</v>
          </cell>
        </row>
        <row r="7438">
          <cell r="F7438" t="str">
            <v>MG615687-602</v>
          </cell>
          <cell r="G7438" t="str">
            <v>HOUSING</v>
          </cell>
          <cell r="H7438" t="str">
            <v>HOU2439</v>
          </cell>
        </row>
        <row r="7439">
          <cell r="F7439" t="str">
            <v>MG615687-402</v>
          </cell>
          <cell r="G7439" t="str">
            <v>HOUSING</v>
          </cell>
          <cell r="H7439" t="str">
            <v>HOU2438</v>
          </cell>
        </row>
        <row r="7440">
          <cell r="F7440" t="str">
            <v>MG615687-402</v>
          </cell>
          <cell r="G7440" t="str">
            <v>HOUSING</v>
          </cell>
          <cell r="H7440" t="str">
            <v>HOU2437</v>
          </cell>
        </row>
        <row r="7441">
          <cell r="F7441" t="str">
            <v>MG615687-302</v>
          </cell>
          <cell r="G7441" t="str">
            <v>HOUSING</v>
          </cell>
          <cell r="H7441" t="str">
            <v>HOU2436</v>
          </cell>
        </row>
        <row r="7442">
          <cell r="F7442" t="str">
            <v>MG615687-202</v>
          </cell>
          <cell r="G7442" t="str">
            <v>HOUSING</v>
          </cell>
          <cell r="H7442" t="str">
            <v>HOU2435</v>
          </cell>
        </row>
        <row r="7443">
          <cell r="F7443" t="str">
            <v>MG625251T-012</v>
          </cell>
          <cell r="G7443" t="str">
            <v>HOUSING</v>
          </cell>
          <cell r="H7443" t="str">
            <v>HOU2434</v>
          </cell>
        </row>
        <row r="7444">
          <cell r="F7444" t="str">
            <v>SMH420-08BZ</v>
          </cell>
          <cell r="G7444" t="str">
            <v>HOUSING</v>
          </cell>
          <cell r="H7444" t="str">
            <v>HOU2433</v>
          </cell>
        </row>
        <row r="7445">
          <cell r="F7445" t="str">
            <v>MG615718-002</v>
          </cell>
          <cell r="G7445" t="str">
            <v>HOUSING</v>
          </cell>
          <cell r="H7445" t="str">
            <v>HOU2432</v>
          </cell>
        </row>
        <row r="7446">
          <cell r="F7446" t="str">
            <v>SJH2K-03HG</v>
          </cell>
          <cell r="G7446" t="str">
            <v>HOUSING</v>
          </cell>
          <cell r="H7446" t="str">
            <v>HOU2431</v>
          </cell>
        </row>
        <row r="7447">
          <cell r="F7447" t="str">
            <v>VCAFA0031</v>
          </cell>
          <cell r="G7447" t="str">
            <v>HOUSING</v>
          </cell>
          <cell r="H7447" t="str">
            <v>HOU2430</v>
          </cell>
        </row>
        <row r="7448">
          <cell r="F7448" t="str">
            <v>SMH200-12PRZ</v>
          </cell>
          <cell r="G7448" t="str">
            <v>HOUSING</v>
          </cell>
          <cell r="H7448" t="str">
            <v>HOU2429</v>
          </cell>
        </row>
        <row r="7449">
          <cell r="F7449" t="str">
            <v>917692-1</v>
          </cell>
          <cell r="G7449" t="str">
            <v>HOUSING</v>
          </cell>
          <cell r="H7449" t="str">
            <v>HOU2428</v>
          </cell>
        </row>
        <row r="7450">
          <cell r="F7450" t="str">
            <v>1376390-1</v>
          </cell>
          <cell r="G7450" t="str">
            <v>HOUSING</v>
          </cell>
          <cell r="H7450" t="str">
            <v>HOU2427</v>
          </cell>
        </row>
        <row r="7451">
          <cell r="F7451" t="str">
            <v>MG621469</v>
          </cell>
          <cell r="G7451" t="str">
            <v>HOUSING</v>
          </cell>
          <cell r="H7451" t="str">
            <v>HOU2426</v>
          </cell>
        </row>
        <row r="7452">
          <cell r="F7452">
            <v>1212010015</v>
          </cell>
          <cell r="G7452" t="str">
            <v>HOUSING</v>
          </cell>
          <cell r="H7452" t="str">
            <v>HOU2425</v>
          </cell>
        </row>
        <row r="7453">
          <cell r="F7453" t="str">
            <v>SMP-03V-NC</v>
          </cell>
          <cell r="G7453" t="str">
            <v>HOUSING</v>
          </cell>
          <cell r="H7453" t="str">
            <v>HOU2424</v>
          </cell>
        </row>
        <row r="7454">
          <cell r="F7454" t="str">
            <v>SMH250-08L(BL)</v>
          </cell>
          <cell r="G7454" t="str">
            <v>HOUSING</v>
          </cell>
          <cell r="H7454" t="str">
            <v>HOU2423</v>
          </cell>
        </row>
        <row r="7455">
          <cell r="F7455" t="str">
            <v>MG625500-007</v>
          </cell>
          <cell r="G7455" t="str">
            <v>HOUSING</v>
          </cell>
          <cell r="H7455" t="str">
            <v>HOU2422</v>
          </cell>
        </row>
        <row r="7456">
          <cell r="F7456" t="str">
            <v>MG615708-011</v>
          </cell>
          <cell r="G7456" t="str">
            <v>HOUSING</v>
          </cell>
          <cell r="H7456" t="str">
            <v>HOU2421</v>
          </cell>
        </row>
        <row r="7457">
          <cell r="F7457" t="str">
            <v>MG615708-008</v>
          </cell>
          <cell r="G7457" t="str">
            <v>HOUSING</v>
          </cell>
          <cell r="H7457" t="str">
            <v>HOU2420</v>
          </cell>
        </row>
        <row r="7458">
          <cell r="F7458" t="str">
            <v>MG625500-015</v>
          </cell>
          <cell r="G7458" t="str">
            <v>HOUSING</v>
          </cell>
          <cell r="H7458" t="str">
            <v>HOU2419</v>
          </cell>
        </row>
        <row r="7459">
          <cell r="F7459" t="str">
            <v>GBH01-08</v>
          </cell>
          <cell r="G7459" t="str">
            <v>HOUSING</v>
          </cell>
          <cell r="H7459" t="str">
            <v>HOU2418</v>
          </cell>
        </row>
        <row r="7460">
          <cell r="F7460" t="str">
            <v>SMH200-H03PRZ</v>
          </cell>
          <cell r="G7460" t="str">
            <v>HOUSING</v>
          </cell>
          <cell r="H7460" t="str">
            <v>HOU2417</v>
          </cell>
        </row>
        <row r="7461">
          <cell r="F7461" t="str">
            <v>MG620006</v>
          </cell>
          <cell r="G7461" t="str">
            <v>HOUSING</v>
          </cell>
          <cell r="H7461" t="str">
            <v>HOU2416</v>
          </cell>
        </row>
        <row r="7462">
          <cell r="F7462" t="str">
            <v>MG623085T</v>
          </cell>
          <cell r="G7462" t="str">
            <v>HOUSING</v>
          </cell>
          <cell r="H7462" t="str">
            <v>HOU2415</v>
          </cell>
        </row>
        <row r="7463">
          <cell r="F7463" t="str">
            <v>CHW0640-06</v>
          </cell>
          <cell r="G7463" t="str">
            <v>HOUSING</v>
          </cell>
          <cell r="H7463" t="str">
            <v>HOU2414</v>
          </cell>
        </row>
        <row r="7464">
          <cell r="F7464" t="str">
            <v>MG625504-203</v>
          </cell>
          <cell r="G7464" t="str">
            <v>HOUSING</v>
          </cell>
          <cell r="H7464" t="str">
            <v>HOU2413</v>
          </cell>
        </row>
        <row r="7465">
          <cell r="F7465" t="str">
            <v>MG625504-103</v>
          </cell>
          <cell r="G7465" t="str">
            <v>HOUSING</v>
          </cell>
          <cell r="H7465" t="str">
            <v>HOU2412</v>
          </cell>
        </row>
        <row r="7466">
          <cell r="F7466" t="str">
            <v>SMH200-11PRZ</v>
          </cell>
          <cell r="G7466" t="str">
            <v>HOUSING</v>
          </cell>
          <cell r="H7466" t="str">
            <v>HOU2411</v>
          </cell>
        </row>
        <row r="7467">
          <cell r="F7467" t="str">
            <v>YH396-03VRZ(BL)</v>
          </cell>
          <cell r="G7467" t="str">
            <v>HOUSING</v>
          </cell>
          <cell r="H7467" t="str">
            <v>HOU2410</v>
          </cell>
        </row>
        <row r="7468">
          <cell r="F7468" t="str">
            <v>AH080720</v>
          </cell>
          <cell r="G7468" t="str">
            <v>HOUSING</v>
          </cell>
          <cell r="H7468" t="str">
            <v>HOU2409</v>
          </cell>
        </row>
        <row r="7469">
          <cell r="F7469" t="str">
            <v>AH140520</v>
          </cell>
          <cell r="G7469" t="str">
            <v>HOUSING</v>
          </cell>
          <cell r="H7469" t="str">
            <v>HOU2408</v>
          </cell>
        </row>
        <row r="7470">
          <cell r="F7470" t="str">
            <v>MG625530-028</v>
          </cell>
          <cell r="G7470" t="str">
            <v>HOUSING</v>
          </cell>
          <cell r="H7470" t="str">
            <v>HOU2407</v>
          </cell>
        </row>
        <row r="7471">
          <cell r="F7471" t="str">
            <v>YMH025-14R</v>
          </cell>
          <cell r="G7471" t="str">
            <v>HOUSING</v>
          </cell>
          <cell r="H7471" t="str">
            <v>HOU2405</v>
          </cell>
        </row>
        <row r="7472">
          <cell r="F7472" t="str">
            <v>282087-1(BLK)</v>
          </cell>
          <cell r="G7472" t="str">
            <v>HOUSING</v>
          </cell>
          <cell r="H7472" t="str">
            <v>HOU2404</v>
          </cell>
        </row>
        <row r="7473">
          <cell r="F7473" t="str">
            <v>SMH200-H11PR</v>
          </cell>
          <cell r="G7473" t="str">
            <v>HOUSING</v>
          </cell>
          <cell r="H7473" t="str">
            <v>HOU2403</v>
          </cell>
        </row>
        <row r="7474">
          <cell r="F7474" t="str">
            <v>917687-1</v>
          </cell>
          <cell r="G7474" t="str">
            <v>HOUSING</v>
          </cell>
          <cell r="H7474" t="str">
            <v>HOU2402</v>
          </cell>
        </row>
        <row r="7475">
          <cell r="F7475" t="str">
            <v>CHD1140-04(GRN)</v>
          </cell>
          <cell r="G7475" t="str">
            <v>HOUSING</v>
          </cell>
          <cell r="H7475" t="str">
            <v>HOU2401</v>
          </cell>
        </row>
        <row r="7476">
          <cell r="F7476" t="str">
            <v>12505HS-03</v>
          </cell>
          <cell r="G7476" t="str">
            <v>HOUSING</v>
          </cell>
          <cell r="H7476" t="str">
            <v>HOU2400</v>
          </cell>
        </row>
        <row r="7477">
          <cell r="F7477" t="str">
            <v>YH396-10VRZ</v>
          </cell>
          <cell r="G7477" t="str">
            <v>HOUSING</v>
          </cell>
          <cell r="H7477" t="str">
            <v>HOU2399</v>
          </cell>
        </row>
        <row r="7478">
          <cell r="F7478" t="str">
            <v>12507HS-H08G1(BK)</v>
          </cell>
          <cell r="G7478" t="str">
            <v>HOUSING</v>
          </cell>
          <cell r="H7478" t="str">
            <v>HOU2398</v>
          </cell>
        </row>
        <row r="7479">
          <cell r="F7479" t="str">
            <v>MG625521-503</v>
          </cell>
          <cell r="G7479" t="str">
            <v>HOUSING</v>
          </cell>
          <cell r="H7479" t="str">
            <v>HOU2397</v>
          </cell>
        </row>
        <row r="7480">
          <cell r="F7480" t="str">
            <v>SMH200-09HZ</v>
          </cell>
          <cell r="G7480" t="str">
            <v>HOUSING</v>
          </cell>
          <cell r="H7480" t="str">
            <v>HOU2396</v>
          </cell>
        </row>
        <row r="7481">
          <cell r="F7481" t="str">
            <v>MG610223</v>
          </cell>
          <cell r="G7481" t="str">
            <v>HOUSING</v>
          </cell>
          <cell r="H7481" t="str">
            <v>HOU2395</v>
          </cell>
        </row>
        <row r="7482">
          <cell r="F7482" t="str">
            <v>12505HS-11</v>
          </cell>
          <cell r="G7482" t="str">
            <v>HOUSING</v>
          </cell>
          <cell r="H7482" t="str">
            <v>HOU2394</v>
          </cell>
        </row>
        <row r="7483">
          <cell r="F7483" t="str">
            <v>SMH200-03HZ</v>
          </cell>
          <cell r="G7483" t="str">
            <v>HOUSING</v>
          </cell>
          <cell r="H7483" t="str">
            <v>HOU2393</v>
          </cell>
        </row>
        <row r="7484">
          <cell r="F7484" t="str">
            <v>SMH200-H05PR(RE)</v>
          </cell>
          <cell r="G7484" t="str">
            <v>HOUSING</v>
          </cell>
          <cell r="H7484" t="str">
            <v>HOU2392</v>
          </cell>
        </row>
        <row r="7485">
          <cell r="F7485" t="str">
            <v>SMH200-H05H3(BLU)</v>
          </cell>
          <cell r="G7485" t="str">
            <v>HOUSING</v>
          </cell>
          <cell r="H7485" t="str">
            <v>HOU2391</v>
          </cell>
        </row>
        <row r="7486">
          <cell r="F7486" t="str">
            <v>25045HP-05AZ(YE)</v>
          </cell>
          <cell r="G7486" t="str">
            <v>HOUSING</v>
          </cell>
          <cell r="H7486" t="str">
            <v>HOU2390</v>
          </cell>
        </row>
        <row r="7487">
          <cell r="F7487" t="str">
            <v>CHD1140-04(BLU)</v>
          </cell>
          <cell r="G7487" t="str">
            <v>HOUSING</v>
          </cell>
          <cell r="H7487" t="str">
            <v>HOU2389</v>
          </cell>
        </row>
        <row r="7488">
          <cell r="F7488" t="str">
            <v>2391828-8</v>
          </cell>
          <cell r="G7488" t="str">
            <v>HOUSING</v>
          </cell>
          <cell r="H7488" t="str">
            <v>HOU2388</v>
          </cell>
        </row>
        <row r="7489">
          <cell r="F7489" t="str">
            <v>04ZR-8K-P</v>
          </cell>
          <cell r="G7489" t="str">
            <v>HOUSING</v>
          </cell>
          <cell r="H7489" t="str">
            <v>HOU2387</v>
          </cell>
        </row>
        <row r="7490">
          <cell r="F7490" t="str">
            <v>03ZR-8K-P</v>
          </cell>
          <cell r="G7490" t="str">
            <v>HOUSING</v>
          </cell>
          <cell r="H7490" t="str">
            <v>HOU2386</v>
          </cell>
        </row>
        <row r="7491">
          <cell r="F7491" t="str">
            <v>420C2PM12FL0</v>
          </cell>
          <cell r="G7491" t="str">
            <v>HOUSING</v>
          </cell>
          <cell r="H7491" t="str">
            <v>HOU2385</v>
          </cell>
        </row>
        <row r="7492">
          <cell r="F7492" t="str">
            <v>HLH1005-02(WHT)</v>
          </cell>
          <cell r="G7492" t="str">
            <v>HOUSING</v>
          </cell>
          <cell r="H7492" t="str">
            <v>HOU2384</v>
          </cell>
        </row>
        <row r="7493">
          <cell r="F7493" t="str">
            <v>HLH1005-02(BLK)</v>
          </cell>
          <cell r="G7493" t="str">
            <v>HOUSING</v>
          </cell>
          <cell r="H7493" t="str">
            <v>HOU2383</v>
          </cell>
        </row>
        <row r="7494">
          <cell r="F7494" t="str">
            <v>PWCP-03V-3WGL1-H(GRY)</v>
          </cell>
          <cell r="G7494" t="str">
            <v>HOUSING</v>
          </cell>
          <cell r="H7494" t="str">
            <v>HOU2382</v>
          </cell>
        </row>
        <row r="7495">
          <cell r="F7495" t="str">
            <v>MG625504-006</v>
          </cell>
          <cell r="G7495" t="str">
            <v>HOUSING</v>
          </cell>
          <cell r="H7495" t="str">
            <v>HOU2381</v>
          </cell>
        </row>
        <row r="7496">
          <cell r="F7496" t="str">
            <v>MG625504-004</v>
          </cell>
          <cell r="G7496" t="str">
            <v>HOUSING</v>
          </cell>
          <cell r="H7496" t="str">
            <v>HOU2380</v>
          </cell>
        </row>
        <row r="7497">
          <cell r="F7497" t="str">
            <v>MG625504-003</v>
          </cell>
          <cell r="G7497" t="str">
            <v>HOUSING</v>
          </cell>
          <cell r="H7497" t="str">
            <v>HOU2379</v>
          </cell>
        </row>
        <row r="7498">
          <cell r="F7498" t="str">
            <v>MG625504-002</v>
          </cell>
          <cell r="G7498" t="str">
            <v>HOUSING</v>
          </cell>
          <cell r="H7498" t="str">
            <v>HOU2378</v>
          </cell>
        </row>
        <row r="7499">
          <cell r="F7499" t="str">
            <v>MG634155C-002</v>
          </cell>
          <cell r="G7499" t="str">
            <v>HOUSING</v>
          </cell>
          <cell r="H7499" t="str">
            <v>HOU2377</v>
          </cell>
        </row>
        <row r="7500">
          <cell r="F7500" t="str">
            <v>MG623377</v>
          </cell>
          <cell r="G7500" t="str">
            <v>HOUSING</v>
          </cell>
          <cell r="H7500" t="str">
            <v>HOU2376</v>
          </cell>
        </row>
        <row r="7501">
          <cell r="F7501" t="str">
            <v>YH396-06JR</v>
          </cell>
          <cell r="G7501" t="str">
            <v>HOUSING</v>
          </cell>
          <cell r="H7501" t="str">
            <v>HOU2375</v>
          </cell>
        </row>
        <row r="7502">
          <cell r="F7502" t="str">
            <v>CHD1140-04</v>
          </cell>
          <cell r="G7502" t="str">
            <v>HOUSING</v>
          </cell>
          <cell r="H7502" t="str">
            <v>HOU2374</v>
          </cell>
        </row>
        <row r="7503">
          <cell r="F7503" t="str">
            <v>20065916A(GRAY)</v>
          </cell>
          <cell r="G7503" t="str">
            <v>LOWER COVER</v>
          </cell>
          <cell r="H7503" t="str">
            <v>HOU2373</v>
          </cell>
        </row>
        <row r="7504">
          <cell r="F7504" t="str">
            <v>12507HS-H10G2(NC)</v>
          </cell>
          <cell r="G7504" t="str">
            <v>HOUSING</v>
          </cell>
          <cell r="H7504" t="str">
            <v>HOU2372</v>
          </cell>
        </row>
        <row r="7505">
          <cell r="F7505" t="str">
            <v>MG625312-3</v>
          </cell>
          <cell r="G7505" t="str">
            <v>HOUSING</v>
          </cell>
          <cell r="H7505" t="str">
            <v>HOU2371</v>
          </cell>
        </row>
        <row r="7506">
          <cell r="F7506" t="str">
            <v>12507HS-H05G2(NC)</v>
          </cell>
          <cell r="G7506" t="str">
            <v>HOUSING</v>
          </cell>
          <cell r="H7506" t="str">
            <v>HOU2370</v>
          </cell>
        </row>
        <row r="7507">
          <cell r="F7507" t="str">
            <v>90019WS-03</v>
          </cell>
          <cell r="G7507" t="str">
            <v>HOUSING</v>
          </cell>
          <cell r="H7507" t="str">
            <v>HOU2369</v>
          </cell>
        </row>
        <row r="7508">
          <cell r="F7508" t="str">
            <v>YBH250-05</v>
          </cell>
          <cell r="G7508" t="str">
            <v>HOUSING</v>
          </cell>
          <cell r="H7508" t="str">
            <v>HOU2368</v>
          </cell>
        </row>
        <row r="7509">
          <cell r="F7509">
            <v>1335784</v>
          </cell>
          <cell r="G7509" t="str">
            <v>HOUSING</v>
          </cell>
          <cell r="H7509" t="str">
            <v>HOU2367</v>
          </cell>
        </row>
        <row r="7510">
          <cell r="F7510" t="str">
            <v>YH396-10JR</v>
          </cell>
          <cell r="G7510" t="str">
            <v>HOUSING</v>
          </cell>
          <cell r="H7510" t="str">
            <v>HOU2366</v>
          </cell>
        </row>
        <row r="7511">
          <cell r="F7511" t="str">
            <v>20062207A</v>
          </cell>
          <cell r="G7511" t="str">
            <v>LOWER COVER</v>
          </cell>
          <cell r="H7511" t="str">
            <v>HOU2364</v>
          </cell>
        </row>
        <row r="7512">
          <cell r="F7512" t="str">
            <v>20062206A</v>
          </cell>
          <cell r="G7512" t="str">
            <v>UPPER COVER</v>
          </cell>
          <cell r="H7512" t="str">
            <v>HOU2363</v>
          </cell>
        </row>
        <row r="7513">
          <cell r="F7513" t="str">
            <v>20054994A</v>
          </cell>
          <cell r="G7513" t="str">
            <v>LOWER COVER</v>
          </cell>
          <cell r="H7513" t="str">
            <v>HOU2362</v>
          </cell>
        </row>
        <row r="7514">
          <cell r="F7514" t="str">
            <v>20054993A</v>
          </cell>
          <cell r="G7514" t="str">
            <v>UPPER COVER</v>
          </cell>
          <cell r="H7514" t="str">
            <v>HOU2361</v>
          </cell>
        </row>
        <row r="7515">
          <cell r="F7515" t="str">
            <v>MFMP 9560-003-85N-960-000-00</v>
          </cell>
          <cell r="G7515" t="str">
            <v>HOUSING</v>
          </cell>
          <cell r="H7515" t="str">
            <v>HOU2360</v>
          </cell>
        </row>
        <row r="7516">
          <cell r="F7516" t="str">
            <v>A2010H00-8P-JT</v>
          </cell>
          <cell r="G7516" t="str">
            <v>HOUSING</v>
          </cell>
          <cell r="H7516" t="str">
            <v>HOU2359</v>
          </cell>
        </row>
        <row r="7517">
          <cell r="F7517" t="str">
            <v>RMH25-04M</v>
          </cell>
          <cell r="G7517" t="str">
            <v>HOUSING</v>
          </cell>
          <cell r="H7517" t="str">
            <v>HOU2358</v>
          </cell>
        </row>
        <row r="7518">
          <cell r="F7518" t="str">
            <v>172708-0112</v>
          </cell>
          <cell r="G7518" t="str">
            <v>HOUSING</v>
          </cell>
          <cell r="H7518" t="str">
            <v>HOU2357</v>
          </cell>
        </row>
        <row r="7519">
          <cell r="F7519" t="str">
            <v>20022HS-03</v>
          </cell>
          <cell r="G7519" t="str">
            <v>HOUSING</v>
          </cell>
          <cell r="H7519" t="str">
            <v>HOU2356</v>
          </cell>
        </row>
        <row r="7520">
          <cell r="F7520" t="str">
            <v>10035HS-H06B1(YE)</v>
          </cell>
          <cell r="G7520" t="str">
            <v>HOUSING</v>
          </cell>
          <cell r="H7520" t="str">
            <v>HOU2355</v>
          </cell>
        </row>
        <row r="7521">
          <cell r="F7521" t="str">
            <v>SC51132-061A</v>
          </cell>
          <cell r="G7521" t="str">
            <v>HOUSING</v>
          </cell>
          <cell r="H7521" t="str">
            <v>HOU2354</v>
          </cell>
        </row>
        <row r="7522">
          <cell r="F7522" t="str">
            <v>1376394-1</v>
          </cell>
          <cell r="G7522" t="str">
            <v>HOUSING</v>
          </cell>
          <cell r="H7522" t="str">
            <v>HOU2353</v>
          </cell>
        </row>
        <row r="7523">
          <cell r="F7523" t="str">
            <v>YH396-07JR</v>
          </cell>
          <cell r="G7523" t="str">
            <v>HOUSING</v>
          </cell>
          <cell r="H7523" t="str">
            <v>HOU2352</v>
          </cell>
        </row>
        <row r="7524">
          <cell r="F7524">
            <v>1212010001</v>
          </cell>
          <cell r="G7524" t="str">
            <v>HOUSING</v>
          </cell>
          <cell r="H7524" t="str">
            <v>HOU2351</v>
          </cell>
        </row>
        <row r="7525">
          <cell r="F7525" t="str">
            <v>CHB1143-03</v>
          </cell>
          <cell r="G7525" t="str">
            <v>HOUSING</v>
          </cell>
          <cell r="H7525" t="str">
            <v>HOU2349</v>
          </cell>
        </row>
        <row r="7526">
          <cell r="F7526" t="str">
            <v>5557-05R2</v>
          </cell>
          <cell r="G7526" t="str">
            <v>HOUSING</v>
          </cell>
          <cell r="H7526" t="str">
            <v>HOU2348</v>
          </cell>
        </row>
        <row r="7527">
          <cell r="F7527" t="str">
            <v>350766-1</v>
          </cell>
          <cell r="G7527" t="str">
            <v>HOUSING</v>
          </cell>
          <cell r="H7527" t="str">
            <v>HOU2347</v>
          </cell>
        </row>
        <row r="7528">
          <cell r="F7528" t="str">
            <v>2-1376388-3</v>
          </cell>
          <cell r="G7528" t="str">
            <v>HOUSING</v>
          </cell>
          <cell r="H7528" t="str">
            <v>HOU2346</v>
          </cell>
        </row>
        <row r="7529">
          <cell r="F7529" t="str">
            <v>1-966194-3</v>
          </cell>
          <cell r="G7529" t="str">
            <v>HOUSING</v>
          </cell>
          <cell r="H7529" t="str">
            <v>HOU2345</v>
          </cell>
        </row>
        <row r="7530">
          <cell r="F7530" t="str">
            <v>1376388-1</v>
          </cell>
          <cell r="G7530" t="str">
            <v>HOUSING</v>
          </cell>
          <cell r="H7530" t="str">
            <v>HOU2344</v>
          </cell>
        </row>
        <row r="7531">
          <cell r="F7531" t="str">
            <v>SMH200-H04H3(RED)</v>
          </cell>
          <cell r="G7531" t="str">
            <v>HOUSING</v>
          </cell>
          <cell r="H7531" t="str">
            <v>HOU2343</v>
          </cell>
        </row>
        <row r="7532">
          <cell r="F7532" t="str">
            <v>MG624159</v>
          </cell>
          <cell r="G7532" t="str">
            <v>HOUSING</v>
          </cell>
          <cell r="H7532" t="str">
            <v>HOU2342</v>
          </cell>
        </row>
        <row r="7533">
          <cell r="F7533" t="str">
            <v>XHP-03</v>
          </cell>
          <cell r="G7533" t="str">
            <v>HOUSING</v>
          </cell>
          <cell r="H7533" t="str">
            <v>HOU2341</v>
          </cell>
        </row>
        <row r="7534">
          <cell r="F7534" t="str">
            <v>1-176497-1</v>
          </cell>
          <cell r="G7534" t="str">
            <v>HOUSING</v>
          </cell>
          <cell r="H7534" t="str">
            <v>HOU2340</v>
          </cell>
        </row>
        <row r="7535">
          <cell r="F7535" t="str">
            <v>1-1743217-1</v>
          </cell>
          <cell r="G7535" t="str">
            <v>HOUSING</v>
          </cell>
          <cell r="H7535" t="str">
            <v>HOU2339</v>
          </cell>
        </row>
        <row r="7536">
          <cell r="F7536" t="str">
            <v>YHL500-03B</v>
          </cell>
          <cell r="G7536" t="str">
            <v>HOUSING</v>
          </cell>
          <cell r="H7536" t="str">
            <v>HOU2338</v>
          </cell>
        </row>
        <row r="7537">
          <cell r="F7537" t="str">
            <v>YH396-11JR</v>
          </cell>
          <cell r="G7537" t="str">
            <v>HOUSING</v>
          </cell>
          <cell r="H7537" t="str">
            <v>HOU2336</v>
          </cell>
        </row>
        <row r="7538">
          <cell r="F7538" t="str">
            <v>YH396-03JR</v>
          </cell>
          <cell r="G7538" t="str">
            <v>HOUSING</v>
          </cell>
          <cell r="H7538" t="str">
            <v>HOU2335</v>
          </cell>
        </row>
        <row r="7539">
          <cell r="F7539" t="str">
            <v>YH396-02JR</v>
          </cell>
          <cell r="G7539" t="str">
            <v>HOUSING</v>
          </cell>
          <cell r="H7539" t="str">
            <v>HOU2334</v>
          </cell>
        </row>
        <row r="7540">
          <cell r="F7540" t="str">
            <v>YFH800-01</v>
          </cell>
          <cell r="G7540" t="str">
            <v>HOUSING</v>
          </cell>
          <cell r="H7540" t="str">
            <v>HOU2333</v>
          </cell>
        </row>
        <row r="7541">
          <cell r="F7541" t="str">
            <v>SMP250-05(RED)</v>
          </cell>
          <cell r="G7541" t="str">
            <v>HOUSING</v>
          </cell>
          <cell r="H7541" t="str">
            <v>HOU2332</v>
          </cell>
        </row>
        <row r="7542">
          <cell r="F7542" t="str">
            <v>SMP250-03(YEL)</v>
          </cell>
          <cell r="G7542" t="str">
            <v>HOUSING</v>
          </cell>
          <cell r="H7542" t="str">
            <v>HOU2330</v>
          </cell>
        </row>
        <row r="7543">
          <cell r="F7543" t="str">
            <v>SMP250-03(RED)</v>
          </cell>
          <cell r="G7543" t="str">
            <v>HOUSING</v>
          </cell>
          <cell r="H7543" t="str">
            <v>HOU2329</v>
          </cell>
        </row>
        <row r="7544">
          <cell r="F7544" t="str">
            <v>SMP250-03(GRN)</v>
          </cell>
          <cell r="G7544" t="str">
            <v>HOUSING</v>
          </cell>
          <cell r="H7544" t="str">
            <v>HOU2328</v>
          </cell>
        </row>
        <row r="7545">
          <cell r="F7545" t="str">
            <v>SMP250-03(BLU)</v>
          </cell>
          <cell r="G7545" t="str">
            <v>HOUSING</v>
          </cell>
          <cell r="H7545" t="str">
            <v>HOU2327</v>
          </cell>
        </row>
        <row r="7546">
          <cell r="F7546" t="str">
            <v>SMP250-03(BLK)</v>
          </cell>
          <cell r="G7546" t="str">
            <v>HOUSING</v>
          </cell>
          <cell r="H7546" t="str">
            <v>HOU2326</v>
          </cell>
        </row>
        <row r="7547">
          <cell r="F7547" t="str">
            <v>SMH250-05(YEL)</v>
          </cell>
          <cell r="G7547" t="str">
            <v>HOUSING</v>
          </cell>
          <cell r="H7547" t="str">
            <v>HOU2325</v>
          </cell>
        </row>
        <row r="7548">
          <cell r="F7548" t="str">
            <v>SMH200-12C</v>
          </cell>
          <cell r="G7548" t="str">
            <v>HOUSING</v>
          </cell>
          <cell r="H7548" t="str">
            <v>HOU2323</v>
          </cell>
        </row>
        <row r="7549">
          <cell r="F7549" t="str">
            <v>MFVV 7238-006-W60</v>
          </cell>
          <cell r="G7549" t="str">
            <v>HOUSING</v>
          </cell>
          <cell r="H7549" t="str">
            <v>HOU2321</v>
          </cell>
        </row>
        <row r="7550">
          <cell r="F7550" t="str">
            <v>LH05-05(NATURE)</v>
          </cell>
          <cell r="G7550" t="str">
            <v>HOUSING</v>
          </cell>
          <cell r="H7550" t="str">
            <v>HOU2320</v>
          </cell>
        </row>
        <row r="7551">
          <cell r="F7551" t="str">
            <v>HSNT-02L-G</v>
          </cell>
          <cell r="G7551" t="str">
            <v>HOUSING</v>
          </cell>
          <cell r="H7551" t="str">
            <v>HOU2319</v>
          </cell>
        </row>
        <row r="7552">
          <cell r="F7552">
            <v>1336636</v>
          </cell>
          <cell r="G7552" t="str">
            <v>HOUSING</v>
          </cell>
          <cell r="H7552" t="str">
            <v>HOU2315</v>
          </cell>
        </row>
        <row r="7553">
          <cell r="F7553">
            <v>1336514</v>
          </cell>
          <cell r="G7553" t="str">
            <v>HOUSING</v>
          </cell>
          <cell r="H7553" t="str">
            <v>HOU2314</v>
          </cell>
        </row>
        <row r="7554">
          <cell r="F7554">
            <v>1335906</v>
          </cell>
          <cell r="G7554" t="str">
            <v>HOUSING</v>
          </cell>
          <cell r="H7554" t="str">
            <v>HOU2313</v>
          </cell>
        </row>
        <row r="7555">
          <cell r="F7555" t="str">
            <v>25045HP-03B(YE)</v>
          </cell>
          <cell r="G7555" t="str">
            <v>HOUSING</v>
          </cell>
          <cell r="H7555" t="str">
            <v>HOU2312</v>
          </cell>
        </row>
        <row r="7556">
          <cell r="F7556" t="str">
            <v>25045HP-03B(GR)</v>
          </cell>
          <cell r="G7556" t="str">
            <v>HOUSING</v>
          </cell>
          <cell r="H7556" t="str">
            <v>HOU2310</v>
          </cell>
        </row>
        <row r="7557">
          <cell r="F7557" t="str">
            <v>25045HP-03B(BK)</v>
          </cell>
          <cell r="G7557" t="str">
            <v>HOUSING</v>
          </cell>
          <cell r="H7557" t="str">
            <v>HOU2309</v>
          </cell>
        </row>
        <row r="7558">
          <cell r="F7558" t="str">
            <v>1969332-2</v>
          </cell>
          <cell r="G7558" t="str">
            <v>HOUSING</v>
          </cell>
          <cell r="H7558" t="str">
            <v>HOU2308</v>
          </cell>
        </row>
        <row r="7559">
          <cell r="F7559" t="str">
            <v>179720-1</v>
          </cell>
          <cell r="G7559" t="str">
            <v>HOUSING</v>
          </cell>
          <cell r="H7559" t="str">
            <v>HOU2307</v>
          </cell>
        </row>
        <row r="7560">
          <cell r="F7560" t="str">
            <v>12505HS-08</v>
          </cell>
          <cell r="G7560" t="str">
            <v>HOUSING</v>
          </cell>
          <cell r="H7560" t="str">
            <v>HOU2306</v>
          </cell>
        </row>
        <row r="7561">
          <cell r="F7561" t="str">
            <v>MG620052</v>
          </cell>
          <cell r="G7561" t="str">
            <v>HOUSING</v>
          </cell>
          <cell r="H7561" t="str">
            <v>HOU2305</v>
          </cell>
        </row>
        <row r="7562">
          <cell r="F7562" t="str">
            <v>CHDW1140-04(NATURE)</v>
          </cell>
          <cell r="G7562" t="str">
            <v>HOUSING</v>
          </cell>
          <cell r="H7562" t="str">
            <v>HOU2304</v>
          </cell>
        </row>
        <row r="7563">
          <cell r="F7563" t="str">
            <v>CHDW1140-04(BLU)</v>
          </cell>
          <cell r="G7563" t="str">
            <v>HOUSING</v>
          </cell>
          <cell r="H7563" t="str">
            <v>HOU2303</v>
          </cell>
        </row>
        <row r="7564">
          <cell r="F7564" t="str">
            <v>CHD1140-08(RED)</v>
          </cell>
          <cell r="G7564" t="str">
            <v>HOUSING</v>
          </cell>
          <cell r="H7564" t="str">
            <v>HOU2302</v>
          </cell>
        </row>
        <row r="7565">
          <cell r="F7565" t="str">
            <v>CHB1143-02</v>
          </cell>
          <cell r="G7565" t="str">
            <v>HOUSING</v>
          </cell>
          <cell r="H7565" t="str">
            <v>HOU2301</v>
          </cell>
        </row>
        <row r="7566">
          <cell r="F7566" t="str">
            <v>CHD1140-08</v>
          </cell>
          <cell r="G7566" t="str">
            <v>HOUSING</v>
          </cell>
          <cell r="H7566" t="str">
            <v>HOU2300</v>
          </cell>
        </row>
        <row r="7567">
          <cell r="F7567" t="str">
            <v>CHDW1140-08(NATURE)</v>
          </cell>
          <cell r="G7567" t="str">
            <v>HOUSING</v>
          </cell>
          <cell r="H7567" t="str">
            <v>HOU2299</v>
          </cell>
        </row>
        <row r="7568">
          <cell r="F7568" t="str">
            <v>MG615708-004</v>
          </cell>
          <cell r="G7568" t="str">
            <v>HOUSING</v>
          </cell>
          <cell r="H7568" t="str">
            <v>HOU2298</v>
          </cell>
        </row>
        <row r="7569">
          <cell r="F7569" t="str">
            <v>MG625500-013</v>
          </cell>
          <cell r="G7569" t="str">
            <v>HOUSING</v>
          </cell>
          <cell r="H7569" t="str">
            <v>HOU2297</v>
          </cell>
        </row>
        <row r="7570">
          <cell r="F7570" t="str">
            <v>MG635007T-001</v>
          </cell>
          <cell r="G7570" t="str">
            <v>HOUSING</v>
          </cell>
          <cell r="H7570" t="str">
            <v>HOU2296</v>
          </cell>
        </row>
        <row r="7571">
          <cell r="F7571" t="str">
            <v>MG620980-006</v>
          </cell>
          <cell r="G7571" t="str">
            <v>HOUSING</v>
          </cell>
          <cell r="H7571" t="str">
            <v>HOU2295</v>
          </cell>
        </row>
        <row r="7572">
          <cell r="F7572" t="str">
            <v>SMH250-07LZ(BLK)</v>
          </cell>
          <cell r="G7572" t="str">
            <v>HOUSING</v>
          </cell>
          <cell r="H7572" t="str">
            <v>HOU2294</v>
          </cell>
        </row>
        <row r="7573">
          <cell r="F7573" t="str">
            <v>MG620994-006</v>
          </cell>
          <cell r="G7573" t="str">
            <v>HOUSING</v>
          </cell>
          <cell r="H7573" t="str">
            <v>HOU2293</v>
          </cell>
        </row>
        <row r="7574">
          <cell r="F7574" t="str">
            <v>MG615304T-3</v>
          </cell>
          <cell r="G7574" t="str">
            <v>HOUSING</v>
          </cell>
          <cell r="H7574" t="str">
            <v>HOU2292</v>
          </cell>
        </row>
        <row r="7575">
          <cell r="F7575" t="str">
            <v>SMH200-H07PRZ</v>
          </cell>
          <cell r="G7575" t="str">
            <v>HOUSING</v>
          </cell>
          <cell r="H7575" t="str">
            <v>HOU2291</v>
          </cell>
        </row>
        <row r="7576">
          <cell r="F7576" t="str">
            <v>MG625503-524</v>
          </cell>
          <cell r="G7576" t="str">
            <v>HOUSING</v>
          </cell>
          <cell r="H7576" t="str">
            <v>HOU2290</v>
          </cell>
        </row>
        <row r="7577">
          <cell r="F7577" t="str">
            <v>MG615722-005</v>
          </cell>
          <cell r="G7577" t="str">
            <v>HOUSING</v>
          </cell>
          <cell r="H7577" t="str">
            <v>HOU2289</v>
          </cell>
        </row>
        <row r="7578">
          <cell r="F7578" t="str">
            <v>MG620980-004</v>
          </cell>
          <cell r="G7578" t="str">
            <v>HOUSING</v>
          </cell>
          <cell r="H7578" t="str">
            <v>HOU2288</v>
          </cell>
        </row>
        <row r="7579">
          <cell r="F7579" t="str">
            <v>MG610979-004</v>
          </cell>
          <cell r="G7579" t="str">
            <v>HOUSING</v>
          </cell>
          <cell r="H7579" t="str">
            <v>HOU2287</v>
          </cell>
        </row>
        <row r="7580">
          <cell r="F7580" t="str">
            <v>MG615648-005</v>
          </cell>
          <cell r="G7580" t="str">
            <v>HOUSING</v>
          </cell>
          <cell r="H7580" t="str">
            <v>HOU2286</v>
          </cell>
        </row>
        <row r="7581">
          <cell r="F7581" t="str">
            <v>MG615253</v>
          </cell>
          <cell r="G7581" t="str">
            <v>HOUSING</v>
          </cell>
          <cell r="H7581" t="str">
            <v>HOU2285</v>
          </cell>
        </row>
        <row r="7582">
          <cell r="F7582" t="str">
            <v>MG615708-007</v>
          </cell>
          <cell r="G7582" t="str">
            <v>HOUSING</v>
          </cell>
          <cell r="H7582" t="str">
            <v>HOU2284</v>
          </cell>
        </row>
        <row r="7583">
          <cell r="F7583" t="str">
            <v>MG615708-006</v>
          </cell>
          <cell r="G7583" t="str">
            <v>HOUSING</v>
          </cell>
          <cell r="H7583" t="str">
            <v>HOU2283</v>
          </cell>
        </row>
        <row r="7584">
          <cell r="F7584" t="str">
            <v>MG615708-003</v>
          </cell>
          <cell r="G7584" t="str">
            <v>HOUSING</v>
          </cell>
          <cell r="H7584" t="str">
            <v>HOU2282</v>
          </cell>
        </row>
        <row r="7585">
          <cell r="F7585" t="str">
            <v>MG615639-002</v>
          </cell>
          <cell r="G7585" t="str">
            <v>HOUSING</v>
          </cell>
          <cell r="H7585" t="str">
            <v>HOU2281</v>
          </cell>
        </row>
        <row r="7586">
          <cell r="F7586" t="str">
            <v>MG625316T</v>
          </cell>
          <cell r="G7586" t="str">
            <v>HOUSING</v>
          </cell>
          <cell r="H7586" t="str">
            <v>HOU2280</v>
          </cell>
        </row>
        <row r="7587">
          <cell r="F7587" t="str">
            <v>MG615675-024</v>
          </cell>
          <cell r="G7587" t="str">
            <v>HOUSING</v>
          </cell>
          <cell r="H7587" t="str">
            <v>HOU2279</v>
          </cell>
        </row>
        <row r="7588">
          <cell r="F7588" t="str">
            <v>XARR-07V</v>
          </cell>
          <cell r="G7588" t="str">
            <v>HOUSING</v>
          </cell>
          <cell r="H7588" t="str">
            <v>HOU2278</v>
          </cell>
        </row>
        <row r="7589">
          <cell r="F7589" t="str">
            <v>XARR-03VF</v>
          </cell>
          <cell r="G7589" t="str">
            <v>HOUSING</v>
          </cell>
          <cell r="H7589" t="str">
            <v>HOU2277</v>
          </cell>
        </row>
        <row r="7590">
          <cell r="F7590" t="str">
            <v>XARP-10V</v>
          </cell>
          <cell r="G7590" t="str">
            <v>HOUSING</v>
          </cell>
          <cell r="H7590" t="str">
            <v>HOU2276</v>
          </cell>
        </row>
        <row r="7591">
          <cell r="F7591" t="str">
            <v>XARP-07V</v>
          </cell>
          <cell r="G7591" t="str">
            <v>HOUSING</v>
          </cell>
          <cell r="H7591" t="str">
            <v>HOU2275</v>
          </cell>
        </row>
        <row r="7592">
          <cell r="F7592" t="str">
            <v>PWBP 02V-WGL1</v>
          </cell>
          <cell r="G7592" t="str">
            <v>HOUSING</v>
          </cell>
          <cell r="H7592" t="str">
            <v>HOU2274</v>
          </cell>
        </row>
        <row r="7593">
          <cell r="F7593" t="str">
            <v>MG620426S</v>
          </cell>
          <cell r="G7593" t="str">
            <v>HOUSING</v>
          </cell>
          <cell r="H7593" t="str">
            <v>HOU2273</v>
          </cell>
        </row>
        <row r="7594">
          <cell r="F7594" t="str">
            <v>MG615310T</v>
          </cell>
          <cell r="G7594" t="str">
            <v>HOUSING</v>
          </cell>
          <cell r="H7594" t="str">
            <v>HOU2272</v>
          </cell>
        </row>
        <row r="7595">
          <cell r="F7595" t="str">
            <v>12505HS-06</v>
          </cell>
          <cell r="G7595" t="str">
            <v>HOUSING</v>
          </cell>
          <cell r="H7595" t="str">
            <v>HOU2270</v>
          </cell>
        </row>
        <row r="7596">
          <cell r="F7596" t="str">
            <v>WB39A-005-411A</v>
          </cell>
          <cell r="G7596" t="str">
            <v>HOUSING</v>
          </cell>
          <cell r="H7596" t="str">
            <v>HOU2269</v>
          </cell>
        </row>
        <row r="7597">
          <cell r="F7597" t="str">
            <v>MG615696-302</v>
          </cell>
          <cell r="G7597" t="str">
            <v>HOUSING</v>
          </cell>
          <cell r="H7597" t="str">
            <v>HOU2268</v>
          </cell>
        </row>
        <row r="7598">
          <cell r="F7598" t="str">
            <v>MG615708-005</v>
          </cell>
          <cell r="G7598" t="str">
            <v>HOUSING</v>
          </cell>
          <cell r="H7598" t="str">
            <v>HOU2267</v>
          </cell>
        </row>
        <row r="7599">
          <cell r="F7599" t="str">
            <v>MG634833ST-001</v>
          </cell>
          <cell r="G7599" t="str">
            <v>HOUSING</v>
          </cell>
          <cell r="H7599" t="str">
            <v>HOU2266</v>
          </cell>
        </row>
        <row r="7600">
          <cell r="F7600" t="str">
            <v>MG625315</v>
          </cell>
          <cell r="G7600" t="str">
            <v>HOUSING</v>
          </cell>
          <cell r="H7600" t="str">
            <v>HOU2265</v>
          </cell>
        </row>
        <row r="7601">
          <cell r="F7601" t="str">
            <v>SMH200-05PRZ</v>
          </cell>
          <cell r="G7601" t="str">
            <v>HOUSING</v>
          </cell>
          <cell r="H7601" t="str">
            <v>HOU2264</v>
          </cell>
        </row>
        <row r="7602">
          <cell r="F7602" t="str">
            <v>MG615307T-1</v>
          </cell>
          <cell r="G7602" t="str">
            <v>HOUSING</v>
          </cell>
          <cell r="H7602" t="str">
            <v>HOU2263</v>
          </cell>
        </row>
        <row r="7603">
          <cell r="F7603" t="str">
            <v>SMH200-02H(BL)</v>
          </cell>
          <cell r="G7603" t="str">
            <v>HOUSING</v>
          </cell>
          <cell r="H7603" t="str">
            <v>HOU2262</v>
          </cell>
        </row>
        <row r="7604">
          <cell r="F7604" t="str">
            <v>MG634526-5</v>
          </cell>
          <cell r="G7604" t="str">
            <v>HOUSING</v>
          </cell>
          <cell r="H7604" t="str">
            <v>HOU2261</v>
          </cell>
        </row>
        <row r="7605">
          <cell r="F7605" t="str">
            <v>MG625494-006</v>
          </cell>
          <cell r="G7605" t="str">
            <v>HOUSING</v>
          </cell>
          <cell r="H7605" t="str">
            <v>HOU2260</v>
          </cell>
        </row>
        <row r="7606">
          <cell r="F7606" t="str">
            <v>MG631130-1</v>
          </cell>
          <cell r="G7606" t="str">
            <v>HOUSING</v>
          </cell>
          <cell r="H7606" t="str">
            <v>HOU2259</v>
          </cell>
        </row>
        <row r="7607">
          <cell r="F7607" t="str">
            <v>MG631130-2</v>
          </cell>
          <cell r="G7607" t="str">
            <v>HOUSING</v>
          </cell>
          <cell r="H7607" t="str">
            <v>HOU2258</v>
          </cell>
        </row>
        <row r="7608">
          <cell r="F7608" t="str">
            <v>25045HP-03AZ(YEL)</v>
          </cell>
          <cell r="G7608" t="str">
            <v>HOUSING</v>
          </cell>
          <cell r="H7608" t="str">
            <v>HOU2257</v>
          </cell>
        </row>
        <row r="7609">
          <cell r="F7609" t="str">
            <v>MG610596-1</v>
          </cell>
          <cell r="G7609" t="str">
            <v>HOUSING</v>
          </cell>
          <cell r="H7609" t="str">
            <v>HOU2256</v>
          </cell>
        </row>
        <row r="7610">
          <cell r="F7610" t="str">
            <v>MG625311-1</v>
          </cell>
          <cell r="G7610" t="str">
            <v>HOUSING</v>
          </cell>
          <cell r="H7610" t="str">
            <v>HOU2255</v>
          </cell>
        </row>
        <row r="7611">
          <cell r="F7611" t="str">
            <v>SMH250-05(BLU)</v>
          </cell>
          <cell r="G7611" t="str">
            <v>HOUSING</v>
          </cell>
          <cell r="H7611" t="str">
            <v>HOU2254</v>
          </cell>
        </row>
        <row r="7612">
          <cell r="F7612" t="str">
            <v>MG630591R-3</v>
          </cell>
          <cell r="G7612" t="str">
            <v>HOUSING</v>
          </cell>
          <cell r="H7612" t="str">
            <v>HOU2253</v>
          </cell>
        </row>
        <row r="7613">
          <cell r="F7613" t="str">
            <v>MG615414T-002</v>
          </cell>
          <cell r="G7613" t="str">
            <v>HOUSING</v>
          </cell>
          <cell r="H7613" t="str">
            <v>HOU2252</v>
          </cell>
        </row>
        <row r="7614">
          <cell r="F7614" t="str">
            <v>MG615709-001</v>
          </cell>
          <cell r="G7614" t="str">
            <v>HOUSING</v>
          </cell>
          <cell r="H7614" t="str">
            <v>HOU2251</v>
          </cell>
        </row>
        <row r="7615">
          <cell r="F7615" t="str">
            <v>MG625505-001</v>
          </cell>
          <cell r="G7615" t="str">
            <v>HOUSING</v>
          </cell>
          <cell r="H7615" t="str">
            <v>HOU2250</v>
          </cell>
        </row>
        <row r="7616">
          <cell r="F7616" t="str">
            <v>MG625509-013</v>
          </cell>
          <cell r="G7616" t="str">
            <v>HOUSING</v>
          </cell>
          <cell r="H7616" t="str">
            <v>HOU2249</v>
          </cell>
        </row>
        <row r="7617">
          <cell r="F7617" t="str">
            <v>SMH200-18PR3</v>
          </cell>
          <cell r="G7617" t="str">
            <v>HOUSING</v>
          </cell>
          <cell r="H7617" t="str">
            <v>HOU2248</v>
          </cell>
        </row>
        <row r="7618">
          <cell r="F7618" t="str">
            <v>SMH200-H07H3</v>
          </cell>
          <cell r="G7618" t="str">
            <v>HOUSING</v>
          </cell>
          <cell r="H7618" t="str">
            <v>HOU2247</v>
          </cell>
        </row>
        <row r="7619">
          <cell r="F7619" t="str">
            <v>MG615674-526</v>
          </cell>
          <cell r="G7619" t="str">
            <v>HOUSING</v>
          </cell>
          <cell r="H7619" t="str">
            <v>HOU2246</v>
          </cell>
        </row>
        <row r="7620">
          <cell r="F7620" t="str">
            <v>MG615674-524</v>
          </cell>
          <cell r="G7620" t="str">
            <v>HOUSING</v>
          </cell>
          <cell r="H7620" t="str">
            <v>HOU2245</v>
          </cell>
        </row>
        <row r="7621">
          <cell r="F7621" t="str">
            <v>MG625501-304</v>
          </cell>
          <cell r="G7621" t="str">
            <v>HOUSING</v>
          </cell>
          <cell r="H7621" t="str">
            <v>HOU2244</v>
          </cell>
        </row>
        <row r="7622">
          <cell r="F7622" t="str">
            <v>MG625502-006</v>
          </cell>
          <cell r="G7622" t="str">
            <v>HOUSING</v>
          </cell>
          <cell r="H7622" t="str">
            <v>HOU2243</v>
          </cell>
        </row>
        <row r="7623">
          <cell r="F7623" t="str">
            <v>MG625501-004</v>
          </cell>
          <cell r="G7623" t="str">
            <v>HOUSING</v>
          </cell>
          <cell r="H7623" t="str">
            <v>HOU2242</v>
          </cell>
        </row>
        <row r="7624">
          <cell r="F7624" t="str">
            <v>MG615313</v>
          </cell>
          <cell r="G7624" t="str">
            <v>HOUSING</v>
          </cell>
          <cell r="H7624" t="str">
            <v>HOU2241</v>
          </cell>
        </row>
        <row r="7625">
          <cell r="F7625" t="str">
            <v>MG615307</v>
          </cell>
          <cell r="G7625" t="str">
            <v>HOUSING</v>
          </cell>
          <cell r="H7625" t="str">
            <v>HOU2240</v>
          </cell>
        </row>
        <row r="7626">
          <cell r="F7626" t="str">
            <v>MG625314-2</v>
          </cell>
          <cell r="G7626" t="str">
            <v>HOUSING</v>
          </cell>
          <cell r="H7626" t="str">
            <v>HOU2239</v>
          </cell>
        </row>
        <row r="7627">
          <cell r="F7627" t="str">
            <v>MG625314</v>
          </cell>
          <cell r="G7627" t="str">
            <v>HOUSING</v>
          </cell>
          <cell r="H7627" t="str">
            <v>HOU2238</v>
          </cell>
        </row>
        <row r="7628">
          <cell r="F7628" t="str">
            <v>MG625311</v>
          </cell>
          <cell r="G7628" t="str">
            <v>HOUSING</v>
          </cell>
          <cell r="H7628" t="str">
            <v>HOU2237</v>
          </cell>
        </row>
        <row r="7629">
          <cell r="F7629" t="str">
            <v>MG625312</v>
          </cell>
          <cell r="G7629" t="str">
            <v>HOUSING</v>
          </cell>
          <cell r="H7629" t="str">
            <v>HOU2236</v>
          </cell>
        </row>
        <row r="7630">
          <cell r="F7630" t="str">
            <v>MG625308T</v>
          </cell>
          <cell r="G7630" t="str">
            <v>HOUSING</v>
          </cell>
          <cell r="H7630" t="str">
            <v>HOU2235</v>
          </cell>
        </row>
        <row r="7631">
          <cell r="F7631" t="str">
            <v>MG625308</v>
          </cell>
          <cell r="G7631" t="str">
            <v>HOUSING</v>
          </cell>
          <cell r="H7631" t="str">
            <v>HOU2234</v>
          </cell>
        </row>
        <row r="7632">
          <cell r="F7632" t="str">
            <v>MG625309</v>
          </cell>
          <cell r="G7632" t="str">
            <v>HOUSING</v>
          </cell>
          <cell r="H7632" t="str">
            <v>HOU2233</v>
          </cell>
        </row>
        <row r="7633">
          <cell r="F7633" t="str">
            <v>MG625306-2</v>
          </cell>
          <cell r="G7633" t="str">
            <v>HOUSING</v>
          </cell>
          <cell r="H7633" t="str">
            <v>HOU2232</v>
          </cell>
        </row>
        <row r="7634">
          <cell r="F7634" t="str">
            <v>12507HS-H04G1</v>
          </cell>
          <cell r="G7634" t="str">
            <v>HOUSING</v>
          </cell>
          <cell r="H7634" t="str">
            <v>HOU2231</v>
          </cell>
        </row>
        <row r="7635">
          <cell r="F7635" t="str">
            <v>MG625508-002</v>
          </cell>
          <cell r="G7635" t="str">
            <v>HOUSING</v>
          </cell>
          <cell r="H7635" t="str">
            <v>HOU2230</v>
          </cell>
        </row>
        <row r="7636">
          <cell r="F7636" t="str">
            <v>YLNR-03VF</v>
          </cell>
          <cell r="G7636" t="str">
            <v>HOUSING</v>
          </cell>
          <cell r="H7636" t="str">
            <v>HOU2228</v>
          </cell>
        </row>
        <row r="7637">
          <cell r="F7637" t="str">
            <v>1969588-4</v>
          </cell>
          <cell r="G7637" t="str">
            <v>HOUSING</v>
          </cell>
          <cell r="H7637" t="str">
            <v>HOU2227</v>
          </cell>
        </row>
        <row r="7638">
          <cell r="F7638" t="str">
            <v>1969442-4</v>
          </cell>
          <cell r="G7638" t="str">
            <v>HOUSING</v>
          </cell>
          <cell r="H7638" t="str">
            <v>HOU2226</v>
          </cell>
        </row>
        <row r="7639">
          <cell r="F7639" t="str">
            <v>MG640608R</v>
          </cell>
          <cell r="G7639" t="str">
            <v>HOUSING</v>
          </cell>
          <cell r="H7639" t="str">
            <v>HOU2225</v>
          </cell>
        </row>
        <row r="7640">
          <cell r="F7640" t="str">
            <v>MG640475</v>
          </cell>
          <cell r="G7640" t="str">
            <v>HOUSING</v>
          </cell>
          <cell r="H7640" t="str">
            <v>HOU2224</v>
          </cell>
        </row>
        <row r="7641">
          <cell r="F7641" t="str">
            <v>YLR-06V-WGL1</v>
          </cell>
          <cell r="G7641" t="str">
            <v>HOUSING</v>
          </cell>
          <cell r="H7641" t="str">
            <v>HOU2223</v>
          </cell>
        </row>
        <row r="7642">
          <cell r="F7642" t="str">
            <v>YLP-06V-WGL1</v>
          </cell>
          <cell r="G7642" t="str">
            <v>HOUSING</v>
          </cell>
          <cell r="H7642" t="str">
            <v>HOU2222</v>
          </cell>
        </row>
        <row r="7643">
          <cell r="F7643" t="str">
            <v>SMH200-09PRZ</v>
          </cell>
          <cell r="G7643" t="str">
            <v>HOUSING</v>
          </cell>
          <cell r="H7643" t="str">
            <v>HOU2221</v>
          </cell>
        </row>
        <row r="7644">
          <cell r="F7644" t="str">
            <v>SMR-02V-B</v>
          </cell>
          <cell r="G7644" t="str">
            <v>HOUSING</v>
          </cell>
          <cell r="H7644" t="str">
            <v>HOU2220</v>
          </cell>
        </row>
        <row r="7645">
          <cell r="F7645" t="str">
            <v>SMH200-H07PR</v>
          </cell>
          <cell r="G7645" t="str">
            <v>HOUSING</v>
          </cell>
          <cell r="H7645" t="str">
            <v>HOU2219</v>
          </cell>
        </row>
        <row r="7646">
          <cell r="F7646" t="str">
            <v>12507HS-09L</v>
          </cell>
          <cell r="G7646" t="str">
            <v>HOUSING</v>
          </cell>
          <cell r="H7646" t="str">
            <v>HOU2218</v>
          </cell>
        </row>
        <row r="7647">
          <cell r="F7647" t="str">
            <v>MG612539T</v>
          </cell>
          <cell r="G7647" t="str">
            <v>HOUSING</v>
          </cell>
          <cell r="H7647" t="str">
            <v>HOU2217</v>
          </cell>
        </row>
        <row r="7648">
          <cell r="F7648" t="str">
            <v>MG633917T-003</v>
          </cell>
          <cell r="G7648" t="str">
            <v>HOUSING</v>
          </cell>
          <cell r="H7648" t="str">
            <v>HOU2216</v>
          </cell>
        </row>
        <row r="7649">
          <cell r="F7649" t="str">
            <v>MG615696-202</v>
          </cell>
          <cell r="G7649" t="str">
            <v>HOUSING</v>
          </cell>
          <cell r="H7649" t="str">
            <v>HOU2215</v>
          </cell>
        </row>
        <row r="7650">
          <cell r="F7650" t="str">
            <v>MG615304-3</v>
          </cell>
          <cell r="G7650" t="str">
            <v>HOUSING</v>
          </cell>
          <cell r="H7650" t="str">
            <v>HOU2214</v>
          </cell>
        </row>
        <row r="7651">
          <cell r="F7651" t="str">
            <v>MG615697-002</v>
          </cell>
          <cell r="G7651" t="str">
            <v>HOUSING</v>
          </cell>
          <cell r="H7651" t="str">
            <v>HOU2213</v>
          </cell>
        </row>
        <row r="7652">
          <cell r="F7652" t="str">
            <v>MG615695-202</v>
          </cell>
          <cell r="G7652" t="str">
            <v>HOUSING</v>
          </cell>
          <cell r="H7652" t="str">
            <v>HOU2212</v>
          </cell>
        </row>
        <row r="7653">
          <cell r="F7653" t="str">
            <v>MG640475R</v>
          </cell>
          <cell r="G7653" t="str">
            <v>HOUSING</v>
          </cell>
          <cell r="H7653" t="str">
            <v>HOU2211</v>
          </cell>
        </row>
        <row r="7654">
          <cell r="F7654" t="str">
            <v>B03B-PWCSK-1-C1</v>
          </cell>
          <cell r="G7654" t="str">
            <v>HOUSING</v>
          </cell>
          <cell r="H7654" t="str">
            <v>HOU2210</v>
          </cell>
        </row>
        <row r="7655">
          <cell r="F7655" t="str">
            <v>SMH200-H14H3</v>
          </cell>
          <cell r="G7655" t="str">
            <v>HOUSING</v>
          </cell>
          <cell r="H7655" t="str">
            <v>HOU2209</v>
          </cell>
        </row>
        <row r="7656">
          <cell r="F7656" t="str">
            <v>502351-0400</v>
          </cell>
          <cell r="G7656" t="str">
            <v>HOUSING</v>
          </cell>
          <cell r="H7656" t="str">
            <v>HOU2208</v>
          </cell>
        </row>
        <row r="7657">
          <cell r="F7657" t="str">
            <v>SMH200-H09PR</v>
          </cell>
          <cell r="G7657" t="str">
            <v>HOUSING</v>
          </cell>
          <cell r="H7657" t="str">
            <v>HOU2206</v>
          </cell>
        </row>
        <row r="7658">
          <cell r="F7658" t="str">
            <v>SMH200-H09PRZ</v>
          </cell>
          <cell r="G7658" t="str">
            <v>HOUSING</v>
          </cell>
          <cell r="H7658" t="str">
            <v>HOU2205</v>
          </cell>
        </row>
        <row r="7659">
          <cell r="F7659" t="str">
            <v>SMH200-H09H3</v>
          </cell>
          <cell r="G7659" t="str">
            <v>HOUSING</v>
          </cell>
          <cell r="H7659" t="str">
            <v>HOU2204</v>
          </cell>
        </row>
        <row r="7660">
          <cell r="F7660" t="str">
            <v>25045HP-05AZ(BLK)</v>
          </cell>
          <cell r="G7660" t="str">
            <v>HOUSING</v>
          </cell>
          <cell r="H7660" t="str">
            <v>HOU2203</v>
          </cell>
        </row>
        <row r="7661">
          <cell r="F7661" t="str">
            <v>MG615695-302</v>
          </cell>
          <cell r="G7661" t="str">
            <v>HOUSING</v>
          </cell>
          <cell r="H7661" t="str">
            <v>HOU2202</v>
          </cell>
        </row>
        <row r="7662">
          <cell r="F7662" t="str">
            <v>SMH250-04LZ(BL)</v>
          </cell>
          <cell r="G7662" t="str">
            <v>HOUSING</v>
          </cell>
          <cell r="H7662" t="str">
            <v>HOU2201</v>
          </cell>
        </row>
        <row r="7663">
          <cell r="F7663" t="str">
            <v>YBH250-07</v>
          </cell>
          <cell r="G7663" t="str">
            <v>HOUSING</v>
          </cell>
          <cell r="H7663" t="str">
            <v>HOU2200</v>
          </cell>
        </row>
        <row r="7664">
          <cell r="F7664" t="str">
            <v>YBH250-03</v>
          </cell>
          <cell r="G7664" t="str">
            <v>HOUSING</v>
          </cell>
          <cell r="H7664" t="str">
            <v>HOU2199</v>
          </cell>
        </row>
        <row r="7665">
          <cell r="F7665" t="str">
            <v>WW45A-012-170</v>
          </cell>
          <cell r="G7665" t="str">
            <v>HOUSING</v>
          </cell>
          <cell r="H7665" t="str">
            <v>HOU2197</v>
          </cell>
        </row>
        <row r="7666">
          <cell r="F7666" t="str">
            <v>WW45A-012-270</v>
          </cell>
          <cell r="G7666" t="str">
            <v>HOUSING</v>
          </cell>
          <cell r="H7666" t="str">
            <v>HOU2196</v>
          </cell>
        </row>
        <row r="7667">
          <cell r="F7667" t="str">
            <v>25045HP-04AZ(BL)</v>
          </cell>
          <cell r="G7667" t="str">
            <v>HOUSING</v>
          </cell>
          <cell r="H7667" t="str">
            <v>HOU2195</v>
          </cell>
        </row>
        <row r="7668">
          <cell r="F7668" t="str">
            <v>MG625501-304</v>
          </cell>
          <cell r="G7668" t="str">
            <v>HOUSING</v>
          </cell>
          <cell r="H7668" t="str">
            <v>HOU2194</v>
          </cell>
        </row>
        <row r="7669">
          <cell r="F7669" t="str">
            <v>XHP-8</v>
          </cell>
          <cell r="G7669" t="str">
            <v>HOUSING</v>
          </cell>
          <cell r="H7669" t="str">
            <v>HOU2193</v>
          </cell>
        </row>
        <row r="7670">
          <cell r="F7670" t="str">
            <v>YBH250-02</v>
          </cell>
          <cell r="G7670" t="str">
            <v>HOUSING</v>
          </cell>
          <cell r="H7670" t="str">
            <v>HOU2192</v>
          </cell>
        </row>
        <row r="7671">
          <cell r="F7671" t="str">
            <v>MG610596</v>
          </cell>
          <cell r="G7671" t="str">
            <v>HOUSING</v>
          </cell>
          <cell r="H7671" t="str">
            <v>HOU2191</v>
          </cell>
        </row>
        <row r="7672">
          <cell r="F7672" t="str">
            <v>35150-0319</v>
          </cell>
          <cell r="G7672" t="str">
            <v>HOUSING</v>
          </cell>
          <cell r="H7672" t="str">
            <v>HOU2190</v>
          </cell>
        </row>
        <row r="7673">
          <cell r="F7673" t="str">
            <v>MG615696-002</v>
          </cell>
          <cell r="G7673" t="str">
            <v>HOUSING</v>
          </cell>
          <cell r="H7673" t="str">
            <v>HOU2189</v>
          </cell>
        </row>
        <row r="7674">
          <cell r="F7674" t="str">
            <v>12505HS-05</v>
          </cell>
          <cell r="G7674" t="str">
            <v>HOUSING</v>
          </cell>
          <cell r="H7674" t="str">
            <v>HOU2188</v>
          </cell>
        </row>
        <row r="7675">
          <cell r="F7675" t="str">
            <v>12505HP-05</v>
          </cell>
          <cell r="G7675" t="str">
            <v>HOUSING</v>
          </cell>
          <cell r="H7675" t="str">
            <v>HOU2187</v>
          </cell>
        </row>
        <row r="7676">
          <cell r="F7676" t="str">
            <v>MG625502-306</v>
          </cell>
          <cell r="G7676" t="str">
            <v>HOUSING</v>
          </cell>
          <cell r="H7676" t="str">
            <v>HOU2186</v>
          </cell>
        </row>
        <row r="7677">
          <cell r="F7677" t="str">
            <v>MG615304-2</v>
          </cell>
          <cell r="G7677" t="str">
            <v>HOUSING</v>
          </cell>
          <cell r="H7677" t="str">
            <v>HOU2185</v>
          </cell>
        </row>
        <row r="7678">
          <cell r="F7678" t="str">
            <v>MG615310</v>
          </cell>
          <cell r="G7678" t="str">
            <v>HOUSING</v>
          </cell>
          <cell r="H7678" t="str">
            <v>HOU2184</v>
          </cell>
        </row>
        <row r="7679">
          <cell r="F7679" t="str">
            <v>YLR-20V-WGL1-E</v>
          </cell>
          <cell r="G7679" t="str">
            <v>HOUSING</v>
          </cell>
          <cell r="H7679" t="str">
            <v>HOU2183</v>
          </cell>
        </row>
        <row r="7680">
          <cell r="F7680" t="str">
            <v>YLP-20V-WGL1-E</v>
          </cell>
          <cell r="G7680" t="str">
            <v>HOUSING</v>
          </cell>
          <cell r="H7680" t="str">
            <v>HOU2182</v>
          </cell>
        </row>
        <row r="7681">
          <cell r="F7681" t="str">
            <v>12507HS-H20G1</v>
          </cell>
          <cell r="G7681" t="str">
            <v>HOUSING</v>
          </cell>
          <cell r="H7681" t="str">
            <v>HOU2181</v>
          </cell>
        </row>
        <row r="7682">
          <cell r="F7682" t="str">
            <v>12507HS-H07G1</v>
          </cell>
          <cell r="G7682" t="str">
            <v>HOUSING</v>
          </cell>
          <cell r="H7682" t="str">
            <v>HOU2180</v>
          </cell>
        </row>
        <row r="7683">
          <cell r="F7683" t="str">
            <v>10035HS-H06C</v>
          </cell>
          <cell r="G7683" t="str">
            <v>HOUSING</v>
          </cell>
          <cell r="H7683" t="str">
            <v>HOU2179</v>
          </cell>
        </row>
        <row r="7684">
          <cell r="F7684" t="str">
            <v>SMH200-H02HR</v>
          </cell>
          <cell r="G7684" t="str">
            <v>HOUSING</v>
          </cell>
          <cell r="H7684" t="str">
            <v>HOU2178</v>
          </cell>
        </row>
        <row r="7685">
          <cell r="F7685" t="str">
            <v>MG621533-001</v>
          </cell>
          <cell r="G7685" t="str">
            <v>HOUSING</v>
          </cell>
          <cell r="H7685" t="str">
            <v>HOU2177</v>
          </cell>
        </row>
        <row r="7686">
          <cell r="F7686" t="str">
            <v>SMH200-H02PR</v>
          </cell>
          <cell r="G7686" t="str">
            <v>HOUSING</v>
          </cell>
          <cell r="H7686" t="str">
            <v>HOU2176</v>
          </cell>
        </row>
        <row r="7687">
          <cell r="F7687" t="str">
            <v>MG625306</v>
          </cell>
          <cell r="G7687" t="str">
            <v>HOUSING</v>
          </cell>
          <cell r="H7687" t="str">
            <v>HOU2175</v>
          </cell>
        </row>
        <row r="7688">
          <cell r="F7688" t="str">
            <v>B03B-PWCRK-1-C1</v>
          </cell>
          <cell r="G7688" t="str">
            <v>HOUSING</v>
          </cell>
          <cell r="H7688" t="str">
            <v>HOU2173</v>
          </cell>
        </row>
        <row r="7689">
          <cell r="F7689" t="str">
            <v>MG636074-102</v>
          </cell>
          <cell r="G7689" t="str">
            <v>HOUSING</v>
          </cell>
          <cell r="H7689" t="str">
            <v>HOU2172</v>
          </cell>
        </row>
        <row r="7690">
          <cell r="F7690" t="str">
            <v>MG615695-002</v>
          </cell>
          <cell r="G7690" t="str">
            <v>HOUSING</v>
          </cell>
          <cell r="H7690" t="str">
            <v>HOU2171</v>
          </cell>
        </row>
        <row r="7691">
          <cell r="F7691" t="str">
            <v>MG615304</v>
          </cell>
          <cell r="G7691" t="str">
            <v>HOUSING</v>
          </cell>
          <cell r="H7691" t="str">
            <v>HOU2170</v>
          </cell>
        </row>
        <row r="7692">
          <cell r="F7692" t="str">
            <v>MG625305T-3</v>
          </cell>
          <cell r="G7692" t="str">
            <v>HOUSING</v>
          </cell>
          <cell r="H7692" t="str">
            <v>HOU2169</v>
          </cell>
        </row>
        <row r="7693">
          <cell r="F7693" t="str">
            <v>MG625314T</v>
          </cell>
          <cell r="G7693" t="str">
            <v>HOUSING</v>
          </cell>
          <cell r="H7693" t="str">
            <v>HOU2168</v>
          </cell>
        </row>
        <row r="7694">
          <cell r="F7694" t="str">
            <v>12507HS-H03G1</v>
          </cell>
          <cell r="G7694" t="str">
            <v>HOUSING</v>
          </cell>
          <cell r="H7694" t="str">
            <v>HOU2167</v>
          </cell>
        </row>
        <row r="7695">
          <cell r="F7695" t="str">
            <v>SMH200-H02H3</v>
          </cell>
          <cell r="G7695" t="str">
            <v>HOUSING</v>
          </cell>
          <cell r="H7695" t="str">
            <v>HOU2166</v>
          </cell>
        </row>
        <row r="7696">
          <cell r="F7696" t="str">
            <v>12507HS-H06G1</v>
          </cell>
          <cell r="G7696" t="str">
            <v>HOUSING</v>
          </cell>
          <cell r="H7696" t="str">
            <v>HOU2165</v>
          </cell>
        </row>
        <row r="7697">
          <cell r="F7697" t="str">
            <v>YHL500-02B(BL)</v>
          </cell>
          <cell r="G7697" t="str">
            <v>HOUSING</v>
          </cell>
          <cell r="H7697" t="str">
            <v>HOU2164</v>
          </cell>
        </row>
        <row r="7698">
          <cell r="F7698" t="str">
            <v>3-480699-0</v>
          </cell>
          <cell r="G7698" t="str">
            <v>HOUSING</v>
          </cell>
          <cell r="H7698" t="str">
            <v>HOU2163</v>
          </cell>
        </row>
        <row r="7699">
          <cell r="F7699" t="str">
            <v>1-176282-1</v>
          </cell>
          <cell r="G7699" t="str">
            <v>HOUSING</v>
          </cell>
          <cell r="H7699" t="str">
            <v>HOU2162</v>
          </cell>
        </row>
        <row r="7700">
          <cell r="F7700" t="str">
            <v>25045HP-02A(BLK)</v>
          </cell>
          <cell r="G7700" t="str">
            <v>HOUSING</v>
          </cell>
          <cell r="H7700" t="str">
            <v>HOU2161</v>
          </cell>
        </row>
        <row r="7701">
          <cell r="F7701" t="str">
            <v>20003HS-028(BLK)</v>
          </cell>
          <cell r="G7701" t="str">
            <v>HOUSING</v>
          </cell>
          <cell r="H7701" t="str">
            <v>HOU2160</v>
          </cell>
        </row>
        <row r="7702">
          <cell r="F7702" t="str">
            <v>MG615674-528</v>
          </cell>
          <cell r="G7702" t="str">
            <v>HOUSING</v>
          </cell>
          <cell r="H7702" t="str">
            <v>HOU2159</v>
          </cell>
        </row>
        <row r="7703">
          <cell r="F7703" t="str">
            <v>MG625503-528</v>
          </cell>
          <cell r="G7703" t="str">
            <v>HOUSING</v>
          </cell>
          <cell r="H7703" t="str">
            <v>HOU2158</v>
          </cell>
        </row>
        <row r="7704">
          <cell r="F7704" t="str">
            <v>WB20M-028-412</v>
          </cell>
          <cell r="G7704" t="str">
            <v>HOUSING</v>
          </cell>
          <cell r="H7704" t="str">
            <v>HOU2157</v>
          </cell>
        </row>
        <row r="7705">
          <cell r="F7705" t="str">
            <v>YH396-04V(BLU)</v>
          </cell>
          <cell r="G7705" t="str">
            <v>HOUSING</v>
          </cell>
          <cell r="H7705" t="str">
            <v>HOU2156</v>
          </cell>
        </row>
        <row r="7706">
          <cell r="F7706" t="str">
            <v>MG625503-028</v>
          </cell>
          <cell r="G7706" t="str">
            <v>HOUSING</v>
          </cell>
          <cell r="H7706" t="str">
            <v>HOU2155</v>
          </cell>
        </row>
        <row r="7707">
          <cell r="F7707" t="str">
            <v>MG625503-026</v>
          </cell>
          <cell r="G7707" t="str">
            <v>HOUSING</v>
          </cell>
          <cell r="H7707" t="str">
            <v>HOU2154</v>
          </cell>
        </row>
        <row r="7708">
          <cell r="F7708" t="str">
            <v>MG625503-024</v>
          </cell>
          <cell r="G7708" t="str">
            <v>HOUSING</v>
          </cell>
          <cell r="H7708" t="str">
            <v>HOU2153</v>
          </cell>
        </row>
        <row r="7709">
          <cell r="F7709" t="str">
            <v>SMH200-H10H3(BLU)</v>
          </cell>
          <cell r="G7709" t="str">
            <v>HOUSING</v>
          </cell>
          <cell r="H7709" t="str">
            <v>HOU2152</v>
          </cell>
        </row>
        <row r="7710">
          <cell r="F7710" t="str">
            <v>SMH200-H12H3</v>
          </cell>
          <cell r="G7710" t="str">
            <v>HOUSING</v>
          </cell>
          <cell r="H7710" t="str">
            <v>HOU2151</v>
          </cell>
        </row>
        <row r="7711">
          <cell r="F7711" t="str">
            <v>12507HS-H10G1(BLK)</v>
          </cell>
          <cell r="G7711" t="str">
            <v>HOUSING</v>
          </cell>
          <cell r="H7711" t="str">
            <v>HOU2150</v>
          </cell>
        </row>
        <row r="7712">
          <cell r="F7712" t="str">
            <v>VLP-02V(D)</v>
          </cell>
          <cell r="G7712" t="str">
            <v>HOUSING</v>
          </cell>
          <cell r="H7712" t="str">
            <v>HOU2149</v>
          </cell>
        </row>
        <row r="7713">
          <cell r="F7713" t="str">
            <v>SMH200-H05PR</v>
          </cell>
          <cell r="G7713" t="str">
            <v>HOUSING</v>
          </cell>
          <cell r="H7713" t="str">
            <v>HOU2148</v>
          </cell>
        </row>
        <row r="7714">
          <cell r="F7714" t="str">
            <v>ZNDP-30V-A-K</v>
          </cell>
          <cell r="G7714" t="str">
            <v>HOUSING</v>
          </cell>
          <cell r="H7714" t="str">
            <v>HOU2147</v>
          </cell>
        </row>
        <row r="7715">
          <cell r="F7715" t="str">
            <v>09KR-6H-P</v>
          </cell>
          <cell r="G7715" t="str">
            <v>HOUSING</v>
          </cell>
          <cell r="H7715" t="str">
            <v>HOU2146</v>
          </cell>
        </row>
        <row r="7716">
          <cell r="F7716" t="str">
            <v>SMH200-H03PR</v>
          </cell>
          <cell r="G7716" t="str">
            <v>HOUSING</v>
          </cell>
          <cell r="H7716" t="str">
            <v>HOU2145</v>
          </cell>
        </row>
        <row r="7717">
          <cell r="F7717" t="str">
            <v>505432-1801</v>
          </cell>
          <cell r="G7717" t="str">
            <v>HOUSING</v>
          </cell>
          <cell r="H7717" t="str">
            <v>HOU2144</v>
          </cell>
        </row>
        <row r="7718">
          <cell r="F7718" t="str">
            <v>04ZR-8M-P</v>
          </cell>
          <cell r="G7718" t="str">
            <v>HOUSING</v>
          </cell>
          <cell r="H7718" t="str">
            <v>HOU2143</v>
          </cell>
        </row>
        <row r="7719">
          <cell r="F7719" t="str">
            <v>4-1534797-2</v>
          </cell>
          <cell r="G7719" t="str">
            <v>HOUSING</v>
          </cell>
          <cell r="H7719" t="str">
            <v>HOU2142</v>
          </cell>
        </row>
        <row r="7720">
          <cell r="F7720" t="str">
            <v>ZNDP-22V-A-K</v>
          </cell>
          <cell r="G7720" t="str">
            <v>HOUSING</v>
          </cell>
          <cell r="H7720" t="str">
            <v>HOU2141</v>
          </cell>
        </row>
        <row r="7721">
          <cell r="F7721" t="str">
            <v>03ZR-8M-P</v>
          </cell>
          <cell r="G7721" t="str">
            <v>HOUSING</v>
          </cell>
          <cell r="H7721" t="str">
            <v>HOU2140</v>
          </cell>
        </row>
        <row r="7722">
          <cell r="F7722" t="str">
            <v>25048HS-02</v>
          </cell>
          <cell r="G7722" t="str">
            <v>HOUSING</v>
          </cell>
          <cell r="H7722" t="str">
            <v>HOU2139</v>
          </cell>
        </row>
        <row r="7723">
          <cell r="F7723" t="str">
            <v>MG613374</v>
          </cell>
          <cell r="G7723" t="str">
            <v>HOUSING</v>
          </cell>
          <cell r="H7723" t="str">
            <v>HOU2138</v>
          </cell>
        </row>
        <row r="7724">
          <cell r="F7724" t="str">
            <v>MG613871</v>
          </cell>
          <cell r="G7724" t="str">
            <v>HOUSING</v>
          </cell>
          <cell r="H7724" t="str">
            <v>HOU2137</v>
          </cell>
        </row>
        <row r="7725">
          <cell r="F7725" t="str">
            <v>SMH200-10HZ(BLK)</v>
          </cell>
          <cell r="G7725" t="str">
            <v>HOUSING</v>
          </cell>
          <cell r="H7725" t="str">
            <v>HOU2136</v>
          </cell>
        </row>
        <row r="7726">
          <cell r="F7726" t="str">
            <v>YH396-02VRZ</v>
          </cell>
          <cell r="G7726" t="str">
            <v>HOUSING</v>
          </cell>
          <cell r="H7726" t="str">
            <v>HOU2135</v>
          </cell>
        </row>
        <row r="7727">
          <cell r="F7727" t="str">
            <v>MG625496-028</v>
          </cell>
          <cell r="G7727" t="str">
            <v>HOUSING</v>
          </cell>
          <cell r="H7727" t="str">
            <v>HOU2134</v>
          </cell>
        </row>
        <row r="7728">
          <cell r="F7728" t="str">
            <v>MG625496-026</v>
          </cell>
          <cell r="G7728" t="str">
            <v>HOUSING</v>
          </cell>
          <cell r="H7728" t="str">
            <v>HOU2133</v>
          </cell>
        </row>
        <row r="7729">
          <cell r="F7729" t="str">
            <v>MG625496-024</v>
          </cell>
          <cell r="G7729" t="str">
            <v>HOUSING</v>
          </cell>
          <cell r="H7729" t="str">
            <v>HOU2132</v>
          </cell>
        </row>
        <row r="7730">
          <cell r="F7730" t="str">
            <v>SMH200-02(BL)</v>
          </cell>
          <cell r="G7730" t="str">
            <v>HOUSING</v>
          </cell>
          <cell r="H7730" t="str">
            <v>HOU2131</v>
          </cell>
        </row>
        <row r="7731">
          <cell r="F7731" t="str">
            <v>SMH250-04(BL)</v>
          </cell>
          <cell r="G7731" t="str">
            <v>HOUSING</v>
          </cell>
          <cell r="H7731" t="str">
            <v>HOU2130</v>
          </cell>
        </row>
        <row r="7732">
          <cell r="F7732" t="str">
            <v>SMH250-02(BK)</v>
          </cell>
          <cell r="G7732" t="str">
            <v>HOUSING</v>
          </cell>
          <cell r="H7732" t="str">
            <v>HOU2129</v>
          </cell>
        </row>
        <row r="7733">
          <cell r="F7733" t="str">
            <v>SMH200-04(RE)</v>
          </cell>
          <cell r="G7733" t="str">
            <v>HOUSING</v>
          </cell>
          <cell r="H7733" t="str">
            <v>HOU2128</v>
          </cell>
        </row>
        <row r="7734">
          <cell r="F7734" t="str">
            <v>SMH200-03(YE)</v>
          </cell>
          <cell r="G7734" t="str">
            <v>HOUSING</v>
          </cell>
          <cell r="H7734" t="str">
            <v>HOU2127</v>
          </cell>
        </row>
        <row r="7735">
          <cell r="F7735" t="str">
            <v>SMH200-03(RE)</v>
          </cell>
          <cell r="G7735" t="str">
            <v>HOUSING</v>
          </cell>
          <cell r="H7735" t="str">
            <v>HOU2126</v>
          </cell>
        </row>
        <row r="7736">
          <cell r="F7736" t="str">
            <v>SMH420-04</v>
          </cell>
          <cell r="G7736" t="str">
            <v>HOUSING</v>
          </cell>
          <cell r="H7736" t="str">
            <v>HOU2125</v>
          </cell>
        </row>
        <row r="7737">
          <cell r="F7737" t="str">
            <v>MG620427-1</v>
          </cell>
          <cell r="G7737" t="str">
            <v>HOUSING</v>
          </cell>
          <cell r="H7737" t="str">
            <v>HOU2124</v>
          </cell>
        </row>
        <row r="7738">
          <cell r="F7738" t="str">
            <v>179464-6</v>
          </cell>
          <cell r="G7738" t="str">
            <v>HOUSING</v>
          </cell>
          <cell r="H7738" t="str">
            <v>HOU2123</v>
          </cell>
        </row>
        <row r="7739">
          <cell r="F7739" t="str">
            <v>YBH250-06</v>
          </cell>
          <cell r="G7739" t="str">
            <v>HOUSING</v>
          </cell>
          <cell r="H7739" t="str">
            <v>HOU2122</v>
          </cell>
        </row>
        <row r="7740">
          <cell r="F7740" t="str">
            <v>YH396-07VR(BLK)</v>
          </cell>
          <cell r="G7740" t="str">
            <v>HOUSING</v>
          </cell>
          <cell r="H7740" t="str">
            <v>HOU2121</v>
          </cell>
        </row>
        <row r="7741">
          <cell r="F7741" t="str">
            <v>YBNH200-07</v>
          </cell>
          <cell r="G7741" t="str">
            <v>HOUSING</v>
          </cell>
          <cell r="H7741" t="str">
            <v>HOU2120</v>
          </cell>
        </row>
        <row r="7742">
          <cell r="F7742" t="str">
            <v>SMH200-H04H3</v>
          </cell>
          <cell r="G7742" t="str">
            <v>HOUSING</v>
          </cell>
          <cell r="H7742" t="str">
            <v>HOU2119</v>
          </cell>
        </row>
        <row r="7743">
          <cell r="F7743" t="str">
            <v>SMH200-H03H3</v>
          </cell>
          <cell r="G7743" t="str">
            <v>HOUSING</v>
          </cell>
          <cell r="H7743" t="str">
            <v>HOU2118</v>
          </cell>
        </row>
        <row r="7744">
          <cell r="F7744" t="str">
            <v>SMH200-H06H3(BLK)</v>
          </cell>
          <cell r="G7744" t="str">
            <v>HOUSING</v>
          </cell>
          <cell r="H7744" t="str">
            <v>HOU2117</v>
          </cell>
        </row>
        <row r="7745">
          <cell r="F7745" t="str">
            <v>SMH200-H05H3(BK)</v>
          </cell>
          <cell r="G7745" t="str">
            <v>HOUSING</v>
          </cell>
          <cell r="H7745" t="str">
            <v>HOU2116</v>
          </cell>
        </row>
        <row r="7746">
          <cell r="F7746" t="str">
            <v>SMH200-H08H3(BK)</v>
          </cell>
          <cell r="G7746" t="str">
            <v>HOUSING</v>
          </cell>
          <cell r="H7746" t="str">
            <v>HOU2115</v>
          </cell>
        </row>
        <row r="7747">
          <cell r="F7747" t="str">
            <v>SMH200-H06H3</v>
          </cell>
          <cell r="G7747" t="str">
            <v>HOUSING</v>
          </cell>
          <cell r="H7747" t="str">
            <v>HOU2114</v>
          </cell>
        </row>
        <row r="7748">
          <cell r="F7748" t="str">
            <v>SMH200-H05H3</v>
          </cell>
          <cell r="G7748" t="str">
            <v>HOUSING</v>
          </cell>
          <cell r="H7748" t="str">
            <v>HOU2113</v>
          </cell>
        </row>
        <row r="7749">
          <cell r="F7749" t="str">
            <v>MG630839P-2</v>
          </cell>
          <cell r="G7749" t="str">
            <v>HOUSING</v>
          </cell>
          <cell r="H7749" t="str">
            <v>HOU2112</v>
          </cell>
        </row>
        <row r="7750">
          <cell r="F7750" t="str">
            <v>MG610876P-2</v>
          </cell>
          <cell r="G7750" t="str">
            <v>HOUSING</v>
          </cell>
          <cell r="H7750" t="str">
            <v>HOU2111</v>
          </cell>
        </row>
        <row r="7751">
          <cell r="F7751" t="str">
            <v>MG625029T</v>
          </cell>
          <cell r="G7751" t="str">
            <v>HOUSING</v>
          </cell>
          <cell r="H7751" t="str">
            <v>HOU2110</v>
          </cell>
        </row>
        <row r="7752">
          <cell r="F7752" t="str">
            <v>25045HP-11AZ</v>
          </cell>
          <cell r="G7752" t="str">
            <v>HOUSING</v>
          </cell>
          <cell r="H7752" t="str">
            <v>HOU2109</v>
          </cell>
        </row>
        <row r="7753">
          <cell r="F7753" t="str">
            <v>MG610455T-002</v>
          </cell>
          <cell r="G7753" t="str">
            <v>HOUSING</v>
          </cell>
          <cell r="H7753" t="str">
            <v>HOU2108</v>
          </cell>
        </row>
        <row r="7754">
          <cell r="F7754" t="str">
            <v>YH396-04VR(BLU)</v>
          </cell>
          <cell r="G7754" t="str">
            <v>HOUSING</v>
          </cell>
          <cell r="H7754" t="str">
            <v>HOU2107</v>
          </cell>
        </row>
        <row r="7755">
          <cell r="F7755" t="str">
            <v>MG634620</v>
          </cell>
          <cell r="G7755" t="str">
            <v>HOUSING</v>
          </cell>
          <cell r="H7755" t="str">
            <v>HOU2106</v>
          </cell>
        </row>
        <row r="7756">
          <cell r="F7756" t="str">
            <v>25045HP-06B(BLU)</v>
          </cell>
          <cell r="G7756" t="str">
            <v>HOUSING</v>
          </cell>
          <cell r="H7756" t="str">
            <v>HOU2105</v>
          </cell>
        </row>
        <row r="7757">
          <cell r="F7757" t="str">
            <v>GHR-08V-S</v>
          </cell>
          <cell r="G7757" t="str">
            <v>HOUSING</v>
          </cell>
          <cell r="H7757" t="str">
            <v>HOU2104</v>
          </cell>
        </row>
        <row r="7758">
          <cell r="F7758" t="str">
            <v>770330-1</v>
          </cell>
          <cell r="G7758" t="str">
            <v>HOUSING</v>
          </cell>
          <cell r="H7758" t="str">
            <v>HOU2103</v>
          </cell>
        </row>
        <row r="7759">
          <cell r="F7759" t="str">
            <v>PS-187-3V(N)</v>
          </cell>
          <cell r="G7759" t="str">
            <v>HOUSING</v>
          </cell>
          <cell r="H7759" t="str">
            <v>HOU2102</v>
          </cell>
        </row>
        <row r="7760">
          <cell r="F7760" t="str">
            <v>XAP-04V-1</v>
          </cell>
          <cell r="G7760" t="str">
            <v>HOUSING</v>
          </cell>
          <cell r="H7760" t="str">
            <v>HOU2101</v>
          </cell>
        </row>
        <row r="7761">
          <cell r="F7761" t="str">
            <v>SMH250-11(RED)</v>
          </cell>
          <cell r="G7761" t="str">
            <v>HOUSING</v>
          </cell>
          <cell r="H7761" t="str">
            <v>HOU2100</v>
          </cell>
        </row>
        <row r="7762">
          <cell r="F7762" t="str">
            <v>MG615708-009</v>
          </cell>
          <cell r="G7762" t="str">
            <v>HOUSING</v>
          </cell>
          <cell r="H7762" t="str">
            <v>HOU2026</v>
          </cell>
        </row>
        <row r="7763">
          <cell r="F7763" t="str">
            <v>MG615042-2</v>
          </cell>
          <cell r="G7763" t="str">
            <v>HOUSING</v>
          </cell>
          <cell r="H7763" t="str">
            <v>HOU2025</v>
          </cell>
        </row>
        <row r="7764">
          <cell r="F7764" t="str">
            <v>12507HS-H12G1</v>
          </cell>
          <cell r="G7764" t="str">
            <v>HOUSING</v>
          </cell>
          <cell r="H7764" t="str">
            <v>HOU2024</v>
          </cell>
        </row>
        <row r="7765">
          <cell r="F7765" t="str">
            <v>MG635689T-102</v>
          </cell>
          <cell r="G7765" t="str">
            <v>HOUSING</v>
          </cell>
          <cell r="H7765" t="str">
            <v>HOU2023</v>
          </cell>
        </row>
        <row r="7766">
          <cell r="F7766" t="str">
            <v>MG630839P</v>
          </cell>
          <cell r="G7766" t="str">
            <v>HOUSING</v>
          </cell>
          <cell r="H7766" t="str">
            <v>HOU2022</v>
          </cell>
        </row>
        <row r="7767">
          <cell r="F7767" t="str">
            <v>12507HS-H06G2(NC)</v>
          </cell>
          <cell r="G7767" t="str">
            <v>HOUSING</v>
          </cell>
          <cell r="H7767" t="str">
            <v>HOU2021</v>
          </cell>
        </row>
        <row r="7768">
          <cell r="F7768" t="str">
            <v>SMP-02V-BC</v>
          </cell>
          <cell r="G7768" t="str">
            <v>HOUSING</v>
          </cell>
          <cell r="H7768" t="str">
            <v>HOU2020</v>
          </cell>
        </row>
        <row r="7769">
          <cell r="F7769" t="str">
            <v>ELR-02VF</v>
          </cell>
          <cell r="G7769" t="str">
            <v>HOUSING</v>
          </cell>
          <cell r="H7769" t="str">
            <v>HOU2019</v>
          </cell>
        </row>
        <row r="7770">
          <cell r="F7770" t="str">
            <v>MSEM 7323-002-002-960-G</v>
          </cell>
          <cell r="G7770" t="str">
            <v>HOUSING</v>
          </cell>
          <cell r="H7770" t="str">
            <v>HOU2018</v>
          </cell>
        </row>
        <row r="7771">
          <cell r="F7771" t="str">
            <v>MSEM 7323-002-003-960-G</v>
          </cell>
          <cell r="G7771" t="str">
            <v>HOUSING</v>
          </cell>
          <cell r="H7771" t="str">
            <v>HOU2017</v>
          </cell>
        </row>
        <row r="7772">
          <cell r="F7772" t="str">
            <v>MSEM 7323-002-001-960-G</v>
          </cell>
          <cell r="G7772" t="str">
            <v>HOUSING</v>
          </cell>
          <cell r="H7772" t="str">
            <v>HOU2016</v>
          </cell>
        </row>
        <row r="7773">
          <cell r="F7773" t="str">
            <v>MSEM 7322-004-001-960-G</v>
          </cell>
          <cell r="G7773" t="str">
            <v>HOUSING</v>
          </cell>
          <cell r="H7773" t="str">
            <v>HOU2015</v>
          </cell>
        </row>
        <row r="7774">
          <cell r="F7774" t="str">
            <v>TPA0065 (CAP B)</v>
          </cell>
          <cell r="G7774" t="str">
            <v>HOUSING</v>
          </cell>
          <cell r="H7774" t="str">
            <v>HOU2014</v>
          </cell>
        </row>
        <row r="7775">
          <cell r="F7775" t="str">
            <v>MSEM 7322-004-002-960-G</v>
          </cell>
          <cell r="G7775" t="str">
            <v>HOUSING</v>
          </cell>
          <cell r="H7775" t="str">
            <v>HOU2013</v>
          </cell>
        </row>
        <row r="7776">
          <cell r="F7776" t="str">
            <v>ZNDP-24V-A-S</v>
          </cell>
          <cell r="G7776" t="str">
            <v>HOUSING</v>
          </cell>
          <cell r="H7776" t="str">
            <v>HOU2012</v>
          </cell>
        </row>
        <row r="7777">
          <cell r="F7777" t="str">
            <v>ZNDP-26V-A-S</v>
          </cell>
          <cell r="G7777" t="str">
            <v>HOUSING</v>
          </cell>
          <cell r="H7777" t="str">
            <v>HOU2011</v>
          </cell>
        </row>
        <row r="7778">
          <cell r="F7778" t="str">
            <v>MG615713-022</v>
          </cell>
          <cell r="G7778" t="str">
            <v>HOUSING</v>
          </cell>
          <cell r="H7778" t="str">
            <v>HOU2010</v>
          </cell>
        </row>
        <row r="7779">
          <cell r="F7779" t="str">
            <v>ZNDRR-24V-A-S</v>
          </cell>
          <cell r="G7779" t="str">
            <v>HOUSING</v>
          </cell>
          <cell r="H7779" t="str">
            <v>HOU2009</v>
          </cell>
        </row>
        <row r="7780">
          <cell r="F7780" t="str">
            <v>SMP-08V-BC</v>
          </cell>
          <cell r="G7780" t="str">
            <v>HOUSING</v>
          </cell>
          <cell r="H7780" t="str">
            <v>HOU2008</v>
          </cell>
        </row>
        <row r="7781">
          <cell r="F7781" t="str">
            <v>MG615713-030</v>
          </cell>
          <cell r="G7781" t="str">
            <v>HOUSING</v>
          </cell>
          <cell r="H7781" t="str">
            <v>HOU2007</v>
          </cell>
        </row>
        <row r="7782">
          <cell r="F7782" t="str">
            <v>SMR-08V-B</v>
          </cell>
          <cell r="G7782" t="str">
            <v>HOUSING</v>
          </cell>
          <cell r="H7782" t="str">
            <v>HOU2006</v>
          </cell>
        </row>
        <row r="7783">
          <cell r="F7783" t="str">
            <v>PNDS-24V-K-A</v>
          </cell>
          <cell r="G7783" t="str">
            <v>HOUSING</v>
          </cell>
          <cell r="H7783" t="str">
            <v>HOU2005</v>
          </cell>
        </row>
        <row r="7784">
          <cell r="F7784" t="str">
            <v>MG625308T-2</v>
          </cell>
          <cell r="G7784" t="str">
            <v>HOUSING</v>
          </cell>
          <cell r="H7784" t="str">
            <v>HOU2004</v>
          </cell>
        </row>
        <row r="7785">
          <cell r="F7785" t="str">
            <v>1969588-8</v>
          </cell>
          <cell r="G7785" t="str">
            <v>HOUSING</v>
          </cell>
          <cell r="H7785" t="str">
            <v>HOU2003</v>
          </cell>
        </row>
        <row r="7786">
          <cell r="F7786" t="str">
            <v>-</v>
          </cell>
          <cell r="G7786" t="str">
            <v>HOUSING</v>
          </cell>
          <cell r="H7786" t="str">
            <v>HOU2002</v>
          </cell>
        </row>
        <row r="7787">
          <cell r="F7787" t="str">
            <v>1565083-1</v>
          </cell>
          <cell r="G7787" t="str">
            <v>HOUSING</v>
          </cell>
          <cell r="H7787" t="str">
            <v>HOU2001</v>
          </cell>
        </row>
        <row r="7788">
          <cell r="F7788" t="str">
            <v>MG610599R-1</v>
          </cell>
          <cell r="G7788" t="str">
            <v>HOUSING</v>
          </cell>
          <cell r="H7788" t="str">
            <v>HOU2000</v>
          </cell>
        </row>
        <row r="7789">
          <cell r="F7789" t="str">
            <v>PNDS-24V-Z</v>
          </cell>
          <cell r="G7789" t="str">
            <v>HOUSING</v>
          </cell>
          <cell r="H7789" t="str">
            <v>HOU1999</v>
          </cell>
        </row>
        <row r="7790">
          <cell r="F7790" t="str">
            <v>PNDP-24V-Z</v>
          </cell>
          <cell r="G7790" t="str">
            <v>HOUSING</v>
          </cell>
          <cell r="H7790" t="str">
            <v>HOU1998</v>
          </cell>
        </row>
        <row r="7791">
          <cell r="F7791" t="str">
            <v>25048HS-03(RE)</v>
          </cell>
          <cell r="G7791" t="str">
            <v>HOUSING</v>
          </cell>
          <cell r="H7791" t="str">
            <v>HOU1997</v>
          </cell>
        </row>
        <row r="7792">
          <cell r="F7792" t="str">
            <v>SMH200-H03PR(BK)</v>
          </cell>
          <cell r="G7792" t="str">
            <v>HOUSING</v>
          </cell>
          <cell r="H7792" t="str">
            <v>HOU1996</v>
          </cell>
        </row>
        <row r="7793">
          <cell r="F7793" t="str">
            <v>316768-2</v>
          </cell>
          <cell r="G7793" t="str">
            <v>HOUSING</v>
          </cell>
          <cell r="H7793" t="str">
            <v>HOU1995</v>
          </cell>
        </row>
        <row r="7794">
          <cell r="F7794" t="str">
            <v>316768-9</v>
          </cell>
          <cell r="G7794" t="str">
            <v>HOUSING</v>
          </cell>
          <cell r="H7794" t="str">
            <v>HOU1994</v>
          </cell>
        </row>
        <row r="7795">
          <cell r="F7795" t="str">
            <v>5-316768-1</v>
          </cell>
          <cell r="G7795" t="str">
            <v>HOUSING</v>
          </cell>
          <cell r="H7795" t="str">
            <v>HOU1993</v>
          </cell>
        </row>
        <row r="7796">
          <cell r="F7796" t="str">
            <v>316769-2</v>
          </cell>
          <cell r="G7796" t="str">
            <v>HOUSING</v>
          </cell>
          <cell r="H7796" t="str">
            <v>HOU1992</v>
          </cell>
        </row>
        <row r="7797">
          <cell r="F7797" t="str">
            <v>316769-9</v>
          </cell>
          <cell r="G7797" t="str">
            <v>HOUSING</v>
          </cell>
          <cell r="H7797" t="str">
            <v>HOU1991</v>
          </cell>
        </row>
        <row r="7798">
          <cell r="F7798" t="str">
            <v>5-316769-1</v>
          </cell>
          <cell r="G7798" t="str">
            <v>HOUSING</v>
          </cell>
          <cell r="H7798" t="str">
            <v>HOU1990</v>
          </cell>
        </row>
        <row r="7799">
          <cell r="F7799" t="str">
            <v>12507HS-H08G1</v>
          </cell>
          <cell r="G7799" t="str">
            <v>HOUSING</v>
          </cell>
          <cell r="H7799" t="str">
            <v>HOU1989</v>
          </cell>
        </row>
        <row r="7800">
          <cell r="F7800" t="str">
            <v>MG610224T</v>
          </cell>
          <cell r="G7800" t="str">
            <v>HOUSING</v>
          </cell>
          <cell r="H7800" t="str">
            <v>HOU1987</v>
          </cell>
        </row>
        <row r="7801">
          <cell r="F7801" t="str">
            <v>MG630721</v>
          </cell>
          <cell r="G7801" t="str">
            <v>HOUSING</v>
          </cell>
          <cell r="H7801" t="str">
            <v>HOU1986</v>
          </cell>
        </row>
        <row r="7802">
          <cell r="F7802" t="str">
            <v>MG615730-028</v>
          </cell>
          <cell r="G7802" t="str">
            <v>HOUSING</v>
          </cell>
          <cell r="H7802" t="str">
            <v>HOU1985</v>
          </cell>
        </row>
        <row r="7803">
          <cell r="F7803" t="str">
            <v>MG610993-006</v>
          </cell>
          <cell r="G7803" t="str">
            <v>HOUSING</v>
          </cell>
          <cell r="H7803" t="str">
            <v>HOU1983</v>
          </cell>
        </row>
        <row r="7804">
          <cell r="F7804" t="str">
            <v>20003HS-28D</v>
          </cell>
          <cell r="G7804" t="str">
            <v>HOUSING</v>
          </cell>
          <cell r="H7804" t="str">
            <v>HOU1982</v>
          </cell>
        </row>
        <row r="7805">
          <cell r="F7805" t="str">
            <v>25045HP-06AZ(BK)</v>
          </cell>
          <cell r="G7805" t="str">
            <v>HOUSING</v>
          </cell>
          <cell r="H7805" t="str">
            <v>HOU1981</v>
          </cell>
        </row>
        <row r="7806">
          <cell r="F7806" t="str">
            <v>12507HS-H10G1</v>
          </cell>
          <cell r="G7806" t="str">
            <v>HOUSING</v>
          </cell>
          <cell r="H7806" t="str">
            <v>HOU1980</v>
          </cell>
        </row>
        <row r="7807">
          <cell r="F7807" t="str">
            <v>MG621934-3</v>
          </cell>
          <cell r="G7807" t="str">
            <v>HOUSING</v>
          </cell>
          <cell r="H7807" t="str">
            <v>HOU1978</v>
          </cell>
        </row>
        <row r="7808">
          <cell r="F7808" t="str">
            <v>MG634151T-101</v>
          </cell>
          <cell r="G7808" t="str">
            <v>HOUSING</v>
          </cell>
          <cell r="H7808" t="str">
            <v>HOU1977</v>
          </cell>
        </row>
        <row r="7809">
          <cell r="F7809" t="str">
            <v>MG634533T-102</v>
          </cell>
          <cell r="G7809" t="str">
            <v>HOUSING</v>
          </cell>
          <cell r="H7809" t="str">
            <v>HOU1976</v>
          </cell>
        </row>
        <row r="7810">
          <cell r="F7810" t="str">
            <v>MG634531T-602</v>
          </cell>
          <cell r="G7810" t="str">
            <v>HOUSING</v>
          </cell>
          <cell r="H7810" t="str">
            <v>HOU1975</v>
          </cell>
        </row>
        <row r="7811">
          <cell r="F7811" t="str">
            <v>MG634531T-502</v>
          </cell>
          <cell r="G7811" t="str">
            <v>HOUSING</v>
          </cell>
          <cell r="H7811" t="str">
            <v>HOU1974</v>
          </cell>
        </row>
        <row r="7812">
          <cell r="F7812" t="str">
            <v>MG634531T-202</v>
          </cell>
          <cell r="G7812" t="str">
            <v>HOUSING</v>
          </cell>
          <cell r="H7812" t="str">
            <v>HOU1973</v>
          </cell>
        </row>
        <row r="7813">
          <cell r="F7813" t="str">
            <v>MG634531T-102</v>
          </cell>
          <cell r="G7813" t="str">
            <v>HOUSING</v>
          </cell>
          <cell r="H7813" t="str">
            <v>HOU1972</v>
          </cell>
        </row>
        <row r="7814">
          <cell r="F7814" t="str">
            <v>MG634528T</v>
          </cell>
          <cell r="G7814" t="str">
            <v>HOUSING</v>
          </cell>
          <cell r="H7814" t="str">
            <v>HOU1971</v>
          </cell>
        </row>
        <row r="7815">
          <cell r="F7815" t="str">
            <v>MG610024T-002</v>
          </cell>
          <cell r="G7815" t="str">
            <v>HOUSING</v>
          </cell>
          <cell r="H7815" t="str">
            <v>HOU1970</v>
          </cell>
        </row>
        <row r="7816">
          <cell r="F7816" t="str">
            <v>MG634533T-302</v>
          </cell>
          <cell r="G7816" t="str">
            <v>HOUSING</v>
          </cell>
          <cell r="H7816" t="str">
            <v>HOU1969</v>
          </cell>
        </row>
        <row r="7817">
          <cell r="F7817" t="str">
            <v>MG634533T-202</v>
          </cell>
          <cell r="G7817" t="str">
            <v>HOUSING</v>
          </cell>
          <cell r="H7817" t="str">
            <v>HOU1968</v>
          </cell>
        </row>
        <row r="7818">
          <cell r="F7818" t="str">
            <v>MG634533T-002</v>
          </cell>
          <cell r="G7818" t="str">
            <v>HOUSING</v>
          </cell>
          <cell r="H7818" t="str">
            <v>HOU1967</v>
          </cell>
        </row>
        <row r="7819">
          <cell r="F7819" t="str">
            <v>MG634531T-002</v>
          </cell>
          <cell r="G7819" t="str">
            <v>HOUSING</v>
          </cell>
          <cell r="H7819" t="str">
            <v>HOU1966</v>
          </cell>
        </row>
        <row r="7820">
          <cell r="F7820" t="str">
            <v>SMH200-03PRZ</v>
          </cell>
          <cell r="G7820" t="str">
            <v>HOUSING</v>
          </cell>
          <cell r="H7820" t="str">
            <v>HOU1965</v>
          </cell>
        </row>
        <row r="7821">
          <cell r="F7821" t="str">
            <v>MG630823</v>
          </cell>
          <cell r="G7821" t="str">
            <v>HOUSING</v>
          </cell>
          <cell r="H7821" t="str">
            <v>HOU1964</v>
          </cell>
        </row>
        <row r="7822">
          <cell r="F7822" t="str">
            <v>MG634934R-001</v>
          </cell>
          <cell r="G7822" t="str">
            <v>HOUSING</v>
          </cell>
          <cell r="H7822" t="str">
            <v>HOU1963</v>
          </cell>
        </row>
        <row r="7823">
          <cell r="F7823" t="str">
            <v>MG615390S-2</v>
          </cell>
          <cell r="G7823" t="str">
            <v>HOUSING</v>
          </cell>
          <cell r="H7823" t="str">
            <v>HOU1962</v>
          </cell>
        </row>
        <row r="7824">
          <cell r="F7824" t="str">
            <v>MG615390S-1</v>
          </cell>
          <cell r="G7824" t="str">
            <v>HOUSING</v>
          </cell>
          <cell r="H7824" t="str">
            <v>HOU1961</v>
          </cell>
        </row>
        <row r="7825">
          <cell r="F7825" t="str">
            <v>PARP-06V</v>
          </cell>
          <cell r="G7825" t="str">
            <v>HOUSING</v>
          </cell>
          <cell r="H7825" t="str">
            <v>HOU1960</v>
          </cell>
        </row>
        <row r="7826">
          <cell r="F7826" t="str">
            <v>SC41241-031A-WH</v>
          </cell>
          <cell r="G7826" t="str">
            <v>HOUSING</v>
          </cell>
          <cell r="H7826" t="str">
            <v>HOU1959</v>
          </cell>
        </row>
        <row r="7827">
          <cell r="F7827" t="str">
            <v>35965-9210</v>
          </cell>
          <cell r="G7827" t="str">
            <v>HOUSING</v>
          </cell>
          <cell r="H7827" t="str">
            <v>HOU1958</v>
          </cell>
        </row>
        <row r="7828">
          <cell r="F7828" t="str">
            <v>MG610599-1</v>
          </cell>
          <cell r="G7828" t="str">
            <v>HOUSING</v>
          </cell>
          <cell r="H7828" t="str">
            <v>HOU1955</v>
          </cell>
        </row>
        <row r="7829">
          <cell r="F7829" t="str">
            <v>MG625508-202</v>
          </cell>
          <cell r="G7829" t="str">
            <v>HOUSING</v>
          </cell>
          <cell r="H7829" t="str">
            <v>HOU1954</v>
          </cell>
        </row>
        <row r="7830">
          <cell r="F7830" t="str">
            <v>MG615562-3</v>
          </cell>
          <cell r="G7830" t="str">
            <v>HOUSING</v>
          </cell>
          <cell r="H7830" t="str">
            <v>HOU1953</v>
          </cell>
        </row>
        <row r="7831">
          <cell r="F7831" t="str">
            <v>SMH420-06BZ</v>
          </cell>
          <cell r="G7831" t="str">
            <v>HOUSING</v>
          </cell>
          <cell r="H7831" t="str">
            <v>HOU1952</v>
          </cell>
        </row>
        <row r="7832">
          <cell r="F7832" t="str">
            <v>MG634915-1</v>
          </cell>
          <cell r="G7832" t="str">
            <v>HOUSING</v>
          </cell>
          <cell r="H7832" t="str">
            <v>HOU1951</v>
          </cell>
        </row>
        <row r="7833">
          <cell r="F7833" t="str">
            <v>MG634833ST-501</v>
          </cell>
          <cell r="G7833" t="str">
            <v>HOUSING</v>
          </cell>
          <cell r="H7833" t="str">
            <v>HOU1950</v>
          </cell>
        </row>
        <row r="7834">
          <cell r="F7834" t="str">
            <v>MG615653-101</v>
          </cell>
          <cell r="G7834" t="str">
            <v>HOUSING</v>
          </cell>
          <cell r="H7834" t="str">
            <v>HOU1949</v>
          </cell>
        </row>
        <row r="7835">
          <cell r="F7835" t="str">
            <v>2-1743068-1</v>
          </cell>
          <cell r="G7835" t="str">
            <v>HOUSING</v>
          </cell>
          <cell r="H7835" t="str">
            <v>HOU1948</v>
          </cell>
        </row>
        <row r="7836">
          <cell r="F7836" t="str">
            <v>5-179463-1</v>
          </cell>
          <cell r="G7836" t="str">
            <v>HOUSING</v>
          </cell>
          <cell r="H7836" t="str">
            <v>HOU1947</v>
          </cell>
        </row>
        <row r="7837">
          <cell r="F7837" t="str">
            <v>MG625251</v>
          </cell>
          <cell r="G7837" t="str">
            <v>HOUSING</v>
          </cell>
          <cell r="H7837" t="str">
            <v>HOU1946</v>
          </cell>
        </row>
        <row r="7838">
          <cell r="F7838" t="str">
            <v>25045HP-04AZ(YEL)</v>
          </cell>
          <cell r="G7838" t="str">
            <v>HOUSING</v>
          </cell>
          <cell r="H7838" t="str">
            <v>HOU1945</v>
          </cell>
        </row>
        <row r="7839">
          <cell r="F7839" t="str">
            <v>MG634873-202</v>
          </cell>
          <cell r="G7839" t="str">
            <v>HOUSING</v>
          </cell>
          <cell r="H7839" t="str">
            <v>HOU1944</v>
          </cell>
        </row>
        <row r="7840">
          <cell r="F7840" t="str">
            <v>MG625306T-3</v>
          </cell>
          <cell r="G7840" t="str">
            <v>HOUSING</v>
          </cell>
          <cell r="H7840" t="str">
            <v>HOU1943</v>
          </cell>
        </row>
        <row r="7841">
          <cell r="F7841" t="str">
            <v>A2010H00-2P-JT</v>
          </cell>
          <cell r="G7841" t="str">
            <v>HOUSING</v>
          </cell>
          <cell r="H7841" t="str">
            <v>HOU1942</v>
          </cell>
        </row>
        <row r="7842">
          <cell r="F7842" t="str">
            <v>A1257H00-5P-JT</v>
          </cell>
          <cell r="G7842" t="str">
            <v>HOUSING</v>
          </cell>
          <cell r="H7842" t="str">
            <v>HOU1941</v>
          </cell>
        </row>
        <row r="7843">
          <cell r="F7843" t="str">
            <v>A2514H00-9P-JT</v>
          </cell>
          <cell r="G7843" t="str">
            <v>HOUSING</v>
          </cell>
          <cell r="H7843" t="str">
            <v>HOU1940</v>
          </cell>
        </row>
        <row r="7844">
          <cell r="F7844">
            <v>35077996</v>
          </cell>
          <cell r="G7844" t="str">
            <v>HOUSING</v>
          </cell>
          <cell r="H7844" t="str">
            <v>HOU1939</v>
          </cell>
        </row>
        <row r="7845">
          <cell r="F7845" t="str">
            <v>25045HP-05AZ(BLU)</v>
          </cell>
          <cell r="G7845" t="str">
            <v>HOUSING</v>
          </cell>
          <cell r="H7845" t="str">
            <v>HOU1938</v>
          </cell>
        </row>
        <row r="7846">
          <cell r="F7846" t="str">
            <v>MG625488-024</v>
          </cell>
          <cell r="G7846" t="str">
            <v>HOUSING</v>
          </cell>
          <cell r="H7846" t="str">
            <v>HOU1937</v>
          </cell>
        </row>
        <row r="7847">
          <cell r="F7847" t="str">
            <v>SMH200-H18H3</v>
          </cell>
          <cell r="G7847" t="str">
            <v>HOUSING</v>
          </cell>
          <cell r="H7847" t="str">
            <v>HOU1936</v>
          </cell>
        </row>
        <row r="7848">
          <cell r="F7848" t="str">
            <v>MG615708-010</v>
          </cell>
          <cell r="G7848" t="str">
            <v>HOUSING</v>
          </cell>
          <cell r="H7848" t="str">
            <v>HOU1935</v>
          </cell>
        </row>
        <row r="7849">
          <cell r="F7849" t="str">
            <v>SMH200-H13H3</v>
          </cell>
          <cell r="G7849" t="str">
            <v>HOUSING</v>
          </cell>
          <cell r="H7849" t="str">
            <v>HOU1934</v>
          </cell>
        </row>
        <row r="7850">
          <cell r="F7850" t="str">
            <v>YH396-12V</v>
          </cell>
          <cell r="G7850" t="str">
            <v>HOUSING</v>
          </cell>
          <cell r="H7850" t="str">
            <v>HOU1933</v>
          </cell>
        </row>
        <row r="7851">
          <cell r="F7851" t="str">
            <v>171850-0400</v>
          </cell>
          <cell r="G7851" t="str">
            <v>HOUSING</v>
          </cell>
          <cell r="H7851" t="str">
            <v>HOU1932</v>
          </cell>
        </row>
        <row r="7852">
          <cell r="F7852" t="str">
            <v>MG625305</v>
          </cell>
          <cell r="G7852" t="str">
            <v>HOUSING</v>
          </cell>
          <cell r="H7852" t="str">
            <v>HOU1931</v>
          </cell>
        </row>
        <row r="7853">
          <cell r="F7853" t="str">
            <v>MG625305T</v>
          </cell>
          <cell r="G7853" t="str">
            <v>HOUSING</v>
          </cell>
          <cell r="H7853" t="str">
            <v>HOU1930</v>
          </cell>
        </row>
        <row r="7854">
          <cell r="F7854" t="str">
            <v>MG625306T-2</v>
          </cell>
          <cell r="G7854" t="str">
            <v>HOUSING</v>
          </cell>
          <cell r="H7854" t="str">
            <v>HOU1929</v>
          </cell>
        </row>
        <row r="7855">
          <cell r="F7855" t="str">
            <v>MG625311T</v>
          </cell>
          <cell r="G7855" t="str">
            <v>HOUSING</v>
          </cell>
          <cell r="H7855" t="str">
            <v>HOU1928</v>
          </cell>
        </row>
        <row r="7856">
          <cell r="F7856" t="str">
            <v>SMH200-H11H3</v>
          </cell>
          <cell r="G7856" t="str">
            <v>HOUSING</v>
          </cell>
          <cell r="H7856" t="str">
            <v>HOU1927</v>
          </cell>
        </row>
        <row r="7857">
          <cell r="F7857" t="str">
            <v>YDH236-02(BL)</v>
          </cell>
          <cell r="G7857" t="str">
            <v>HOUSING</v>
          </cell>
          <cell r="H7857" t="str">
            <v>HOU1926</v>
          </cell>
        </row>
        <row r="7858">
          <cell r="F7858" t="str">
            <v>YH396-H03PL</v>
          </cell>
          <cell r="G7858" t="str">
            <v>HOUSING</v>
          </cell>
          <cell r="H7858" t="str">
            <v>HOU1925</v>
          </cell>
        </row>
        <row r="7859">
          <cell r="F7859" t="str">
            <v>MG613871T-002</v>
          </cell>
          <cell r="G7859" t="str">
            <v>HOUSING</v>
          </cell>
          <cell r="H7859" t="str">
            <v>HOU1924</v>
          </cell>
        </row>
        <row r="7860">
          <cell r="F7860" t="str">
            <v>SMH200-04PRZ</v>
          </cell>
          <cell r="G7860" t="str">
            <v>HOUSING</v>
          </cell>
          <cell r="H7860" t="str">
            <v>HOU1921</v>
          </cell>
        </row>
        <row r="7861">
          <cell r="F7861" t="str">
            <v>SMH200-12HZ</v>
          </cell>
          <cell r="G7861" t="str">
            <v>HOUSING</v>
          </cell>
          <cell r="H7861" t="str">
            <v>HOU1920</v>
          </cell>
        </row>
        <row r="7862">
          <cell r="F7862" t="str">
            <v>SMH200-05PRZ(BL)</v>
          </cell>
          <cell r="G7862" t="str">
            <v>HOUSING</v>
          </cell>
          <cell r="H7862" t="str">
            <v>HOU1919</v>
          </cell>
        </row>
        <row r="7863">
          <cell r="F7863" t="str">
            <v>YLR-02V-WGL1-Y</v>
          </cell>
          <cell r="G7863" t="str">
            <v>HOUSING</v>
          </cell>
          <cell r="H7863" t="str">
            <v>HOU1918</v>
          </cell>
        </row>
        <row r="7864">
          <cell r="F7864" t="str">
            <v>YLP-02V-WGL1-Y</v>
          </cell>
          <cell r="G7864" t="str">
            <v>HOUSING</v>
          </cell>
          <cell r="H7864" t="str">
            <v>HOU1917</v>
          </cell>
        </row>
        <row r="7865">
          <cell r="F7865" t="str">
            <v>SMH200-H08H3</v>
          </cell>
          <cell r="G7865" t="str">
            <v>HOUSING</v>
          </cell>
          <cell r="H7865" t="str">
            <v>HOU1916</v>
          </cell>
        </row>
        <row r="7866">
          <cell r="F7866" t="str">
            <v>20003WS-H24</v>
          </cell>
          <cell r="G7866" t="str">
            <v>HOUSING</v>
          </cell>
          <cell r="H7866" t="str">
            <v>HOU1915</v>
          </cell>
        </row>
        <row r="7867">
          <cell r="F7867" t="str">
            <v>20003WS-H26</v>
          </cell>
          <cell r="G7867" t="str">
            <v>HOUSING</v>
          </cell>
          <cell r="H7867" t="str">
            <v>HOU1914</v>
          </cell>
        </row>
        <row r="7868">
          <cell r="F7868" t="str">
            <v>20003WS-H28</v>
          </cell>
          <cell r="G7868" t="str">
            <v>HOUSING</v>
          </cell>
          <cell r="H7868" t="str">
            <v>HOU1913</v>
          </cell>
        </row>
        <row r="7869">
          <cell r="F7869" t="str">
            <v>MG615249</v>
          </cell>
          <cell r="G7869" t="str">
            <v>HOUSING</v>
          </cell>
          <cell r="H7869" t="str">
            <v>HOU1912</v>
          </cell>
        </row>
        <row r="7870">
          <cell r="F7870" t="str">
            <v>35524-0924</v>
          </cell>
          <cell r="G7870" t="str">
            <v>HOUSING</v>
          </cell>
          <cell r="H7870" t="str">
            <v>HOU1911</v>
          </cell>
        </row>
        <row r="7871">
          <cell r="F7871" t="str">
            <v>XHP-2</v>
          </cell>
          <cell r="G7871" t="str">
            <v>HOUSING</v>
          </cell>
          <cell r="H7871" t="str">
            <v>HOU1910</v>
          </cell>
        </row>
        <row r="7872">
          <cell r="F7872" t="str">
            <v>MG625250</v>
          </cell>
          <cell r="G7872" t="str">
            <v>HOUSING</v>
          </cell>
          <cell r="H7872" t="str">
            <v>HOU1909</v>
          </cell>
        </row>
        <row r="7873">
          <cell r="F7873" t="str">
            <v>35150-0314</v>
          </cell>
          <cell r="G7873" t="str">
            <v>HOUSING</v>
          </cell>
          <cell r="H7873" t="str">
            <v>HOU1908</v>
          </cell>
        </row>
        <row r="7874">
          <cell r="F7874" t="str">
            <v>AH130302-02</v>
          </cell>
          <cell r="G7874" t="str">
            <v>HOUSING</v>
          </cell>
          <cell r="H7874" t="str">
            <v>HOU1907</v>
          </cell>
        </row>
        <row r="7875">
          <cell r="F7875" t="str">
            <v>AH130301-01</v>
          </cell>
          <cell r="G7875" t="str">
            <v>HOUSING</v>
          </cell>
          <cell r="H7875" t="str">
            <v>HOU1906</v>
          </cell>
        </row>
        <row r="7876">
          <cell r="F7876" t="str">
            <v>MG615683-002</v>
          </cell>
          <cell r="G7876" t="str">
            <v>HOUSING</v>
          </cell>
          <cell r="H7876" t="str">
            <v>HOU1905</v>
          </cell>
        </row>
        <row r="7877">
          <cell r="F7877" t="str">
            <v>DF52-4P-0.8C</v>
          </cell>
          <cell r="G7877" t="str">
            <v>HOUSING</v>
          </cell>
          <cell r="H7877" t="str">
            <v>HOU1903</v>
          </cell>
        </row>
        <row r="7878">
          <cell r="F7878" t="str">
            <v>DF52-10P-0.8C</v>
          </cell>
          <cell r="G7878" t="str">
            <v>HOUSING</v>
          </cell>
          <cell r="H7878" t="str">
            <v>HOU1902</v>
          </cell>
        </row>
        <row r="7879">
          <cell r="F7879" t="str">
            <v>MG634620T</v>
          </cell>
          <cell r="G7879" t="str">
            <v>HOUSING</v>
          </cell>
          <cell r="H7879" t="str">
            <v>HOU1901</v>
          </cell>
        </row>
        <row r="7880">
          <cell r="F7880" t="str">
            <v>MG624208</v>
          </cell>
          <cell r="G7880" t="str">
            <v>HOUSING</v>
          </cell>
          <cell r="H7880" t="str">
            <v>HOU1900</v>
          </cell>
        </row>
        <row r="7881">
          <cell r="F7881" t="str">
            <v>2-34854-1</v>
          </cell>
          <cell r="G7881" t="str">
            <v>HOUSING</v>
          </cell>
          <cell r="H7881" t="str">
            <v>HOU1899</v>
          </cell>
        </row>
        <row r="7882">
          <cell r="F7882" t="str">
            <v>SMH200-H04H3(BK)</v>
          </cell>
          <cell r="G7882" t="str">
            <v>HOUSING</v>
          </cell>
          <cell r="H7882" t="str">
            <v>HOU1898</v>
          </cell>
        </row>
        <row r="7883">
          <cell r="F7883" t="str">
            <v>YH396-05VRZ(RE)</v>
          </cell>
          <cell r="G7883" t="str">
            <v>HOUSING</v>
          </cell>
          <cell r="H7883" t="str">
            <v>HOU1897</v>
          </cell>
        </row>
        <row r="7884">
          <cell r="F7884" t="str">
            <v>YH396-07VRZ(BL)</v>
          </cell>
          <cell r="G7884" t="str">
            <v>HOUSING</v>
          </cell>
          <cell r="H7884" t="str">
            <v>HOU1896</v>
          </cell>
        </row>
        <row r="7885">
          <cell r="F7885" t="str">
            <v>YDH200-22S</v>
          </cell>
          <cell r="G7885" t="str">
            <v>HOUSING</v>
          </cell>
          <cell r="H7885" t="str">
            <v>HOU1895</v>
          </cell>
        </row>
        <row r="7886">
          <cell r="F7886" t="str">
            <v>SMH200-30C</v>
          </cell>
          <cell r="G7886" t="str">
            <v>HOUSING</v>
          </cell>
          <cell r="H7886" t="str">
            <v>HOU1894</v>
          </cell>
        </row>
        <row r="7887">
          <cell r="F7887" t="str">
            <v>MG615304T</v>
          </cell>
          <cell r="G7887" t="str">
            <v>HOUSING</v>
          </cell>
          <cell r="H7887" t="str">
            <v>HOU1892</v>
          </cell>
        </row>
        <row r="7888">
          <cell r="F7888" t="str">
            <v>MG614524T</v>
          </cell>
          <cell r="G7888" t="str">
            <v>HOUSING</v>
          </cell>
          <cell r="H7888" t="str">
            <v>HOU1891</v>
          </cell>
        </row>
        <row r="7889">
          <cell r="F7889" t="str">
            <v>XHP-2</v>
          </cell>
          <cell r="G7889" t="str">
            <v>HOUSING</v>
          </cell>
          <cell r="H7889" t="str">
            <v>HOU1890</v>
          </cell>
        </row>
        <row r="7890">
          <cell r="F7890" t="str">
            <v>SMH200-H05H3(YEL)</v>
          </cell>
          <cell r="G7890" t="str">
            <v>HOUSING</v>
          </cell>
          <cell r="H7890" t="str">
            <v>HOU1889</v>
          </cell>
        </row>
        <row r="7891">
          <cell r="F7891" t="str">
            <v>25045HP-05A(RE)</v>
          </cell>
          <cell r="G7891" t="str">
            <v>HOUSING</v>
          </cell>
          <cell r="H7891" t="str">
            <v>HOU1888</v>
          </cell>
        </row>
        <row r="7892">
          <cell r="F7892" t="str">
            <v>MG620426S-5</v>
          </cell>
          <cell r="G7892" t="str">
            <v>HOUSING</v>
          </cell>
          <cell r="H7892" t="str">
            <v>HOU1887</v>
          </cell>
        </row>
        <row r="7893">
          <cell r="F7893" t="str">
            <v>YH396-07VRZ(BK)</v>
          </cell>
          <cell r="G7893" t="str">
            <v>HOUSING</v>
          </cell>
          <cell r="H7893" t="str">
            <v>HOU1886</v>
          </cell>
        </row>
        <row r="7894">
          <cell r="F7894" t="str">
            <v>MG643375</v>
          </cell>
          <cell r="G7894" t="str">
            <v>HOUSING</v>
          </cell>
          <cell r="H7894" t="str">
            <v>HOU1884</v>
          </cell>
        </row>
        <row r="7895">
          <cell r="F7895" t="str">
            <v>HIF3C-10D-2.54C(011)</v>
          </cell>
          <cell r="G7895" t="str">
            <v>HOUSING</v>
          </cell>
          <cell r="H7895" t="str">
            <v>HOU1883</v>
          </cell>
        </row>
        <row r="7896">
          <cell r="F7896" t="str">
            <v>MG615632-509</v>
          </cell>
          <cell r="G7896" t="str">
            <v>HOUSING</v>
          </cell>
          <cell r="H7896" t="str">
            <v>HOU1878</v>
          </cell>
        </row>
        <row r="7897">
          <cell r="F7897" t="str">
            <v>50-57-9405</v>
          </cell>
          <cell r="G7897" t="str">
            <v>HOUSING</v>
          </cell>
          <cell r="H7897" t="str">
            <v>HOU1877</v>
          </cell>
        </row>
        <row r="7898">
          <cell r="F7898" t="str">
            <v>SMH200-06PL</v>
          </cell>
          <cell r="G7898" t="str">
            <v>HOUSING</v>
          </cell>
          <cell r="H7898" t="str">
            <v>HOU1876</v>
          </cell>
        </row>
        <row r="7899">
          <cell r="F7899" t="str">
            <v>SMH200-06PRZ</v>
          </cell>
          <cell r="G7899" t="str">
            <v>HOUSING</v>
          </cell>
          <cell r="H7899" t="str">
            <v>HOU1875</v>
          </cell>
        </row>
        <row r="7900">
          <cell r="F7900" t="str">
            <v>SMH200-H10H3</v>
          </cell>
          <cell r="G7900" t="str">
            <v>HOUSING</v>
          </cell>
          <cell r="H7900" t="str">
            <v>HOU1874</v>
          </cell>
        </row>
        <row r="7901">
          <cell r="F7901" t="str">
            <v>SMH200-H05H3(RE)</v>
          </cell>
          <cell r="G7901" t="str">
            <v>HOUSING</v>
          </cell>
          <cell r="H7901" t="str">
            <v>HOU1873</v>
          </cell>
        </row>
        <row r="7902">
          <cell r="F7902" t="str">
            <v>MG612725</v>
          </cell>
          <cell r="G7902" t="str">
            <v>HOUSING</v>
          </cell>
          <cell r="H7902" t="str">
            <v>HOU1872</v>
          </cell>
        </row>
        <row r="7903">
          <cell r="F7903" t="str">
            <v>MG615630-003</v>
          </cell>
          <cell r="G7903" t="str">
            <v>HOUSING</v>
          </cell>
          <cell r="H7903" t="str">
            <v>HOU1871</v>
          </cell>
        </row>
        <row r="7904">
          <cell r="F7904" t="str">
            <v>HM9460001</v>
          </cell>
          <cell r="G7904" t="str">
            <v>HOUSING</v>
          </cell>
          <cell r="H7904" t="str">
            <v>HOU1870</v>
          </cell>
        </row>
        <row r="7905">
          <cell r="F7905" t="str">
            <v>MG615168</v>
          </cell>
          <cell r="G7905" t="str">
            <v>HOUSING</v>
          </cell>
          <cell r="H7905" t="str">
            <v>HOU1869</v>
          </cell>
        </row>
        <row r="7906">
          <cell r="F7906" t="str">
            <v>MG610476R</v>
          </cell>
          <cell r="G7906" t="str">
            <v>HOUSING</v>
          </cell>
          <cell r="H7906" t="str">
            <v>HOU1868</v>
          </cell>
        </row>
        <row r="7907">
          <cell r="F7907" t="str">
            <v>MG613365</v>
          </cell>
          <cell r="G7907" t="str">
            <v>HOUSING</v>
          </cell>
          <cell r="H7907" t="str">
            <v>HOU1867</v>
          </cell>
        </row>
        <row r="7908">
          <cell r="F7908" t="str">
            <v>25048HS-04</v>
          </cell>
          <cell r="G7908" t="str">
            <v>HOUSING</v>
          </cell>
          <cell r="H7908" t="str">
            <v>HOU1866</v>
          </cell>
        </row>
        <row r="7909">
          <cell r="F7909" t="str">
            <v>YH396-05PLZ</v>
          </cell>
          <cell r="G7909" t="str">
            <v>HOUSING</v>
          </cell>
          <cell r="H7909" t="str">
            <v>HOU1865</v>
          </cell>
        </row>
        <row r="7910">
          <cell r="F7910" t="str">
            <v>55001HS-03Z</v>
          </cell>
          <cell r="G7910" t="str">
            <v>HOUSING</v>
          </cell>
          <cell r="H7910" t="str">
            <v>HOU1864</v>
          </cell>
        </row>
        <row r="7911">
          <cell r="F7911" t="str">
            <v>SMAW250-03</v>
          </cell>
          <cell r="G7911" t="str">
            <v>HOUING</v>
          </cell>
          <cell r="H7911" t="str">
            <v>HOU1862</v>
          </cell>
        </row>
        <row r="7912">
          <cell r="F7912" t="str">
            <v>SMH250-08LZ(BK)</v>
          </cell>
          <cell r="G7912" t="str">
            <v>HOUSING</v>
          </cell>
          <cell r="H7912" t="str">
            <v>HOU1861</v>
          </cell>
        </row>
        <row r="7913">
          <cell r="F7913" t="str">
            <v>SMH250-05LZ(BK)</v>
          </cell>
          <cell r="G7913" t="str">
            <v>HOUSING</v>
          </cell>
          <cell r="H7913" t="str">
            <v>HOU1860</v>
          </cell>
        </row>
        <row r="7914">
          <cell r="F7914" t="str">
            <v>MG615674-024</v>
          </cell>
          <cell r="G7914" t="str">
            <v>HOUSING</v>
          </cell>
          <cell r="H7914" t="str">
            <v>HOU1859</v>
          </cell>
        </row>
        <row r="7915">
          <cell r="F7915" t="str">
            <v>MG614158-2</v>
          </cell>
          <cell r="G7915" t="str">
            <v>HOUSING</v>
          </cell>
          <cell r="H7915" t="str">
            <v>HOU1858</v>
          </cell>
        </row>
        <row r="7916">
          <cell r="F7916" t="str">
            <v>SMH200-11HZ</v>
          </cell>
          <cell r="G7916" t="str">
            <v>HOUSING</v>
          </cell>
          <cell r="H7916" t="str">
            <v>HOU1857</v>
          </cell>
        </row>
        <row r="7917">
          <cell r="F7917" t="str">
            <v>55001HS-03</v>
          </cell>
          <cell r="G7917" t="str">
            <v>HOUSING</v>
          </cell>
          <cell r="H7917" t="str">
            <v>HOU1856</v>
          </cell>
        </row>
        <row r="7918">
          <cell r="F7918" t="str">
            <v>20003HS-28</v>
          </cell>
          <cell r="G7918" t="str">
            <v>HOUSING</v>
          </cell>
          <cell r="H7918" t="str">
            <v>HOU1855</v>
          </cell>
        </row>
        <row r="7919">
          <cell r="F7919" t="str">
            <v>20003HS-26</v>
          </cell>
          <cell r="G7919" t="str">
            <v>HOUSING</v>
          </cell>
          <cell r="H7919" t="str">
            <v>HOU1854</v>
          </cell>
        </row>
        <row r="7920">
          <cell r="F7920" t="str">
            <v>25045HP-07(BL)</v>
          </cell>
          <cell r="G7920" t="str">
            <v>HOUSING</v>
          </cell>
          <cell r="H7920" t="str">
            <v>HOU1853</v>
          </cell>
        </row>
        <row r="7921">
          <cell r="F7921" t="str">
            <v>25045HP-07B</v>
          </cell>
          <cell r="G7921" t="str">
            <v>HOUSING</v>
          </cell>
          <cell r="H7921" t="str">
            <v>HOU1852</v>
          </cell>
        </row>
        <row r="7922">
          <cell r="F7922" t="str">
            <v>YBNH200-10</v>
          </cell>
          <cell r="G7922" t="str">
            <v>HOUSING</v>
          </cell>
          <cell r="H7922" t="str">
            <v>HOU1851</v>
          </cell>
        </row>
        <row r="7923">
          <cell r="F7923" t="str">
            <v>MG610228-1</v>
          </cell>
          <cell r="G7923" t="str">
            <v>HOUSING</v>
          </cell>
          <cell r="H7923" t="str">
            <v>HOU1850</v>
          </cell>
        </row>
        <row r="7924">
          <cell r="F7924" t="str">
            <v>F676010</v>
          </cell>
          <cell r="G7924" t="str">
            <v>HOUSING</v>
          </cell>
          <cell r="H7924" t="str">
            <v>HOU1847</v>
          </cell>
        </row>
        <row r="7925">
          <cell r="F7925" t="str">
            <v>F368110</v>
          </cell>
          <cell r="G7925" t="str">
            <v>HOUSING</v>
          </cell>
          <cell r="H7925" t="str">
            <v>HOU1846</v>
          </cell>
        </row>
        <row r="7926">
          <cell r="F7926" t="str">
            <v>F268110</v>
          </cell>
          <cell r="G7926" t="str">
            <v>HOUSING</v>
          </cell>
          <cell r="H7926" t="str">
            <v>HOU1845</v>
          </cell>
        </row>
        <row r="7927">
          <cell r="F7927" t="str">
            <v>6180-2181</v>
          </cell>
          <cell r="G7927" t="str">
            <v>HOUSING</v>
          </cell>
          <cell r="H7927" t="str">
            <v>HOU1844</v>
          </cell>
        </row>
        <row r="7928">
          <cell r="F7928" t="str">
            <v>1-0936462-2</v>
          </cell>
          <cell r="G7928" t="str">
            <v>HOUSING</v>
          </cell>
          <cell r="H7928" t="str">
            <v>HOU1843</v>
          </cell>
        </row>
        <row r="7929">
          <cell r="F7929">
            <v>33301303</v>
          </cell>
          <cell r="G7929" t="str">
            <v>HOUSING</v>
          </cell>
          <cell r="H7929" t="str">
            <v>HOU1842</v>
          </cell>
        </row>
        <row r="7930">
          <cell r="F7930">
            <v>33301302</v>
          </cell>
          <cell r="G7930" t="str">
            <v>HOUSING</v>
          </cell>
          <cell r="H7930" t="str">
            <v>HOU1841</v>
          </cell>
        </row>
        <row r="7931">
          <cell r="F7931">
            <v>33219402</v>
          </cell>
          <cell r="G7931" t="str">
            <v>HOUSING</v>
          </cell>
          <cell r="H7931" t="str">
            <v>HOU1840</v>
          </cell>
        </row>
        <row r="7932">
          <cell r="F7932" t="str">
            <v>YBNH250-11</v>
          </cell>
          <cell r="G7932" t="str">
            <v>HOUSING</v>
          </cell>
          <cell r="H7932" t="str">
            <v>HOU1839</v>
          </cell>
        </row>
        <row r="7933">
          <cell r="F7933" t="str">
            <v>25045HP-07(BK)</v>
          </cell>
          <cell r="G7933" t="str">
            <v>HOUSING</v>
          </cell>
          <cell r="H7933" t="str">
            <v>HOU1838</v>
          </cell>
        </row>
        <row r="7934">
          <cell r="F7934" t="str">
            <v>25045HP-03B(RE)</v>
          </cell>
          <cell r="G7934" t="str">
            <v>HOUSING</v>
          </cell>
          <cell r="H7934" t="str">
            <v>HOU1837</v>
          </cell>
        </row>
        <row r="7935">
          <cell r="F7935" t="str">
            <v>20003HS-24</v>
          </cell>
          <cell r="G7935" t="str">
            <v>HOUSING</v>
          </cell>
          <cell r="H7935" t="str">
            <v>HOU1836</v>
          </cell>
        </row>
        <row r="7936">
          <cell r="F7936" t="str">
            <v>12507HS-H05G1(BLK)</v>
          </cell>
          <cell r="G7936" t="str">
            <v>HOUSING</v>
          </cell>
          <cell r="H7936" t="str">
            <v>HOU1835</v>
          </cell>
        </row>
        <row r="7937">
          <cell r="F7937" t="str">
            <v>3-2005820-9</v>
          </cell>
          <cell r="G7937" t="str">
            <v>HOUSING</v>
          </cell>
          <cell r="H7937" t="str">
            <v>HOU1834</v>
          </cell>
        </row>
        <row r="7938">
          <cell r="F7938" t="str">
            <v>SMH200-08H(BK)</v>
          </cell>
          <cell r="G7938" t="str">
            <v>HOUSING</v>
          </cell>
          <cell r="H7938" t="str">
            <v>HOU1833</v>
          </cell>
        </row>
        <row r="7939">
          <cell r="F7939" t="str">
            <v>YLR-06VF(D)</v>
          </cell>
          <cell r="G7939" t="str">
            <v>HOUSING</v>
          </cell>
          <cell r="H7939" t="str">
            <v>HOU1832</v>
          </cell>
        </row>
        <row r="7940">
          <cell r="F7940" t="str">
            <v>MG685513</v>
          </cell>
          <cell r="G7940" t="str">
            <v>HOUSING</v>
          </cell>
          <cell r="H7940" t="str">
            <v>HOU1831</v>
          </cell>
        </row>
        <row r="7941">
          <cell r="F7941" t="str">
            <v>25048HS-13</v>
          </cell>
          <cell r="G7941" t="str">
            <v>HOUSING</v>
          </cell>
          <cell r="H7941" t="str">
            <v>HOU1830</v>
          </cell>
        </row>
        <row r="7942">
          <cell r="F7942" t="str">
            <v>25048HS-12</v>
          </cell>
          <cell r="G7942" t="str">
            <v>HOUSING</v>
          </cell>
          <cell r="H7942" t="str">
            <v>HOU1829</v>
          </cell>
        </row>
        <row r="7943">
          <cell r="F7943" t="str">
            <v>25048HS-11</v>
          </cell>
          <cell r="G7943" t="str">
            <v>HOUSING</v>
          </cell>
          <cell r="H7943" t="str">
            <v>HOU1828</v>
          </cell>
        </row>
        <row r="7944">
          <cell r="F7944" t="str">
            <v>25048HS-10</v>
          </cell>
          <cell r="G7944" t="str">
            <v>HOUSING</v>
          </cell>
          <cell r="H7944" t="str">
            <v>HOU1827</v>
          </cell>
        </row>
        <row r="7945">
          <cell r="F7945" t="str">
            <v>25048HS-09</v>
          </cell>
          <cell r="G7945" t="str">
            <v>HOUSING</v>
          </cell>
          <cell r="H7945" t="str">
            <v>HOU1826</v>
          </cell>
        </row>
        <row r="7946">
          <cell r="F7946" t="str">
            <v>25048HS-08</v>
          </cell>
          <cell r="G7946" t="str">
            <v>HOUSING</v>
          </cell>
          <cell r="H7946" t="str">
            <v>HOU1825</v>
          </cell>
        </row>
        <row r="7947">
          <cell r="F7947" t="str">
            <v>25048HS-07(BL)</v>
          </cell>
          <cell r="G7947" t="str">
            <v>HOUSING</v>
          </cell>
          <cell r="H7947" t="str">
            <v>HOU1824</v>
          </cell>
        </row>
        <row r="7948">
          <cell r="F7948" t="str">
            <v>25048HS-05</v>
          </cell>
          <cell r="G7948" t="str">
            <v>HOUSING</v>
          </cell>
          <cell r="H7948" t="str">
            <v>HOU1823</v>
          </cell>
        </row>
        <row r="7949">
          <cell r="F7949" t="str">
            <v>25048HS-03</v>
          </cell>
          <cell r="G7949" t="str">
            <v>HOUSING</v>
          </cell>
          <cell r="H7949" t="str">
            <v>HOU1822</v>
          </cell>
        </row>
        <row r="7950">
          <cell r="F7950" t="str">
            <v>XARP-04V-E</v>
          </cell>
          <cell r="G7950" t="str">
            <v>HOUSING</v>
          </cell>
          <cell r="H7950" t="str">
            <v>HOU1819</v>
          </cell>
        </row>
        <row r="7951">
          <cell r="F7951" t="str">
            <v>MG610599R-2</v>
          </cell>
          <cell r="G7951" t="str">
            <v>HOUSING</v>
          </cell>
          <cell r="H7951" t="str">
            <v>HOU1818</v>
          </cell>
        </row>
        <row r="7952">
          <cell r="F7952" t="str">
            <v>316086-1</v>
          </cell>
          <cell r="G7952" t="str">
            <v>HOUSING</v>
          </cell>
          <cell r="H7952" t="str">
            <v>HOU1817</v>
          </cell>
        </row>
        <row r="7953">
          <cell r="F7953" t="str">
            <v>MG615632-507</v>
          </cell>
          <cell r="G7953" t="str">
            <v>HOUSING</v>
          </cell>
          <cell r="H7953" t="str">
            <v>HOU1816</v>
          </cell>
        </row>
        <row r="7954">
          <cell r="F7954" t="str">
            <v>SMH200-H15H3</v>
          </cell>
          <cell r="G7954" t="str">
            <v>HOUSING</v>
          </cell>
          <cell r="H7954" t="str">
            <v>HOU1814</v>
          </cell>
        </row>
        <row r="7955">
          <cell r="F7955" t="str">
            <v>51163-0300</v>
          </cell>
          <cell r="G7955" t="str">
            <v>HOUSING</v>
          </cell>
          <cell r="H7955" t="str">
            <v>HOU1813</v>
          </cell>
        </row>
        <row r="7956">
          <cell r="F7956" t="str">
            <v>51163-0400</v>
          </cell>
          <cell r="G7956" t="str">
            <v>HOUSING</v>
          </cell>
          <cell r="H7956" t="str">
            <v>HOU1812</v>
          </cell>
        </row>
        <row r="7957">
          <cell r="F7957" t="str">
            <v>917687-4</v>
          </cell>
          <cell r="G7957" t="str">
            <v>HOUSING</v>
          </cell>
          <cell r="H7957" t="str">
            <v>HOU1811</v>
          </cell>
        </row>
        <row r="7958">
          <cell r="F7958" t="str">
            <v>MG615674-026</v>
          </cell>
          <cell r="G7958" t="str">
            <v>HOUSING</v>
          </cell>
          <cell r="H7958" t="str">
            <v>HOU1810</v>
          </cell>
        </row>
        <row r="7959">
          <cell r="F7959" t="str">
            <v>MG615674-028</v>
          </cell>
          <cell r="G7959" t="str">
            <v>HOUSING</v>
          </cell>
          <cell r="H7959" t="str">
            <v>HOU1809</v>
          </cell>
        </row>
        <row r="7960">
          <cell r="F7960" t="str">
            <v>MG610599-2</v>
          </cell>
          <cell r="G7960" t="str">
            <v>HOUSING</v>
          </cell>
          <cell r="H7960" t="str">
            <v>HOU1808</v>
          </cell>
        </row>
        <row r="7961">
          <cell r="F7961" t="str">
            <v>MG615653-201</v>
          </cell>
          <cell r="G7961" t="str">
            <v>HOUSING</v>
          </cell>
          <cell r="H7961" t="str">
            <v>HOU1807</v>
          </cell>
        </row>
        <row r="7962">
          <cell r="F7962" t="str">
            <v>MG615632-506</v>
          </cell>
          <cell r="G7962" t="str">
            <v>HOUSING</v>
          </cell>
          <cell r="H7962" t="str">
            <v>HOU1806</v>
          </cell>
        </row>
        <row r="7963">
          <cell r="F7963" t="str">
            <v>SHP40-03HG</v>
          </cell>
          <cell r="G7963" t="str">
            <v>HOUSING</v>
          </cell>
          <cell r="H7963" t="str">
            <v>HOU1805</v>
          </cell>
        </row>
        <row r="7964">
          <cell r="F7964" t="str">
            <v>12507HS-H09G1(BLK)</v>
          </cell>
          <cell r="G7964" t="str">
            <v>HOUSING</v>
          </cell>
          <cell r="H7964" t="str">
            <v>HOU1801</v>
          </cell>
        </row>
        <row r="7965">
          <cell r="F7965" t="str">
            <v>5-177898-1</v>
          </cell>
          <cell r="G7965" t="str">
            <v>HOUSING</v>
          </cell>
          <cell r="H7965" t="str">
            <v>HOU1800</v>
          </cell>
        </row>
        <row r="7966">
          <cell r="F7966" t="str">
            <v>MG615664-003</v>
          </cell>
          <cell r="G7966" t="str">
            <v>HOUSING</v>
          </cell>
          <cell r="H7966" t="str">
            <v>HOU1799</v>
          </cell>
        </row>
        <row r="7967">
          <cell r="F7967" t="str">
            <v>MG615632-508</v>
          </cell>
          <cell r="G7967" t="str">
            <v>HOUSING</v>
          </cell>
          <cell r="H7967" t="str">
            <v>HOU1798</v>
          </cell>
        </row>
        <row r="7968">
          <cell r="F7968" t="str">
            <v>MG615632-505</v>
          </cell>
          <cell r="G7968" t="str">
            <v>HOUSING</v>
          </cell>
          <cell r="H7968" t="str">
            <v>HOU1797</v>
          </cell>
        </row>
        <row r="7969">
          <cell r="F7969" t="str">
            <v>MG615648-003</v>
          </cell>
          <cell r="G7969" t="str">
            <v>HOUSING</v>
          </cell>
          <cell r="H7969" t="str">
            <v>HOU1796</v>
          </cell>
        </row>
        <row r="7970">
          <cell r="F7970" t="str">
            <v>MG615653-002</v>
          </cell>
          <cell r="G7970" t="str">
            <v>HOUSING</v>
          </cell>
          <cell r="H7970" t="str">
            <v>HOU1795</v>
          </cell>
        </row>
        <row r="7971">
          <cell r="F7971" t="str">
            <v>MG615653-001</v>
          </cell>
          <cell r="G7971" t="str">
            <v>HOUSING</v>
          </cell>
          <cell r="H7971" t="str">
            <v>HOU1794</v>
          </cell>
        </row>
        <row r="7972">
          <cell r="F7972" t="str">
            <v>MG615632-013</v>
          </cell>
          <cell r="G7972" t="str">
            <v>HOUSING</v>
          </cell>
          <cell r="H7972" t="str">
            <v>HOU1791</v>
          </cell>
        </row>
        <row r="7973">
          <cell r="F7973" t="str">
            <v>MG615632-012</v>
          </cell>
          <cell r="G7973" t="str">
            <v>HOUSING</v>
          </cell>
          <cell r="H7973" t="str">
            <v>HOU1790</v>
          </cell>
        </row>
        <row r="7974">
          <cell r="F7974" t="str">
            <v>MG615632-010</v>
          </cell>
          <cell r="G7974" t="str">
            <v>HOUSING</v>
          </cell>
          <cell r="H7974" t="str">
            <v>HOU1788</v>
          </cell>
        </row>
        <row r="7975">
          <cell r="F7975" t="str">
            <v>MG615632-009</v>
          </cell>
          <cell r="G7975" t="str">
            <v>HOUSING</v>
          </cell>
          <cell r="H7975" t="str">
            <v>HOU1787</v>
          </cell>
        </row>
        <row r="7976">
          <cell r="F7976" t="str">
            <v>MG615632-008</v>
          </cell>
          <cell r="G7976" t="str">
            <v>HOUSING</v>
          </cell>
          <cell r="H7976" t="str">
            <v>HOU1786</v>
          </cell>
        </row>
        <row r="7977">
          <cell r="F7977" t="str">
            <v>MG615632-007</v>
          </cell>
          <cell r="G7977" t="str">
            <v>HOUSING</v>
          </cell>
          <cell r="H7977" t="str">
            <v>HOU1785</v>
          </cell>
        </row>
        <row r="7978">
          <cell r="F7978" t="str">
            <v>MG615632-006</v>
          </cell>
          <cell r="G7978" t="str">
            <v>HOUSING</v>
          </cell>
          <cell r="H7978" t="str">
            <v>HOU1784</v>
          </cell>
        </row>
        <row r="7979">
          <cell r="F7979" t="str">
            <v>MG615632-005</v>
          </cell>
          <cell r="G7979" t="str">
            <v>HOUSING</v>
          </cell>
          <cell r="H7979" t="str">
            <v>HOU1783</v>
          </cell>
        </row>
        <row r="7980">
          <cell r="F7980" t="str">
            <v>MG615632-004</v>
          </cell>
          <cell r="G7980" t="str">
            <v>HOUSING</v>
          </cell>
          <cell r="H7980" t="str">
            <v>HOU1782</v>
          </cell>
        </row>
        <row r="7981">
          <cell r="F7981" t="str">
            <v>MG615632-003</v>
          </cell>
          <cell r="G7981" t="str">
            <v>HOUSING</v>
          </cell>
          <cell r="H7981" t="str">
            <v>HOU1781</v>
          </cell>
        </row>
        <row r="7982">
          <cell r="F7982" t="str">
            <v>MG615632-002</v>
          </cell>
          <cell r="G7982" t="str">
            <v>HOUSING</v>
          </cell>
          <cell r="H7982" t="str">
            <v>HOU1780</v>
          </cell>
        </row>
        <row r="7983">
          <cell r="F7983" t="str">
            <v>SMH420-02(YEL)</v>
          </cell>
          <cell r="G7983" t="str">
            <v>HOUSING</v>
          </cell>
          <cell r="H7983" t="str">
            <v>HOU1779</v>
          </cell>
        </row>
        <row r="7984">
          <cell r="F7984" t="str">
            <v>SMH420-02(BLK)</v>
          </cell>
          <cell r="G7984" t="str">
            <v>HOUSING</v>
          </cell>
          <cell r="H7984" t="str">
            <v>HOU1778</v>
          </cell>
        </row>
        <row r="7985">
          <cell r="F7985" t="str">
            <v>SMH250-03(GRN)</v>
          </cell>
          <cell r="G7985" t="str">
            <v>HOUSING</v>
          </cell>
          <cell r="H7985" t="str">
            <v>HOU1777</v>
          </cell>
        </row>
        <row r="7986">
          <cell r="F7986" t="str">
            <v>SMH250-03(BLK)</v>
          </cell>
          <cell r="G7986" t="str">
            <v>HOUSING</v>
          </cell>
          <cell r="H7986" t="str">
            <v>HOU1776</v>
          </cell>
        </row>
        <row r="7987">
          <cell r="F7987" t="str">
            <v>SMH200-04(BLU)</v>
          </cell>
          <cell r="G7987" t="str">
            <v>HOUSING</v>
          </cell>
          <cell r="H7987" t="str">
            <v>HOU1775</v>
          </cell>
        </row>
        <row r="7988">
          <cell r="F7988" t="str">
            <v>SMH250-02(GRY)</v>
          </cell>
          <cell r="G7988" t="str">
            <v>HOUSING</v>
          </cell>
          <cell r="H7988" t="str">
            <v>HOU1774</v>
          </cell>
        </row>
        <row r="7989">
          <cell r="F7989" t="str">
            <v>SMH250-02(GRN)</v>
          </cell>
          <cell r="G7989" t="str">
            <v>HOUSING</v>
          </cell>
          <cell r="H7989" t="str">
            <v>HOU1773</v>
          </cell>
        </row>
        <row r="7990">
          <cell r="F7990" t="str">
            <v>MG625306T</v>
          </cell>
          <cell r="G7990" t="str">
            <v>HOUSING</v>
          </cell>
          <cell r="H7990" t="str">
            <v>HOU1772</v>
          </cell>
        </row>
        <row r="7991">
          <cell r="F7991" t="str">
            <v>MG615650-003</v>
          </cell>
          <cell r="G7991" t="str">
            <v>HOUSING</v>
          </cell>
          <cell r="H7991" t="str">
            <v>HOU1771</v>
          </cell>
        </row>
        <row r="7992">
          <cell r="F7992" t="str">
            <v>25045HP-05A(BL)</v>
          </cell>
          <cell r="G7992" t="str">
            <v>HOUSING</v>
          </cell>
          <cell r="H7992" t="str">
            <v>HOU1770</v>
          </cell>
        </row>
        <row r="7993">
          <cell r="F7993" t="str">
            <v>YH396-H05PL</v>
          </cell>
          <cell r="G7993" t="str">
            <v>HOUSING</v>
          </cell>
          <cell r="H7993" t="str">
            <v>HOU1769</v>
          </cell>
        </row>
        <row r="7994">
          <cell r="F7994" t="str">
            <v>MG615649-002</v>
          </cell>
          <cell r="G7994" t="str">
            <v>HOUSING</v>
          </cell>
          <cell r="H7994" t="str">
            <v>HOU1768</v>
          </cell>
        </row>
        <row r="7995">
          <cell r="F7995" t="str">
            <v>YDH236-01(BL)</v>
          </cell>
          <cell r="G7995" t="str">
            <v>HOUSING</v>
          </cell>
          <cell r="H7995" t="str">
            <v>HOU1767</v>
          </cell>
        </row>
        <row r="7996">
          <cell r="F7996" t="str">
            <v>MG621533-301</v>
          </cell>
          <cell r="G7996" t="str">
            <v>HOUSING</v>
          </cell>
          <cell r="H7996" t="str">
            <v>HOU1766</v>
          </cell>
        </row>
        <row r="7997">
          <cell r="F7997" t="str">
            <v>WB20M-028-411</v>
          </cell>
          <cell r="G7997" t="str">
            <v>HOUSING</v>
          </cell>
          <cell r="H7997" t="str">
            <v>HOU1765</v>
          </cell>
        </row>
        <row r="7998">
          <cell r="F7998" t="str">
            <v>WB20M-026-411</v>
          </cell>
          <cell r="G7998" t="str">
            <v>HOUSING</v>
          </cell>
          <cell r="H7998" t="str">
            <v>HOU1764</v>
          </cell>
        </row>
        <row r="7999">
          <cell r="F7999" t="str">
            <v>WB20M-024-411</v>
          </cell>
          <cell r="G7999" t="str">
            <v>HOUSING</v>
          </cell>
          <cell r="H7999" t="str">
            <v>HOU1763</v>
          </cell>
        </row>
        <row r="8000">
          <cell r="F8000" t="str">
            <v>MG635030S</v>
          </cell>
          <cell r="G8000" t="str">
            <v>HOUSING</v>
          </cell>
          <cell r="H8000" t="str">
            <v>HOU1762</v>
          </cell>
        </row>
        <row r="8001">
          <cell r="F8001" t="str">
            <v>PWBP 08V-WGL1</v>
          </cell>
          <cell r="G8001" t="str">
            <v>HOUSING</v>
          </cell>
          <cell r="H8001" t="str">
            <v>HOU1761</v>
          </cell>
        </row>
        <row r="8002">
          <cell r="F8002" t="str">
            <v>20037WR-04(P)</v>
          </cell>
          <cell r="G8002" t="str">
            <v>HOUSING</v>
          </cell>
          <cell r="H8002" t="str">
            <v>HOU1760</v>
          </cell>
        </row>
        <row r="8003">
          <cell r="F8003" t="str">
            <v>SMH200-04HZ</v>
          </cell>
          <cell r="G8003" t="str">
            <v>HOUSING</v>
          </cell>
          <cell r="H8003" t="str">
            <v>HOU1759</v>
          </cell>
        </row>
        <row r="8004">
          <cell r="F8004" t="str">
            <v>SMH200-H14S4B</v>
          </cell>
          <cell r="G8004" t="str">
            <v>HOUSING</v>
          </cell>
          <cell r="H8004" t="str">
            <v>HOU1758</v>
          </cell>
        </row>
        <row r="8005">
          <cell r="F8005" t="str">
            <v>5-179938-1</v>
          </cell>
          <cell r="G8005" t="str">
            <v>HOUSING</v>
          </cell>
          <cell r="H8005" t="str">
            <v>HOU1757</v>
          </cell>
        </row>
        <row r="8006">
          <cell r="F8006" t="str">
            <v>12507HS-H16G1(BLK)</v>
          </cell>
          <cell r="G8006" t="str">
            <v>HOUSING</v>
          </cell>
          <cell r="H8006" t="str">
            <v>HOU1756</v>
          </cell>
        </row>
        <row r="8007">
          <cell r="F8007" t="str">
            <v>SC41198-021A</v>
          </cell>
          <cell r="G8007" t="str">
            <v>HOUSING</v>
          </cell>
          <cell r="H8007" t="str">
            <v>HOU1755</v>
          </cell>
        </row>
        <row r="8008">
          <cell r="F8008" t="str">
            <v>SC41200-061A</v>
          </cell>
          <cell r="G8008" t="str">
            <v>HOUSING</v>
          </cell>
          <cell r="H8008" t="str">
            <v>HOU1754</v>
          </cell>
        </row>
        <row r="8009">
          <cell r="F8009" t="str">
            <v>YLR-20VF-WGL1-Y</v>
          </cell>
          <cell r="G8009" t="str">
            <v>HOUSING</v>
          </cell>
          <cell r="H8009" t="str">
            <v>HOU1753</v>
          </cell>
        </row>
        <row r="8010">
          <cell r="F8010" t="str">
            <v>YMH025-07R</v>
          </cell>
          <cell r="G8010" t="str">
            <v>HOUSING</v>
          </cell>
          <cell r="H8010" t="str">
            <v>HOU1752</v>
          </cell>
        </row>
        <row r="8011">
          <cell r="F8011" t="str">
            <v>WB20L-26-411</v>
          </cell>
          <cell r="G8011" t="str">
            <v>HOUSING</v>
          </cell>
          <cell r="H8011" t="str">
            <v>HOU1750</v>
          </cell>
        </row>
        <row r="8012">
          <cell r="F8012" t="str">
            <v>205208-0609</v>
          </cell>
          <cell r="G8012" t="str">
            <v>HOUSING</v>
          </cell>
          <cell r="H8012" t="str">
            <v>HOU1749</v>
          </cell>
        </row>
        <row r="8013">
          <cell r="F8013" t="str">
            <v>205208-0809</v>
          </cell>
          <cell r="G8013" t="str">
            <v>HOUSING</v>
          </cell>
          <cell r="H8013" t="str">
            <v>HOU1748</v>
          </cell>
        </row>
        <row r="8014">
          <cell r="F8014" t="str">
            <v>MG615640-402</v>
          </cell>
          <cell r="G8014" t="str">
            <v>HOUSING</v>
          </cell>
          <cell r="H8014" t="str">
            <v>HOU1747</v>
          </cell>
        </row>
        <row r="8015">
          <cell r="F8015" t="str">
            <v>205208-1009</v>
          </cell>
          <cell r="G8015" t="str">
            <v>HOUSING</v>
          </cell>
          <cell r="H8015" t="str">
            <v>HOU1746</v>
          </cell>
        </row>
        <row r="8016">
          <cell r="F8016" t="str">
            <v>MG611468-1</v>
          </cell>
          <cell r="G8016" t="str">
            <v>HOUSING</v>
          </cell>
          <cell r="H8016" t="str">
            <v>HOU1745</v>
          </cell>
        </row>
        <row r="8017">
          <cell r="F8017" t="str">
            <v>WB20L-28-411</v>
          </cell>
          <cell r="G8017" t="str">
            <v>HOUSING</v>
          </cell>
          <cell r="H8017" t="str">
            <v>HOU1744</v>
          </cell>
        </row>
        <row r="8018">
          <cell r="F8018" t="str">
            <v>WB20L-24-411</v>
          </cell>
          <cell r="G8018" t="str">
            <v>HOUSING</v>
          </cell>
          <cell r="H8018" t="str">
            <v>HOU1743</v>
          </cell>
        </row>
        <row r="8019">
          <cell r="F8019" t="str">
            <v>HIF3C-20D-2.54C(011)</v>
          </cell>
          <cell r="G8019" t="str">
            <v>HOUSING</v>
          </cell>
          <cell r="H8019" t="str">
            <v>HOU1742</v>
          </cell>
        </row>
        <row r="8020">
          <cell r="F8020" t="str">
            <v>SLP-02V</v>
          </cell>
          <cell r="G8020" t="str">
            <v>HOUSING</v>
          </cell>
          <cell r="H8020" t="str">
            <v>HOU1741</v>
          </cell>
        </row>
        <row r="8021">
          <cell r="F8021" t="str">
            <v>3901-4051</v>
          </cell>
          <cell r="G8021" t="str">
            <v>HOUSING</v>
          </cell>
          <cell r="H8021" t="str">
            <v>HOU1730</v>
          </cell>
        </row>
        <row r="8022">
          <cell r="F8022" t="str">
            <v>YH396-02V(YE)</v>
          </cell>
          <cell r="G8022" t="str">
            <v>HOUSING</v>
          </cell>
          <cell r="H8022" t="str">
            <v>HOU1729</v>
          </cell>
        </row>
        <row r="8023">
          <cell r="F8023" t="str">
            <v>171370-5</v>
          </cell>
          <cell r="G8023" t="str">
            <v>HOUSING</v>
          </cell>
          <cell r="H8023" t="str">
            <v>HOU1728</v>
          </cell>
        </row>
        <row r="8024">
          <cell r="F8024" t="str">
            <v>EHR-5(G)</v>
          </cell>
          <cell r="G8024" t="str">
            <v>HOUSING</v>
          </cell>
          <cell r="H8024" t="str">
            <v>HOU1727</v>
          </cell>
        </row>
        <row r="8025">
          <cell r="F8025" t="str">
            <v>MG611163G</v>
          </cell>
          <cell r="G8025" t="str">
            <v>HOUSING</v>
          </cell>
          <cell r="H8025" t="str">
            <v>HOU1726</v>
          </cell>
        </row>
        <row r="8026">
          <cell r="F8026" t="str">
            <v>HIF3BA-14D-2.54C</v>
          </cell>
          <cell r="G8026" t="str">
            <v>HOUSING</v>
          </cell>
          <cell r="H8026" t="str">
            <v>HOU1725</v>
          </cell>
        </row>
        <row r="8027">
          <cell r="F8027" t="str">
            <v>MG620427T-003</v>
          </cell>
          <cell r="G8027" t="str">
            <v>HOUSING</v>
          </cell>
          <cell r="H8027" t="str">
            <v>HOU1722</v>
          </cell>
        </row>
        <row r="8028">
          <cell r="F8028" t="str">
            <v>MG610222T</v>
          </cell>
          <cell r="G8028" t="str">
            <v>HOUSING</v>
          </cell>
          <cell r="H8028" t="str">
            <v>HOU1721</v>
          </cell>
        </row>
        <row r="8029">
          <cell r="F8029" t="str">
            <v>MG634833ST-101</v>
          </cell>
          <cell r="G8029" t="str">
            <v>HOUSING</v>
          </cell>
          <cell r="H8029" t="str">
            <v>HOU1720</v>
          </cell>
        </row>
        <row r="8030">
          <cell r="F8030" t="str">
            <v>MG634151T-001</v>
          </cell>
          <cell r="G8030" t="str">
            <v>HOUSING</v>
          </cell>
          <cell r="H8030" t="str">
            <v>HOU1718</v>
          </cell>
        </row>
        <row r="8031">
          <cell r="F8031" t="str">
            <v>MG613683FT-010</v>
          </cell>
          <cell r="G8031" t="str">
            <v>HOUSING</v>
          </cell>
          <cell r="H8031" t="str">
            <v>HOU1717</v>
          </cell>
        </row>
        <row r="8032">
          <cell r="F8032" t="str">
            <v>MG612947T-004</v>
          </cell>
          <cell r="G8032" t="str">
            <v>HOUSING</v>
          </cell>
          <cell r="H8032" t="str">
            <v>HOU1716</v>
          </cell>
        </row>
        <row r="8033">
          <cell r="F8033" t="str">
            <v>5-179464-1</v>
          </cell>
          <cell r="G8033" t="str">
            <v>HOUSING</v>
          </cell>
          <cell r="H8033" t="str">
            <v>HOU1715</v>
          </cell>
        </row>
        <row r="8034">
          <cell r="F8034" t="str">
            <v>MG620426S-2</v>
          </cell>
          <cell r="G8034" t="str">
            <v>HOUSING</v>
          </cell>
          <cell r="H8034" t="str">
            <v>HOU1714</v>
          </cell>
        </row>
        <row r="8035">
          <cell r="F8035" t="str">
            <v>YDH236-02(GR)</v>
          </cell>
          <cell r="G8035" t="str">
            <v>HOUSING</v>
          </cell>
          <cell r="H8035" t="str">
            <v>HOU1713</v>
          </cell>
        </row>
        <row r="8036">
          <cell r="F8036" t="str">
            <v>SMH250-13LZ(RE)</v>
          </cell>
          <cell r="G8036" t="str">
            <v>HOUSING</v>
          </cell>
          <cell r="H8036" t="str">
            <v>HOU1712</v>
          </cell>
        </row>
        <row r="8037">
          <cell r="F8037" t="str">
            <v>SMH250-10LZ(RE)</v>
          </cell>
          <cell r="G8037" t="str">
            <v>HOUSING</v>
          </cell>
          <cell r="H8037" t="str">
            <v>HOU1711</v>
          </cell>
        </row>
        <row r="8038">
          <cell r="F8038" t="str">
            <v>SMH250-05LZ(YEL)</v>
          </cell>
          <cell r="G8038" t="str">
            <v>HOUSING</v>
          </cell>
          <cell r="H8038" t="str">
            <v>HOU1710</v>
          </cell>
        </row>
        <row r="8039">
          <cell r="F8039" t="str">
            <v>SMH250-05LZ(RE)</v>
          </cell>
          <cell r="G8039" t="str">
            <v>HOUSING</v>
          </cell>
          <cell r="H8039" t="str">
            <v>HOU1709</v>
          </cell>
        </row>
        <row r="8040">
          <cell r="F8040" t="str">
            <v>25045HP-08AZ</v>
          </cell>
          <cell r="G8040" t="str">
            <v>HOUSING</v>
          </cell>
          <cell r="H8040" t="str">
            <v>HOU1707</v>
          </cell>
        </row>
        <row r="8041">
          <cell r="F8041" t="str">
            <v>25045HP-03AZ(BL)</v>
          </cell>
          <cell r="G8041" t="str">
            <v>HOUSING</v>
          </cell>
          <cell r="H8041" t="str">
            <v>HOU1706</v>
          </cell>
        </row>
        <row r="8042">
          <cell r="F8042" t="str">
            <v>SMH200-10PRZ</v>
          </cell>
          <cell r="G8042" t="str">
            <v>HOUSING</v>
          </cell>
          <cell r="H8042" t="str">
            <v>HOU1705</v>
          </cell>
        </row>
        <row r="8043">
          <cell r="F8043" t="str">
            <v>25045HP-06AZ</v>
          </cell>
          <cell r="G8043" t="str">
            <v>HOUSING</v>
          </cell>
          <cell r="H8043" t="str">
            <v>HOU1704</v>
          </cell>
        </row>
        <row r="8044">
          <cell r="F8044" t="str">
            <v>SMH200-06HZ</v>
          </cell>
          <cell r="G8044" t="str">
            <v>HOUSING</v>
          </cell>
          <cell r="H8044" t="str">
            <v>HOU1703</v>
          </cell>
        </row>
        <row r="8045">
          <cell r="F8045" t="str">
            <v>SMH200-10HZ</v>
          </cell>
          <cell r="G8045" t="str">
            <v>HOUSING</v>
          </cell>
          <cell r="H8045" t="str">
            <v>HOU1702</v>
          </cell>
        </row>
        <row r="8046">
          <cell r="F8046" t="str">
            <v>SMH200-07HZ</v>
          </cell>
          <cell r="G8046" t="str">
            <v>HOUSING</v>
          </cell>
          <cell r="H8046" t="str">
            <v>HOU1701</v>
          </cell>
        </row>
        <row r="8047">
          <cell r="F8047" t="str">
            <v>SMH200-02PLZ</v>
          </cell>
          <cell r="G8047" t="str">
            <v>HOUSING</v>
          </cell>
          <cell r="H8047" t="str">
            <v>HOU1700</v>
          </cell>
        </row>
        <row r="8048">
          <cell r="F8048" t="str">
            <v>SMH250-07LZ(BLU)</v>
          </cell>
          <cell r="G8048" t="str">
            <v>HOUSING</v>
          </cell>
          <cell r="H8048" t="str">
            <v>HOU1699</v>
          </cell>
        </row>
        <row r="8049">
          <cell r="F8049" t="str">
            <v>25045HP-13AZ</v>
          </cell>
          <cell r="G8049" t="str">
            <v>HOUSING</v>
          </cell>
          <cell r="H8049" t="str">
            <v>HOU1698</v>
          </cell>
        </row>
        <row r="8050">
          <cell r="F8050" t="str">
            <v>25045HP-14AZ</v>
          </cell>
          <cell r="G8050" t="str">
            <v>HOUSING</v>
          </cell>
          <cell r="H8050" t="str">
            <v>HOU1697</v>
          </cell>
        </row>
        <row r="8051">
          <cell r="F8051" t="str">
            <v>25045HP-09AZ</v>
          </cell>
          <cell r="G8051" t="str">
            <v>HOUSING</v>
          </cell>
          <cell r="H8051" t="str">
            <v>HOU1696</v>
          </cell>
        </row>
        <row r="8052">
          <cell r="F8052" t="str">
            <v>25045HP-12AZ(BL)</v>
          </cell>
          <cell r="G8052" t="str">
            <v>HOUSING</v>
          </cell>
          <cell r="H8052" t="str">
            <v>HOU1695</v>
          </cell>
        </row>
        <row r="8053">
          <cell r="F8053" t="str">
            <v>SMH250-03LZ(BL)</v>
          </cell>
          <cell r="G8053" t="str">
            <v>HOUSING</v>
          </cell>
          <cell r="H8053" t="str">
            <v>HOU1694</v>
          </cell>
        </row>
        <row r="8054">
          <cell r="F8054" t="str">
            <v>25045HP-07AZ</v>
          </cell>
          <cell r="G8054" t="str">
            <v>HOUSING</v>
          </cell>
          <cell r="H8054" t="str">
            <v>HOU1693</v>
          </cell>
        </row>
        <row r="8055">
          <cell r="F8055" t="str">
            <v>25045HP-10AZ</v>
          </cell>
          <cell r="G8055" t="str">
            <v>HOUSING</v>
          </cell>
          <cell r="H8055" t="str">
            <v>HOU1692</v>
          </cell>
        </row>
        <row r="8056">
          <cell r="F8056" t="str">
            <v>SMH250-04LZ(RE)</v>
          </cell>
          <cell r="G8056" t="str">
            <v>HOUSING</v>
          </cell>
          <cell r="H8056" t="str">
            <v>HOU1691</v>
          </cell>
        </row>
        <row r="8057">
          <cell r="F8057" t="str">
            <v>35965-9200</v>
          </cell>
          <cell r="G8057" t="str">
            <v>HOUSING</v>
          </cell>
          <cell r="H8057" t="str">
            <v>HOU1690</v>
          </cell>
        </row>
        <row r="8058">
          <cell r="F8058" t="str">
            <v>MG634873K-5</v>
          </cell>
          <cell r="G8058" t="str">
            <v>HOUSING</v>
          </cell>
          <cell r="H8058" t="str">
            <v>HOU1689</v>
          </cell>
        </row>
        <row r="8059">
          <cell r="F8059" t="str">
            <v>MG615603T-002</v>
          </cell>
          <cell r="G8059" t="str">
            <v>HOUSING</v>
          </cell>
          <cell r="H8059" t="str">
            <v>HOU1688</v>
          </cell>
        </row>
        <row r="8060">
          <cell r="F8060" t="str">
            <v>MG634707T-003</v>
          </cell>
          <cell r="G8060" t="str">
            <v>HOUSING</v>
          </cell>
          <cell r="H8060" t="str">
            <v>HOU1686</v>
          </cell>
        </row>
        <row r="8061">
          <cell r="F8061" t="str">
            <v>MG633976K-5</v>
          </cell>
          <cell r="G8061" t="str">
            <v>HOUSING</v>
          </cell>
          <cell r="H8061" t="str">
            <v>HOU1685</v>
          </cell>
        </row>
        <row r="8062">
          <cell r="F8062" t="str">
            <v>MG633976K</v>
          </cell>
          <cell r="G8062" t="str">
            <v>HOUSING</v>
          </cell>
          <cell r="H8062" t="str">
            <v>HOU1684</v>
          </cell>
        </row>
        <row r="8063">
          <cell r="F8063" t="str">
            <v>MG615482T-004</v>
          </cell>
          <cell r="G8063" t="str">
            <v>HOUSING</v>
          </cell>
          <cell r="H8063" t="str">
            <v>HOU1683</v>
          </cell>
        </row>
        <row r="8064">
          <cell r="F8064" t="str">
            <v>MG613212T-003</v>
          </cell>
          <cell r="G8064" t="str">
            <v>HOUSING</v>
          </cell>
          <cell r="H8064" t="str">
            <v>HOU1682</v>
          </cell>
        </row>
        <row r="8065">
          <cell r="F8065" t="str">
            <v>MG613042T-505</v>
          </cell>
          <cell r="G8065" t="str">
            <v>HOUSING</v>
          </cell>
          <cell r="H8065" t="str">
            <v>HOU1681</v>
          </cell>
        </row>
        <row r="8066">
          <cell r="F8066" t="str">
            <v>MG613041T-503</v>
          </cell>
          <cell r="G8066" t="str">
            <v>HOUSING</v>
          </cell>
          <cell r="H8066" t="str">
            <v>HOU1680</v>
          </cell>
        </row>
        <row r="8067">
          <cell r="F8067" t="str">
            <v>MG613040T-003</v>
          </cell>
          <cell r="G8067" t="str">
            <v>HOUSING</v>
          </cell>
          <cell r="H8067" t="str">
            <v>HOU1679</v>
          </cell>
        </row>
        <row r="8068">
          <cell r="F8068" t="str">
            <v>SMH200-06H(BLK)</v>
          </cell>
          <cell r="G8068" t="str">
            <v>HOUSING</v>
          </cell>
          <cell r="H8068" t="str">
            <v>HOU1678</v>
          </cell>
        </row>
        <row r="8069">
          <cell r="F8069" t="str">
            <v>SMH250-08LZ(RE)</v>
          </cell>
          <cell r="G8069" t="str">
            <v>HOUSING</v>
          </cell>
          <cell r="H8069" t="str">
            <v>HOU1677</v>
          </cell>
        </row>
        <row r="8070">
          <cell r="F8070" t="str">
            <v>SMH250-07LZ(YE)</v>
          </cell>
          <cell r="G8070" t="str">
            <v>HOUSING</v>
          </cell>
          <cell r="H8070" t="str">
            <v>HOU1676</v>
          </cell>
        </row>
        <row r="8071">
          <cell r="F8071" t="str">
            <v>SMH250-07LZ(RE)</v>
          </cell>
          <cell r="G8071" t="str">
            <v>HOUSING</v>
          </cell>
          <cell r="H8071" t="str">
            <v>HOU1675</v>
          </cell>
        </row>
        <row r="8072">
          <cell r="F8072" t="str">
            <v>SMH250-03LZ(YE)</v>
          </cell>
          <cell r="G8072" t="str">
            <v>HOUSING</v>
          </cell>
          <cell r="H8072" t="str">
            <v>HOU1674</v>
          </cell>
        </row>
        <row r="8073">
          <cell r="F8073" t="str">
            <v>SMH250-09LZ(RE)</v>
          </cell>
          <cell r="G8073" t="str">
            <v>HOUSING</v>
          </cell>
          <cell r="H8073" t="str">
            <v>HOU1673</v>
          </cell>
        </row>
        <row r="8074">
          <cell r="F8074" t="str">
            <v>MG635161T-203</v>
          </cell>
          <cell r="G8074" t="str">
            <v>HOUSING</v>
          </cell>
          <cell r="H8074" t="str">
            <v>HOU1672</v>
          </cell>
        </row>
        <row r="8075">
          <cell r="F8075" t="str">
            <v>MG634455T-002</v>
          </cell>
          <cell r="G8075" t="str">
            <v>HOUSING</v>
          </cell>
          <cell r="H8075" t="str">
            <v>HOU1671</v>
          </cell>
        </row>
        <row r="8076">
          <cell r="F8076" t="str">
            <v>MG614705T-003</v>
          </cell>
          <cell r="G8076" t="str">
            <v>HOUSING</v>
          </cell>
          <cell r="H8076" t="str">
            <v>HOU1670</v>
          </cell>
        </row>
        <row r="8077">
          <cell r="F8077" t="str">
            <v>MG614706T-005</v>
          </cell>
          <cell r="G8077" t="str">
            <v>HOUSING</v>
          </cell>
          <cell r="H8077" t="str">
            <v>HOU1669</v>
          </cell>
        </row>
        <row r="8078">
          <cell r="F8078" t="str">
            <v>YH396-05VRZ</v>
          </cell>
          <cell r="G8078" t="str">
            <v>HOUSING</v>
          </cell>
          <cell r="H8078" t="str">
            <v>HOU1668</v>
          </cell>
        </row>
        <row r="8079">
          <cell r="F8079" t="str">
            <v>YH396-13VRZ</v>
          </cell>
          <cell r="G8079" t="str">
            <v>HOUSING</v>
          </cell>
          <cell r="H8079" t="str">
            <v>HOU1667</v>
          </cell>
        </row>
        <row r="8080">
          <cell r="F8080" t="str">
            <v>YH396-03VRZ(BK)</v>
          </cell>
          <cell r="G8080" t="str">
            <v>HOUSING</v>
          </cell>
          <cell r="H8080" t="str">
            <v>HOU1665</v>
          </cell>
        </row>
        <row r="8081">
          <cell r="F8081" t="str">
            <v>SMH250-14LZ</v>
          </cell>
          <cell r="G8081" t="str">
            <v>HOUSING</v>
          </cell>
          <cell r="H8081" t="str">
            <v>HOU1664</v>
          </cell>
        </row>
        <row r="8082">
          <cell r="F8082" t="str">
            <v>SMH250-03LZ(RE)</v>
          </cell>
          <cell r="G8082" t="str">
            <v>HOUSING</v>
          </cell>
          <cell r="H8082" t="str">
            <v>HOU1663</v>
          </cell>
        </row>
        <row r="8083">
          <cell r="F8083" t="str">
            <v>25045HP-04AZ</v>
          </cell>
          <cell r="G8083" t="str">
            <v>HOUSING</v>
          </cell>
          <cell r="H8083" t="str">
            <v>HOU1662</v>
          </cell>
        </row>
        <row r="8084">
          <cell r="F8084" t="str">
            <v>25045HP-05AZ</v>
          </cell>
          <cell r="G8084" t="str">
            <v>HOUSING</v>
          </cell>
          <cell r="H8084" t="str">
            <v>HOU1661</v>
          </cell>
        </row>
        <row r="8085">
          <cell r="F8085" t="str">
            <v>SMH250-12LZ</v>
          </cell>
          <cell r="G8085" t="str">
            <v>HOUSING</v>
          </cell>
          <cell r="H8085" t="str">
            <v>HOU1660</v>
          </cell>
        </row>
        <row r="8086">
          <cell r="F8086" t="str">
            <v>SMH250-02LZ</v>
          </cell>
          <cell r="G8086" t="str">
            <v>HOUSING</v>
          </cell>
          <cell r="H8086" t="str">
            <v>HOU1659</v>
          </cell>
        </row>
        <row r="8087">
          <cell r="F8087" t="str">
            <v>MG625431</v>
          </cell>
          <cell r="G8087" t="str">
            <v>HOUSING</v>
          </cell>
          <cell r="H8087" t="str">
            <v>HOU1658</v>
          </cell>
        </row>
        <row r="8088">
          <cell r="F8088" t="str">
            <v>SC42208-061A</v>
          </cell>
          <cell r="G8088" t="str">
            <v>HOUSING</v>
          </cell>
          <cell r="H8088" t="str">
            <v>HOU1657</v>
          </cell>
        </row>
        <row r="8089">
          <cell r="F8089" t="str">
            <v>SC42208-021A</v>
          </cell>
          <cell r="G8089" t="str">
            <v>HOUSING</v>
          </cell>
          <cell r="H8089" t="str">
            <v>HOU1656</v>
          </cell>
        </row>
        <row r="8090">
          <cell r="F8090" t="str">
            <v>SMH250-06LZ</v>
          </cell>
          <cell r="G8090" t="str">
            <v>HOUSING</v>
          </cell>
          <cell r="H8090" t="str">
            <v>HOU1655</v>
          </cell>
        </row>
        <row r="8091">
          <cell r="F8091" t="str">
            <v>SMH250-06LZ(BL)</v>
          </cell>
          <cell r="G8091" t="str">
            <v>HOUSING</v>
          </cell>
          <cell r="H8091" t="str">
            <v>HOU1654</v>
          </cell>
        </row>
        <row r="8092">
          <cell r="F8092" t="str">
            <v>SMH250-07LZ</v>
          </cell>
          <cell r="G8092" t="str">
            <v>HOUSING</v>
          </cell>
          <cell r="H8092" t="str">
            <v>HOU1653</v>
          </cell>
        </row>
        <row r="8093">
          <cell r="F8093" t="str">
            <v>SMH250-08LZ</v>
          </cell>
          <cell r="G8093" t="str">
            <v>HOUSING</v>
          </cell>
          <cell r="H8093" t="str">
            <v>HOU1652</v>
          </cell>
        </row>
        <row r="8094">
          <cell r="F8094" t="str">
            <v>SMH250-09LZ</v>
          </cell>
          <cell r="G8094" t="str">
            <v>HOUSING</v>
          </cell>
          <cell r="H8094" t="str">
            <v>HOU1651</v>
          </cell>
        </row>
        <row r="8095">
          <cell r="F8095" t="str">
            <v>SMH250-10LZ</v>
          </cell>
          <cell r="G8095" t="str">
            <v>HOUSING</v>
          </cell>
          <cell r="H8095" t="str">
            <v>HOU1650</v>
          </cell>
        </row>
        <row r="8096">
          <cell r="F8096" t="str">
            <v>SMH250-11LZ</v>
          </cell>
          <cell r="G8096" t="str">
            <v>HOUSING</v>
          </cell>
          <cell r="H8096" t="str">
            <v>HOU1649</v>
          </cell>
        </row>
        <row r="8097">
          <cell r="F8097" t="str">
            <v>SMH250-03LZ</v>
          </cell>
          <cell r="G8097" t="str">
            <v>HOUSING</v>
          </cell>
          <cell r="H8097" t="str">
            <v>HOU1648</v>
          </cell>
        </row>
        <row r="8098">
          <cell r="F8098" t="str">
            <v>SMH250-06KZ</v>
          </cell>
          <cell r="G8098" t="str">
            <v>HOUSING</v>
          </cell>
          <cell r="H8098" t="str">
            <v>HOU1647</v>
          </cell>
        </row>
        <row r="8099">
          <cell r="F8099" t="str">
            <v>SMH250-15LZ</v>
          </cell>
          <cell r="G8099" t="str">
            <v>HOUSING</v>
          </cell>
          <cell r="H8099" t="str">
            <v>HOU1646</v>
          </cell>
        </row>
        <row r="8100">
          <cell r="F8100" t="str">
            <v>YH396-03VRZ</v>
          </cell>
          <cell r="G8100" t="str">
            <v>HOUSING</v>
          </cell>
          <cell r="H8100" t="str">
            <v>HOU1645</v>
          </cell>
        </row>
        <row r="8101">
          <cell r="F8101" t="str">
            <v>YH396-03VRZ(RE)</v>
          </cell>
          <cell r="G8101" t="str">
            <v>HOUSING</v>
          </cell>
          <cell r="H8101" t="str">
            <v>HOU1644</v>
          </cell>
        </row>
        <row r="8102">
          <cell r="F8102" t="str">
            <v>YH396-05VRZ(BK)</v>
          </cell>
          <cell r="G8102" t="str">
            <v>HOUSING</v>
          </cell>
          <cell r="H8102" t="str">
            <v>HOU1643</v>
          </cell>
        </row>
        <row r="8103">
          <cell r="F8103" t="str">
            <v>YH396-07VRZ</v>
          </cell>
          <cell r="G8103" t="str">
            <v>HOUSING</v>
          </cell>
          <cell r="H8103" t="str">
            <v>HOU1642</v>
          </cell>
        </row>
        <row r="8104">
          <cell r="F8104" t="str">
            <v>YH396-09VRZ</v>
          </cell>
          <cell r="G8104" t="str">
            <v>HOUSING</v>
          </cell>
          <cell r="H8104" t="str">
            <v>HOU1641</v>
          </cell>
        </row>
        <row r="8105">
          <cell r="F8105" t="str">
            <v>YH396-11VRZ</v>
          </cell>
          <cell r="G8105" t="str">
            <v>HOUSING</v>
          </cell>
          <cell r="H8105" t="str">
            <v>HOU1640</v>
          </cell>
        </row>
        <row r="8106">
          <cell r="F8106" t="str">
            <v>YH396-15VRZ</v>
          </cell>
          <cell r="G8106" t="str">
            <v>HOUSING</v>
          </cell>
          <cell r="H8106" t="str">
            <v>HOU1639</v>
          </cell>
        </row>
        <row r="8107">
          <cell r="F8107" t="str">
            <v>SMH250-05LZ</v>
          </cell>
          <cell r="G8107" t="str">
            <v>HOUSING</v>
          </cell>
          <cell r="H8107" t="str">
            <v>HOU1638</v>
          </cell>
        </row>
        <row r="8108">
          <cell r="F8108" t="str">
            <v>SMH250-04LZ</v>
          </cell>
          <cell r="G8108" t="str">
            <v>HOUSING</v>
          </cell>
          <cell r="H8108" t="str">
            <v>HOU1637</v>
          </cell>
        </row>
        <row r="8109">
          <cell r="F8109" t="str">
            <v>SMH200-05HZ</v>
          </cell>
          <cell r="G8109" t="str">
            <v>HOUSING</v>
          </cell>
          <cell r="H8109" t="str">
            <v>HOU1636</v>
          </cell>
        </row>
        <row r="8110">
          <cell r="F8110" t="str">
            <v>25045HP-15AZ</v>
          </cell>
          <cell r="G8110" t="str">
            <v>HOUSING</v>
          </cell>
          <cell r="H8110" t="str">
            <v>HOU1635</v>
          </cell>
        </row>
        <row r="8111">
          <cell r="F8111" t="str">
            <v>25045HP-12AZ</v>
          </cell>
          <cell r="G8111" t="str">
            <v>HOUSING</v>
          </cell>
          <cell r="H8111" t="str">
            <v>HOU1634</v>
          </cell>
        </row>
        <row r="8112">
          <cell r="F8112" t="str">
            <v>25045HP-06AZ(BL)</v>
          </cell>
          <cell r="G8112" t="str">
            <v>HOUSING</v>
          </cell>
          <cell r="H8112" t="str">
            <v>HOU1633</v>
          </cell>
        </row>
        <row r="8113">
          <cell r="F8113" t="str">
            <v>25045HP-03AZ</v>
          </cell>
          <cell r="G8113" t="str">
            <v>HOUSING</v>
          </cell>
          <cell r="H8113" t="str">
            <v>HOU1632</v>
          </cell>
        </row>
        <row r="8114">
          <cell r="F8114" t="str">
            <v>25045HP-02AZ</v>
          </cell>
          <cell r="G8114" t="str">
            <v>HOUSING</v>
          </cell>
          <cell r="H8114" t="str">
            <v>HOU1631</v>
          </cell>
        </row>
        <row r="8115">
          <cell r="F8115" t="str">
            <v>SMH250-13LZ</v>
          </cell>
          <cell r="G8115" t="str">
            <v>HOUSING</v>
          </cell>
          <cell r="H8115" t="str">
            <v>HOU1630</v>
          </cell>
        </row>
        <row r="8116">
          <cell r="F8116" t="str">
            <v>12507WR-03L</v>
          </cell>
          <cell r="G8116" t="str">
            <v>HOUSING</v>
          </cell>
          <cell r="H8116" t="str">
            <v>HOU1626</v>
          </cell>
        </row>
        <row r="8117">
          <cell r="F8117" t="str">
            <v>DEM1-00234</v>
          </cell>
          <cell r="G8117" t="str">
            <v>HOUSING</v>
          </cell>
          <cell r="H8117" t="str">
            <v>HOU1625</v>
          </cell>
        </row>
        <row r="8118">
          <cell r="F8118" t="str">
            <v>MG610439P</v>
          </cell>
          <cell r="G8118" t="str">
            <v>HOUSING</v>
          </cell>
          <cell r="H8118" t="str">
            <v>HOU1620</v>
          </cell>
        </row>
        <row r="8119">
          <cell r="F8119" t="str">
            <v>1-1123722-5</v>
          </cell>
          <cell r="G8119" t="str">
            <v>HOUSING</v>
          </cell>
          <cell r="H8119" t="str">
            <v>HOU1616</v>
          </cell>
        </row>
        <row r="8120">
          <cell r="F8120" t="str">
            <v>1-1123722-0</v>
          </cell>
          <cell r="G8120" t="str">
            <v>HOUSING</v>
          </cell>
          <cell r="H8120" t="str">
            <v>HOU1614</v>
          </cell>
        </row>
        <row r="8121">
          <cell r="F8121" t="str">
            <v>1565087-1</v>
          </cell>
          <cell r="G8121" t="str">
            <v>HOUSING</v>
          </cell>
          <cell r="H8121" t="str">
            <v>HOU1609</v>
          </cell>
        </row>
        <row r="8122">
          <cell r="F8122" t="str">
            <v>1565084-1</v>
          </cell>
          <cell r="G8122" t="str">
            <v>HOUSING</v>
          </cell>
          <cell r="H8122" t="str">
            <v>HOU1608</v>
          </cell>
        </row>
        <row r="8123">
          <cell r="F8123" t="str">
            <v>1565081-1</v>
          </cell>
          <cell r="G8123" t="str">
            <v>HOUSING</v>
          </cell>
          <cell r="H8123" t="str">
            <v>HOU1607</v>
          </cell>
        </row>
        <row r="8124">
          <cell r="F8124" t="str">
            <v>1969588-6</v>
          </cell>
          <cell r="G8124" t="str">
            <v>HOUSING</v>
          </cell>
          <cell r="H8124" t="str">
            <v>HOU1606</v>
          </cell>
        </row>
        <row r="8125">
          <cell r="F8125" t="str">
            <v>1969442-6</v>
          </cell>
          <cell r="G8125" t="str">
            <v>HOUSING</v>
          </cell>
          <cell r="H8125" t="str">
            <v>HOU1605</v>
          </cell>
        </row>
        <row r="8126">
          <cell r="F8126" t="str">
            <v>174513-1</v>
          </cell>
          <cell r="G8126" t="str">
            <v>HOUSING</v>
          </cell>
          <cell r="H8126" t="str">
            <v>HOU1604</v>
          </cell>
        </row>
        <row r="8127">
          <cell r="F8127" t="str">
            <v>SMH200-14</v>
          </cell>
          <cell r="G8127" t="str">
            <v>HOUSING</v>
          </cell>
          <cell r="H8127" t="str">
            <v>HOU1603</v>
          </cell>
        </row>
        <row r="8128">
          <cell r="F8128" t="str">
            <v>MG633814T</v>
          </cell>
          <cell r="G8128" t="str">
            <v>HOUSING</v>
          </cell>
          <cell r="H8128" t="str">
            <v>HOU1602</v>
          </cell>
        </row>
        <row r="8129">
          <cell r="F8129" t="str">
            <v>1565088-1</v>
          </cell>
          <cell r="G8129" t="str">
            <v>HOUSING</v>
          </cell>
          <cell r="H8129" t="str">
            <v>HOU1601</v>
          </cell>
        </row>
        <row r="8130">
          <cell r="F8130" t="str">
            <v>SC41241-031A-BK</v>
          </cell>
          <cell r="G8130" t="str">
            <v>HOUSING</v>
          </cell>
          <cell r="H8130" t="str">
            <v>HOU1600</v>
          </cell>
        </row>
        <row r="8131">
          <cell r="F8131" t="str">
            <v>502578-0300</v>
          </cell>
          <cell r="G8131" t="str">
            <v>HOUSING</v>
          </cell>
          <cell r="H8131" t="str">
            <v>HOU1595</v>
          </cell>
        </row>
        <row r="8132">
          <cell r="F8132" t="str">
            <v>MG615610-6</v>
          </cell>
          <cell r="G8132" t="str">
            <v>HOUSING</v>
          </cell>
          <cell r="H8132" t="str">
            <v>HOU1594</v>
          </cell>
        </row>
        <row r="8133">
          <cell r="F8133" t="str">
            <v>MG621170T</v>
          </cell>
          <cell r="G8133" t="str">
            <v>HOUSING</v>
          </cell>
          <cell r="H8133" t="str">
            <v>HOU1593</v>
          </cell>
        </row>
        <row r="8134">
          <cell r="F8134" t="str">
            <v>MG621470T</v>
          </cell>
          <cell r="G8134" t="str">
            <v>HOUSING</v>
          </cell>
          <cell r="H8134" t="str">
            <v>HOU1592</v>
          </cell>
        </row>
        <row r="8135">
          <cell r="F8135" t="str">
            <v>MG610224ST-2</v>
          </cell>
          <cell r="G8135" t="str">
            <v>HOUSING</v>
          </cell>
          <cell r="H8135" t="str">
            <v>HOU1591</v>
          </cell>
        </row>
        <row r="8136">
          <cell r="F8136" t="str">
            <v>1565082-1</v>
          </cell>
          <cell r="G8136" t="str">
            <v>HOUSING</v>
          </cell>
          <cell r="H8136" t="str">
            <v>HOU1590</v>
          </cell>
        </row>
        <row r="8137">
          <cell r="F8137" t="str">
            <v>YH396-02VR(YE)</v>
          </cell>
          <cell r="G8137" t="str">
            <v>HOUSING</v>
          </cell>
          <cell r="H8137" t="str">
            <v>HOU1589</v>
          </cell>
        </row>
        <row r="8138">
          <cell r="F8138" t="str">
            <v>MG655832</v>
          </cell>
          <cell r="G8138" t="str">
            <v>HOUSING</v>
          </cell>
          <cell r="H8138" t="str">
            <v>HOU1588</v>
          </cell>
        </row>
        <row r="8139">
          <cell r="F8139" t="str">
            <v>MG625457</v>
          </cell>
          <cell r="G8139" t="str">
            <v>HOUSING</v>
          </cell>
          <cell r="H8139" t="str">
            <v>HOU1587</v>
          </cell>
        </row>
        <row r="8140">
          <cell r="F8140" t="str">
            <v>12507HS-03L</v>
          </cell>
          <cell r="G8140" t="str">
            <v>HOUSING</v>
          </cell>
          <cell r="H8140" t="str">
            <v>HOU1586</v>
          </cell>
        </row>
        <row r="8141">
          <cell r="F8141" t="str">
            <v>43335-2002</v>
          </cell>
          <cell r="G8141" t="str">
            <v>HOUSING</v>
          </cell>
          <cell r="H8141" t="str">
            <v>HOU1582</v>
          </cell>
        </row>
        <row r="8142">
          <cell r="F8142" t="str">
            <v>XARR-04VF</v>
          </cell>
          <cell r="G8142" t="str">
            <v>HOUSING</v>
          </cell>
          <cell r="H8142" t="str">
            <v>HOU1575</v>
          </cell>
        </row>
        <row r="8143">
          <cell r="F8143" t="str">
            <v>XARR-02VF</v>
          </cell>
          <cell r="G8143" t="str">
            <v>HOUSING</v>
          </cell>
          <cell r="H8143" t="str">
            <v>HOU1574</v>
          </cell>
        </row>
        <row r="8144">
          <cell r="F8144" t="str">
            <v>35023-0007</v>
          </cell>
          <cell r="G8144" t="str">
            <v>HOUSING</v>
          </cell>
          <cell r="H8144" t="str">
            <v>HOU1572</v>
          </cell>
        </row>
        <row r="8145">
          <cell r="F8145" t="str">
            <v>35023-0006</v>
          </cell>
          <cell r="G8145" t="str">
            <v>HOUSING</v>
          </cell>
          <cell r="H8145" t="str">
            <v>HOU1571</v>
          </cell>
        </row>
        <row r="8146">
          <cell r="F8146" t="str">
            <v>SMH200-05H(RE)</v>
          </cell>
          <cell r="G8146" t="str">
            <v>HOUSING</v>
          </cell>
          <cell r="H8146" t="str">
            <v>HOU1570</v>
          </cell>
        </row>
        <row r="8147">
          <cell r="F8147" t="str">
            <v>1-1123722-3</v>
          </cell>
          <cell r="G8147" t="str">
            <v>HOUSING</v>
          </cell>
          <cell r="H8147" t="str">
            <v>HOU1569</v>
          </cell>
        </row>
        <row r="8148">
          <cell r="F8148" t="str">
            <v>SMH200-04PL</v>
          </cell>
          <cell r="G8148" t="str">
            <v>HOUSING</v>
          </cell>
          <cell r="H8148" t="str">
            <v>HOU1568</v>
          </cell>
        </row>
        <row r="8149">
          <cell r="F8149" t="str">
            <v>MG634107T</v>
          </cell>
          <cell r="G8149" t="str">
            <v>HOUSING</v>
          </cell>
          <cell r="H8149" t="str">
            <v>HOU1566</v>
          </cell>
        </row>
        <row r="8150">
          <cell r="F8150" t="str">
            <v>MG622536</v>
          </cell>
          <cell r="G8150" t="str">
            <v>HOUSING</v>
          </cell>
          <cell r="H8150" t="str">
            <v>HOU1562</v>
          </cell>
        </row>
        <row r="8151">
          <cell r="F8151" t="str">
            <v>MG613698T</v>
          </cell>
          <cell r="G8151" t="str">
            <v>HOUSING</v>
          </cell>
          <cell r="H8151" t="str">
            <v>HOU1561</v>
          </cell>
        </row>
        <row r="8152">
          <cell r="F8152" t="str">
            <v>SMH250-06L(BLK)</v>
          </cell>
          <cell r="G8152" t="str">
            <v>HOUSING</v>
          </cell>
          <cell r="H8152" t="str">
            <v>HOU1560</v>
          </cell>
        </row>
        <row r="8153">
          <cell r="F8153" t="str">
            <v>MG614812</v>
          </cell>
          <cell r="G8153" t="str">
            <v>HOUSING</v>
          </cell>
          <cell r="H8153" t="str">
            <v>HOU1559</v>
          </cell>
        </row>
        <row r="8154">
          <cell r="F8154" t="str">
            <v>MG610224ST-5</v>
          </cell>
          <cell r="G8154" t="str">
            <v>HOUSING</v>
          </cell>
          <cell r="H8154" t="str">
            <v>HOU1558</v>
          </cell>
        </row>
        <row r="8155">
          <cell r="F8155" t="str">
            <v>SMP250-02(BLK)</v>
          </cell>
          <cell r="G8155" t="str">
            <v>HOUSING</v>
          </cell>
          <cell r="H8155" t="str">
            <v>HOU1556</v>
          </cell>
        </row>
        <row r="8156">
          <cell r="F8156" t="str">
            <v>SMH200-H13PR(BL)</v>
          </cell>
          <cell r="G8156" t="str">
            <v>HOUSING</v>
          </cell>
          <cell r="H8156" t="str">
            <v>HOU1555</v>
          </cell>
        </row>
        <row r="8157">
          <cell r="F8157" t="str">
            <v>SMH200-14H</v>
          </cell>
          <cell r="G8157" t="str">
            <v>HOUSING</v>
          </cell>
          <cell r="H8157" t="str">
            <v>HOU1554</v>
          </cell>
        </row>
        <row r="8158">
          <cell r="F8158" t="str">
            <v>ZHR-03</v>
          </cell>
          <cell r="G8158" t="str">
            <v>HOUSING</v>
          </cell>
          <cell r="H8158" t="str">
            <v>HOU1552</v>
          </cell>
        </row>
        <row r="8159">
          <cell r="F8159" t="str">
            <v>YMH025-05R</v>
          </cell>
          <cell r="G8159" t="str">
            <v>HOUSING</v>
          </cell>
          <cell r="H8159" t="str">
            <v>HOU1551</v>
          </cell>
        </row>
        <row r="8160">
          <cell r="F8160" t="str">
            <v>MG614538-3</v>
          </cell>
          <cell r="G8160" t="str">
            <v>HOUSING</v>
          </cell>
          <cell r="H8160" t="str">
            <v>HOU1550</v>
          </cell>
        </row>
        <row r="8161">
          <cell r="F8161" t="str">
            <v>MG624537-3</v>
          </cell>
          <cell r="G8161" t="str">
            <v>HOUSING</v>
          </cell>
          <cell r="H8161" t="str">
            <v>HOU1549</v>
          </cell>
        </row>
        <row r="8162">
          <cell r="F8162" t="str">
            <v>2271180-1</v>
          </cell>
          <cell r="G8162" t="str">
            <v>HOUSING</v>
          </cell>
          <cell r="H8162" t="str">
            <v>HOU1548</v>
          </cell>
        </row>
        <row r="8163">
          <cell r="F8163" t="str">
            <v>YH396-H02PL</v>
          </cell>
          <cell r="G8163" t="str">
            <v>HOUSING</v>
          </cell>
          <cell r="H8163" t="str">
            <v>HOU1546</v>
          </cell>
        </row>
        <row r="8164">
          <cell r="F8164" t="str">
            <v>SC51101-031A(YEL)</v>
          </cell>
          <cell r="G8164" t="str">
            <v>HOUSING</v>
          </cell>
          <cell r="H8164" t="str">
            <v>HOU1545</v>
          </cell>
        </row>
        <row r="8165">
          <cell r="F8165" t="str">
            <v>YH396-H05PR(RE)</v>
          </cell>
          <cell r="G8165" t="str">
            <v>HOUSING</v>
          </cell>
          <cell r="H8165" t="str">
            <v>HOU1544</v>
          </cell>
        </row>
        <row r="8166">
          <cell r="F8166" t="str">
            <v>SMH200-H05PR(BK)</v>
          </cell>
          <cell r="G8166" t="str">
            <v>HOUSING</v>
          </cell>
          <cell r="H8166" t="str">
            <v>HOU1543</v>
          </cell>
        </row>
        <row r="8167">
          <cell r="F8167" t="str">
            <v>SC42208-051A</v>
          </cell>
          <cell r="G8167" t="str">
            <v>HOUSING</v>
          </cell>
          <cell r="H8167" t="str">
            <v>HOU1542</v>
          </cell>
        </row>
        <row r="8168">
          <cell r="F8168" t="str">
            <v>SC42208-031A</v>
          </cell>
          <cell r="G8168" t="str">
            <v>HOUSING</v>
          </cell>
          <cell r="H8168" t="str">
            <v>HOU1541</v>
          </cell>
        </row>
        <row r="8169">
          <cell r="F8169" t="str">
            <v>MG655771</v>
          </cell>
          <cell r="G8169" t="str">
            <v>HOUSING</v>
          </cell>
          <cell r="H8169" t="str">
            <v>HOU1540</v>
          </cell>
        </row>
        <row r="8170">
          <cell r="F8170" t="str">
            <v>MG634108T</v>
          </cell>
          <cell r="G8170" t="str">
            <v>HOUSING</v>
          </cell>
          <cell r="H8170" t="str">
            <v>HOU1539</v>
          </cell>
        </row>
        <row r="8171">
          <cell r="F8171" t="str">
            <v>173974-1</v>
          </cell>
          <cell r="G8171" t="str">
            <v>HOUSING</v>
          </cell>
          <cell r="H8171" t="str">
            <v>HOU1538</v>
          </cell>
        </row>
        <row r="8172">
          <cell r="F8172" t="str">
            <v>SMH200-H06PR</v>
          </cell>
          <cell r="G8172" t="str">
            <v>HOUSING</v>
          </cell>
          <cell r="H8172" t="str">
            <v>HOU1536</v>
          </cell>
        </row>
        <row r="8173">
          <cell r="F8173" t="str">
            <v>SMH200-H05PR(BL)</v>
          </cell>
          <cell r="G8173" t="str">
            <v>HOUSING</v>
          </cell>
          <cell r="H8173" t="str">
            <v>HOU1535</v>
          </cell>
        </row>
        <row r="8174">
          <cell r="F8174" t="str">
            <v>WW45A-020-275(WHT)CN</v>
          </cell>
          <cell r="G8174" t="str">
            <v>HOUSING</v>
          </cell>
          <cell r="H8174" t="str">
            <v>HOU1534</v>
          </cell>
        </row>
        <row r="8175">
          <cell r="F8175" t="str">
            <v>WW45A-020-175(WHT)CN</v>
          </cell>
          <cell r="G8175" t="str">
            <v>HOUSING</v>
          </cell>
          <cell r="H8175" t="str">
            <v>HOU1533</v>
          </cell>
        </row>
        <row r="8176">
          <cell r="F8176" t="str">
            <v>25048HS-07</v>
          </cell>
          <cell r="G8176" t="str">
            <v>HOUSING</v>
          </cell>
          <cell r="H8176" t="str">
            <v>HOU1529</v>
          </cell>
        </row>
        <row r="8177">
          <cell r="F8177" t="str">
            <v>2-172076-1</v>
          </cell>
          <cell r="G8177" t="str">
            <v>HOUSING</v>
          </cell>
          <cell r="H8177" t="str">
            <v>HOU1527</v>
          </cell>
        </row>
        <row r="8178">
          <cell r="F8178" t="str">
            <v>SC51101-091A-RE</v>
          </cell>
          <cell r="G8178" t="str">
            <v>HOUSING</v>
          </cell>
          <cell r="H8178" t="str">
            <v>HOU1523</v>
          </cell>
        </row>
        <row r="8179">
          <cell r="F8179" t="str">
            <v>MG621534T</v>
          </cell>
          <cell r="G8179" t="str">
            <v>HOUSING</v>
          </cell>
          <cell r="H8179" t="str">
            <v>HOU1522</v>
          </cell>
        </row>
        <row r="8180">
          <cell r="F8180" t="str">
            <v>SMH200-H03PR(BL)</v>
          </cell>
          <cell r="G8180" t="str">
            <v>HOUSING</v>
          </cell>
          <cell r="H8180" t="str">
            <v>HOU1521</v>
          </cell>
        </row>
        <row r="8181">
          <cell r="F8181" t="str">
            <v>YLR-20V-WGL1-R(K)(Z)</v>
          </cell>
          <cell r="G8181" t="str">
            <v>HOUSING</v>
          </cell>
          <cell r="H8181" t="str">
            <v>HOU1519</v>
          </cell>
        </row>
        <row r="8182">
          <cell r="F8182" t="str">
            <v>YLP-20V-WGL1-R(K)(Z)</v>
          </cell>
          <cell r="G8182" t="str">
            <v>HOUSING</v>
          </cell>
          <cell r="H8182" t="str">
            <v>HOU1518</v>
          </cell>
        </row>
        <row r="8183">
          <cell r="F8183" t="str">
            <v>WW45A-020-278(BLU)CN</v>
          </cell>
          <cell r="G8183" t="str">
            <v>HOUSING</v>
          </cell>
          <cell r="H8183" t="str">
            <v>HOU1517</v>
          </cell>
        </row>
        <row r="8184">
          <cell r="F8184" t="str">
            <v>WW45A-020-178(BLU)CN</v>
          </cell>
          <cell r="G8184" t="str">
            <v>HOUSING</v>
          </cell>
          <cell r="H8184" t="str">
            <v>HOU1516</v>
          </cell>
        </row>
        <row r="8185">
          <cell r="F8185" t="str">
            <v>SMH250-09(RE)</v>
          </cell>
          <cell r="G8185" t="str">
            <v>HOUSING</v>
          </cell>
          <cell r="H8185" t="str">
            <v>HOU1515</v>
          </cell>
        </row>
        <row r="8186">
          <cell r="F8186" t="str">
            <v>SMW200-22C</v>
          </cell>
          <cell r="G8186" t="str">
            <v>HOUSING</v>
          </cell>
          <cell r="H8186" t="str">
            <v>HOU1514</v>
          </cell>
        </row>
        <row r="8187">
          <cell r="F8187" t="str">
            <v>MG611226T-2</v>
          </cell>
          <cell r="G8187" t="str">
            <v>HOUSING</v>
          </cell>
          <cell r="H8187" t="str">
            <v>HOU1512</v>
          </cell>
        </row>
        <row r="8188">
          <cell r="F8188" t="str">
            <v>MG620426T</v>
          </cell>
          <cell r="G8188" t="str">
            <v>HOUSING</v>
          </cell>
          <cell r="H8188" t="str">
            <v>HOU1511</v>
          </cell>
        </row>
        <row r="8189">
          <cell r="F8189" t="str">
            <v>MG615606</v>
          </cell>
          <cell r="G8189" t="str">
            <v>HOUSING</v>
          </cell>
          <cell r="H8189" t="str">
            <v>HOU1510</v>
          </cell>
        </row>
        <row r="8190">
          <cell r="F8190" t="str">
            <v>SMH200-H10PR</v>
          </cell>
          <cell r="G8190" t="str">
            <v>HOUSING</v>
          </cell>
          <cell r="H8190" t="str">
            <v>HOU1509</v>
          </cell>
        </row>
        <row r="8191">
          <cell r="F8191" t="str">
            <v>35151-0414</v>
          </cell>
          <cell r="G8191" t="str">
            <v>HOUSING</v>
          </cell>
          <cell r="H8191" t="str">
            <v>HOU1507</v>
          </cell>
        </row>
        <row r="8192">
          <cell r="F8192" t="str">
            <v>PWBR-08VF-WGL1</v>
          </cell>
          <cell r="G8192" t="str">
            <v>HOUSING</v>
          </cell>
          <cell r="H8192" t="str">
            <v>HOU1506</v>
          </cell>
        </row>
        <row r="8193">
          <cell r="F8193" t="str">
            <v>WW45A-012-278(BLU)CNPLUS</v>
          </cell>
          <cell r="G8193" t="str">
            <v>HOUSING</v>
          </cell>
          <cell r="H8193" t="str">
            <v>HOU1505</v>
          </cell>
        </row>
        <row r="8194">
          <cell r="F8194" t="str">
            <v>MG630590C</v>
          </cell>
          <cell r="G8194" t="str">
            <v>HOUSING</v>
          </cell>
          <cell r="H8194" t="str">
            <v>HOU1503</v>
          </cell>
        </row>
        <row r="8195">
          <cell r="F8195" t="str">
            <v>46992-0210(BLK)</v>
          </cell>
          <cell r="G8195" t="str">
            <v>HOUSING</v>
          </cell>
          <cell r="H8195" t="str">
            <v>HOU1502</v>
          </cell>
        </row>
        <row r="8196">
          <cell r="F8196" t="str">
            <v>MG656847-008</v>
          </cell>
          <cell r="G8196" t="str">
            <v>HOUSING</v>
          </cell>
          <cell r="H8196" t="str">
            <v>HOU1492</v>
          </cell>
        </row>
        <row r="8197">
          <cell r="F8197" t="str">
            <v>MG656847-006</v>
          </cell>
          <cell r="G8197" t="str">
            <v>HOUSING</v>
          </cell>
          <cell r="H8197" t="str">
            <v>HOU1490</v>
          </cell>
        </row>
        <row r="8198">
          <cell r="F8198" t="str">
            <v>MG656847-005</v>
          </cell>
          <cell r="G8198" t="str">
            <v>HOUSING</v>
          </cell>
          <cell r="H8198" t="str">
            <v>HOU1489</v>
          </cell>
        </row>
        <row r="8199">
          <cell r="F8199" t="str">
            <v>MG656847-004</v>
          </cell>
          <cell r="G8199" t="str">
            <v>HOUSING</v>
          </cell>
          <cell r="H8199" t="str">
            <v>HOU1488</v>
          </cell>
        </row>
        <row r="8200">
          <cell r="F8200" t="str">
            <v>MG634526T</v>
          </cell>
          <cell r="G8200" t="str">
            <v>HOUSING</v>
          </cell>
          <cell r="H8200" t="str">
            <v>HOU1485</v>
          </cell>
        </row>
        <row r="8201">
          <cell r="F8201" t="str">
            <v>MG630591T</v>
          </cell>
          <cell r="G8201" t="str">
            <v>HOUSING</v>
          </cell>
          <cell r="H8201" t="str">
            <v>HOU1484</v>
          </cell>
        </row>
        <row r="8202">
          <cell r="F8202" t="str">
            <v>SC41197-031A</v>
          </cell>
          <cell r="G8202" t="str">
            <v>HOUSING</v>
          </cell>
          <cell r="H8202" t="str">
            <v>HOU1483</v>
          </cell>
        </row>
        <row r="8203">
          <cell r="F8203" t="str">
            <v>YLR-04V-B</v>
          </cell>
          <cell r="G8203" t="str">
            <v>HOUSING</v>
          </cell>
          <cell r="H8203" t="str">
            <v>HOU1482</v>
          </cell>
        </row>
        <row r="8204">
          <cell r="F8204" t="str">
            <v>WW45A-012-178(BLU)CNPLUS</v>
          </cell>
          <cell r="G8204" t="str">
            <v>HOUSING</v>
          </cell>
          <cell r="H8204" t="str">
            <v>HOU1481</v>
          </cell>
        </row>
        <row r="8205">
          <cell r="F8205" t="str">
            <v>SC42207-071A</v>
          </cell>
          <cell r="G8205" t="str">
            <v>HOUSING</v>
          </cell>
          <cell r="H8205" t="str">
            <v>HOU1480</v>
          </cell>
        </row>
        <row r="8206">
          <cell r="F8206" t="str">
            <v>SMH200-H08PR</v>
          </cell>
          <cell r="G8206" t="str">
            <v>HOUSING</v>
          </cell>
          <cell r="H8206" t="str">
            <v>HOU1479</v>
          </cell>
        </row>
        <row r="8207">
          <cell r="F8207" t="str">
            <v>SC41200-021A</v>
          </cell>
          <cell r="G8207" t="str">
            <v>HOUSING</v>
          </cell>
          <cell r="H8207" t="str">
            <v>HOU1478</v>
          </cell>
        </row>
        <row r="8208">
          <cell r="F8208" t="str">
            <v>25045HP-02B(RE)</v>
          </cell>
          <cell r="G8208" t="str">
            <v>HOUSING</v>
          </cell>
          <cell r="H8208" t="str">
            <v>HOU1477</v>
          </cell>
        </row>
        <row r="8209">
          <cell r="F8209" t="str">
            <v>YLR-06V-B</v>
          </cell>
          <cell r="G8209" t="str">
            <v>HOUSING</v>
          </cell>
          <cell r="H8209" t="str">
            <v>HOU1476</v>
          </cell>
        </row>
        <row r="8210">
          <cell r="F8210" t="str">
            <v>SC42196-051A</v>
          </cell>
          <cell r="G8210" t="str">
            <v>HOUSING</v>
          </cell>
          <cell r="H8210" t="str">
            <v>HOU1475</v>
          </cell>
        </row>
        <row r="8211">
          <cell r="F8211" t="str">
            <v>MG615609</v>
          </cell>
          <cell r="G8211" t="str">
            <v>HOUSING</v>
          </cell>
          <cell r="H8211" t="str">
            <v>HOU1473</v>
          </cell>
        </row>
        <row r="8212">
          <cell r="F8212" t="str">
            <v>35151-0619</v>
          </cell>
          <cell r="G8212" t="str">
            <v>HOUSING</v>
          </cell>
          <cell r="H8212" t="str">
            <v>HOU1472</v>
          </cell>
        </row>
        <row r="8213">
          <cell r="F8213" t="str">
            <v>MG610599</v>
          </cell>
          <cell r="G8213" t="str">
            <v>HOUSING</v>
          </cell>
          <cell r="H8213" t="str">
            <v>HOU1471</v>
          </cell>
        </row>
        <row r="8214">
          <cell r="F8214" t="str">
            <v>YH396-12VR(YE)</v>
          </cell>
          <cell r="G8214" t="str">
            <v>HOUSING</v>
          </cell>
          <cell r="H8214" t="str">
            <v>HOU1469</v>
          </cell>
        </row>
        <row r="8215">
          <cell r="F8215" t="str">
            <v>SC42196-031A</v>
          </cell>
          <cell r="G8215" t="str">
            <v>HOUSING</v>
          </cell>
          <cell r="H8215" t="str">
            <v>HOU1468</v>
          </cell>
        </row>
        <row r="8216">
          <cell r="F8216" t="str">
            <v>SMH200-05PL</v>
          </cell>
          <cell r="G8216" t="str">
            <v>HOUSING</v>
          </cell>
          <cell r="H8216" t="str">
            <v>HOU1466</v>
          </cell>
        </row>
        <row r="8217">
          <cell r="F8217" t="str">
            <v>SMH250-05(RE)</v>
          </cell>
          <cell r="G8217" t="str">
            <v>HOUSING</v>
          </cell>
          <cell r="H8217" t="str">
            <v>HOU1465</v>
          </cell>
        </row>
        <row r="8218">
          <cell r="F8218" t="str">
            <v>MG615610-5</v>
          </cell>
          <cell r="G8218" t="str">
            <v>HOUSING</v>
          </cell>
          <cell r="H8218" t="str">
            <v>HOU1464</v>
          </cell>
        </row>
        <row r="8219">
          <cell r="F8219" t="str">
            <v>MG615610-3</v>
          </cell>
          <cell r="G8219" t="str">
            <v>HOUSING</v>
          </cell>
          <cell r="H8219" t="str">
            <v>HOU1463</v>
          </cell>
        </row>
        <row r="8220">
          <cell r="F8220" t="str">
            <v>MG615610-2</v>
          </cell>
          <cell r="G8220" t="str">
            <v>HOUSING</v>
          </cell>
          <cell r="H8220" t="str">
            <v>HOU1462</v>
          </cell>
        </row>
        <row r="8221">
          <cell r="F8221" t="str">
            <v>MG615610-1</v>
          </cell>
          <cell r="G8221" t="str">
            <v>HOUSING</v>
          </cell>
          <cell r="H8221" t="str">
            <v>HOU1461</v>
          </cell>
        </row>
        <row r="8222">
          <cell r="F8222" t="str">
            <v>MG615610</v>
          </cell>
          <cell r="G8222" t="str">
            <v>HOUSING</v>
          </cell>
          <cell r="H8222" t="str">
            <v>HOU1460</v>
          </cell>
        </row>
        <row r="8223">
          <cell r="F8223" t="str">
            <v>XAP-04V-1</v>
          </cell>
          <cell r="G8223" t="str">
            <v>HOUSING</v>
          </cell>
          <cell r="H8223" t="str">
            <v>HOU1453</v>
          </cell>
        </row>
        <row r="8224">
          <cell r="F8224" t="str">
            <v>SMH250-11(RED)</v>
          </cell>
          <cell r="G8224" t="str">
            <v>HOUSING</v>
          </cell>
          <cell r="H8224" t="str">
            <v>HOU1452</v>
          </cell>
        </row>
        <row r="8225">
          <cell r="F8225" t="str">
            <v>SMP250-04</v>
          </cell>
          <cell r="G8225" t="str">
            <v>HOUSING</v>
          </cell>
          <cell r="H8225" t="str">
            <v>HOU1450</v>
          </cell>
        </row>
        <row r="8226">
          <cell r="F8226" t="str">
            <v>SMH250-07(BL)</v>
          </cell>
          <cell r="G8226" t="str">
            <v>HOUSING</v>
          </cell>
          <cell r="H8226" t="str">
            <v>HOU1448</v>
          </cell>
        </row>
        <row r="8227">
          <cell r="F8227" t="str">
            <v>DEM1-03241</v>
          </cell>
          <cell r="G8227" t="str">
            <v>HOUSING</v>
          </cell>
          <cell r="H8227" t="str">
            <v>HOU1447</v>
          </cell>
        </row>
        <row r="8228">
          <cell r="F8228" t="str">
            <v>SLP-03V</v>
          </cell>
          <cell r="G8228" t="str">
            <v>HOUSING</v>
          </cell>
          <cell r="H8228" t="str">
            <v>HOU1446</v>
          </cell>
        </row>
        <row r="8229">
          <cell r="F8229" t="str">
            <v>SMH250-06(RE)</v>
          </cell>
          <cell r="G8229" t="str">
            <v>HOUSING</v>
          </cell>
          <cell r="H8229" t="str">
            <v>HOU1445</v>
          </cell>
        </row>
        <row r="8230">
          <cell r="F8230" t="str">
            <v>SMH250-07(RE)</v>
          </cell>
          <cell r="G8230" t="str">
            <v>HOUSING</v>
          </cell>
          <cell r="H8230" t="str">
            <v>HOU1444</v>
          </cell>
        </row>
        <row r="8231">
          <cell r="F8231" t="str">
            <v>YH396-11V</v>
          </cell>
          <cell r="G8231" t="str">
            <v>HOUSING</v>
          </cell>
          <cell r="H8231" t="str">
            <v>HOU1443</v>
          </cell>
        </row>
        <row r="8232">
          <cell r="F8232" t="str">
            <v>25045HP-12A(BL)</v>
          </cell>
          <cell r="G8232" t="str">
            <v>HOUSING</v>
          </cell>
          <cell r="H8232" t="str">
            <v>HOU1442</v>
          </cell>
        </row>
        <row r="8233">
          <cell r="F8233" t="str">
            <v>MG610234-5</v>
          </cell>
          <cell r="G8233" t="str">
            <v>HOUSING</v>
          </cell>
          <cell r="H8233" t="str">
            <v>HOU1440</v>
          </cell>
        </row>
        <row r="8234">
          <cell r="F8234" t="str">
            <v>YH396-06V(BLU)</v>
          </cell>
          <cell r="G8234" t="str">
            <v>HOUSING</v>
          </cell>
          <cell r="H8234" t="str">
            <v>HOU1438</v>
          </cell>
        </row>
        <row r="8235">
          <cell r="F8235" t="str">
            <v>MG610234-1</v>
          </cell>
          <cell r="G8235" t="str">
            <v>HOUSING</v>
          </cell>
          <cell r="H8235" t="str">
            <v>HOU1436</v>
          </cell>
        </row>
        <row r="8236">
          <cell r="F8236" t="str">
            <v>YH396-07VR(YEL)</v>
          </cell>
          <cell r="G8236" t="str">
            <v>HOUSING</v>
          </cell>
          <cell r="H8236" t="str">
            <v>HOU1435</v>
          </cell>
        </row>
        <row r="8237">
          <cell r="F8237" t="str">
            <v>25045HP-07A(BLU)</v>
          </cell>
          <cell r="G8237" t="str">
            <v>HOUSING</v>
          </cell>
          <cell r="H8237" t="str">
            <v>HOU1434</v>
          </cell>
        </row>
        <row r="8238">
          <cell r="F8238" t="str">
            <v>MG610981-5</v>
          </cell>
          <cell r="G8238" t="str">
            <v>HOUSING</v>
          </cell>
          <cell r="H8238" t="str">
            <v>HOU1433</v>
          </cell>
        </row>
        <row r="8239">
          <cell r="F8239" t="str">
            <v>VLR-02V</v>
          </cell>
          <cell r="G8239" t="str">
            <v>HOUSING</v>
          </cell>
          <cell r="H8239" t="str">
            <v>HOU1432</v>
          </cell>
        </row>
        <row r="8240">
          <cell r="F8240" t="str">
            <v>VLP-03V</v>
          </cell>
          <cell r="G8240" t="str">
            <v>HOUSING</v>
          </cell>
          <cell r="H8240" t="str">
            <v>HOU1431</v>
          </cell>
        </row>
        <row r="8241">
          <cell r="F8241" t="str">
            <v>5264-09(W)</v>
          </cell>
          <cell r="G8241" t="str">
            <v>HOUSING</v>
          </cell>
          <cell r="H8241" t="str">
            <v>HOU1430</v>
          </cell>
        </row>
        <row r="8242">
          <cell r="F8242" t="str">
            <v>35184-0203</v>
          </cell>
          <cell r="G8242" t="str">
            <v>HOUSING</v>
          </cell>
          <cell r="H8242" t="str">
            <v>HOU1429</v>
          </cell>
        </row>
        <row r="8243">
          <cell r="F8243" t="str">
            <v>YBNH200-02</v>
          </cell>
          <cell r="G8243" t="str">
            <v>HOUSING</v>
          </cell>
          <cell r="H8243" t="str">
            <v>HOU1428</v>
          </cell>
        </row>
        <row r="8244">
          <cell r="F8244" t="str">
            <v>35524-0929</v>
          </cell>
          <cell r="G8244" t="str">
            <v>HOUSING</v>
          </cell>
          <cell r="H8244" t="str">
            <v>HOU1427</v>
          </cell>
        </row>
        <row r="8245">
          <cell r="F8245" t="str">
            <v>YH396-06VR(BL)</v>
          </cell>
          <cell r="G8245" t="str">
            <v>HOUSING</v>
          </cell>
          <cell r="H8245" t="str">
            <v>HOU1426</v>
          </cell>
        </row>
        <row r="8246">
          <cell r="F8246" t="str">
            <v>YH396-06VR(RE)</v>
          </cell>
          <cell r="G8246" t="str">
            <v>HOUSING</v>
          </cell>
          <cell r="H8246" t="str">
            <v>HOU1425</v>
          </cell>
        </row>
        <row r="8247">
          <cell r="F8247" t="str">
            <v>SMH200-06H(RED)</v>
          </cell>
          <cell r="G8247" t="str">
            <v>HOUSING</v>
          </cell>
          <cell r="H8247" t="str">
            <v>HOU1424</v>
          </cell>
        </row>
        <row r="8248">
          <cell r="F8248" t="str">
            <v>YH396-H06PL</v>
          </cell>
          <cell r="G8248" t="str">
            <v>HOUSING</v>
          </cell>
          <cell r="H8248" t="str">
            <v>HOU1423</v>
          </cell>
        </row>
        <row r="8249">
          <cell r="F8249" t="str">
            <v>SMH250-04L(YEL)</v>
          </cell>
          <cell r="G8249" t="str">
            <v>HOUSING</v>
          </cell>
          <cell r="H8249" t="str">
            <v>HOU1422</v>
          </cell>
        </row>
        <row r="8250">
          <cell r="F8250" t="str">
            <v>25045HP-H05C(RED)</v>
          </cell>
          <cell r="G8250" t="str">
            <v>HOUSING</v>
          </cell>
          <cell r="H8250" t="str">
            <v>HOU1421</v>
          </cell>
        </row>
        <row r="8251">
          <cell r="F8251" t="str">
            <v>25045HP-H05C(BLU)</v>
          </cell>
          <cell r="G8251" t="str">
            <v>HOUSING</v>
          </cell>
          <cell r="H8251" t="str">
            <v>HOU1420</v>
          </cell>
        </row>
        <row r="8252">
          <cell r="F8252" t="str">
            <v>SMH200-08H(RE)</v>
          </cell>
          <cell r="G8252" t="str">
            <v>HOUSING</v>
          </cell>
          <cell r="H8252" t="str">
            <v>HOU1419</v>
          </cell>
        </row>
        <row r="8253">
          <cell r="F8253" t="str">
            <v>25045HP-05B(BLU)</v>
          </cell>
          <cell r="G8253" t="str">
            <v>HOUSING</v>
          </cell>
          <cell r="H8253" t="str">
            <v>HOU1418</v>
          </cell>
        </row>
        <row r="8254">
          <cell r="F8254" t="str">
            <v>35181-0214</v>
          </cell>
          <cell r="G8254" t="str">
            <v>HOUSING</v>
          </cell>
          <cell r="H8254" t="str">
            <v>HOU1416</v>
          </cell>
        </row>
        <row r="8255">
          <cell r="F8255" t="str">
            <v>MG624693</v>
          </cell>
          <cell r="G8255" t="str">
            <v>HOUSING</v>
          </cell>
          <cell r="H8255" t="str">
            <v>HOU1415</v>
          </cell>
        </row>
        <row r="8256">
          <cell r="F8256" t="str">
            <v>MG620237</v>
          </cell>
          <cell r="G8256" t="str">
            <v>HOUSING</v>
          </cell>
          <cell r="H8256" t="str">
            <v>HOU1414</v>
          </cell>
        </row>
        <row r="8257">
          <cell r="F8257" t="str">
            <v>MG610236</v>
          </cell>
          <cell r="G8257" t="str">
            <v>HOUSING</v>
          </cell>
          <cell r="H8257" t="str">
            <v>HOU1413</v>
          </cell>
        </row>
        <row r="8258">
          <cell r="F8258" t="str">
            <v>35155-0900</v>
          </cell>
          <cell r="G8258" t="str">
            <v>HOUSING</v>
          </cell>
          <cell r="H8258" t="str">
            <v>HOU1412</v>
          </cell>
        </row>
        <row r="8259">
          <cell r="F8259" t="str">
            <v>35155-0800</v>
          </cell>
          <cell r="G8259" t="str">
            <v>HOUSING</v>
          </cell>
          <cell r="H8259" t="str">
            <v>HOU1411</v>
          </cell>
        </row>
        <row r="8260">
          <cell r="F8260" t="str">
            <v>35156-1000</v>
          </cell>
          <cell r="G8260" t="str">
            <v>HOUSING</v>
          </cell>
          <cell r="H8260" t="str">
            <v>HOU1410</v>
          </cell>
        </row>
        <row r="8261">
          <cell r="F8261" t="str">
            <v>35156-0400</v>
          </cell>
          <cell r="G8261" t="str">
            <v>HOUSING</v>
          </cell>
          <cell r="H8261" t="str">
            <v>HOU1409</v>
          </cell>
        </row>
        <row r="8262">
          <cell r="F8262" t="str">
            <v>1897627-1</v>
          </cell>
          <cell r="G8262" t="str">
            <v>HOUSING</v>
          </cell>
          <cell r="H8262" t="str">
            <v>HOU1407</v>
          </cell>
        </row>
        <row r="8263">
          <cell r="F8263" t="str">
            <v>35155-1000</v>
          </cell>
          <cell r="G8263" t="str">
            <v>HOUSING</v>
          </cell>
          <cell r="H8263" t="str">
            <v>HOU1406</v>
          </cell>
        </row>
        <row r="8264">
          <cell r="F8264" t="str">
            <v>35155-0700</v>
          </cell>
          <cell r="G8264" t="str">
            <v>HOUSING</v>
          </cell>
          <cell r="H8264" t="str">
            <v>HOU1405</v>
          </cell>
        </row>
        <row r="8265">
          <cell r="F8265" t="str">
            <v>YH396-H05PL(RED)</v>
          </cell>
          <cell r="G8265" t="str">
            <v>HOUSING</v>
          </cell>
          <cell r="H8265" t="str">
            <v>HOU1404</v>
          </cell>
        </row>
        <row r="8266">
          <cell r="F8266" t="str">
            <v>YH396-03B</v>
          </cell>
          <cell r="G8266" t="str">
            <v>HOUSING</v>
          </cell>
          <cell r="H8266" t="str">
            <v>HOU1403</v>
          </cell>
        </row>
        <row r="8267">
          <cell r="F8267" t="str">
            <v>35184-1002</v>
          </cell>
          <cell r="G8267" t="str">
            <v>HOUSING</v>
          </cell>
          <cell r="H8267" t="str">
            <v>HOU1402</v>
          </cell>
        </row>
        <row r="8268">
          <cell r="F8268" t="str">
            <v>35150-4219</v>
          </cell>
          <cell r="G8268" t="str">
            <v>HOUSING</v>
          </cell>
          <cell r="H8268" t="str">
            <v>HOU1401</v>
          </cell>
        </row>
        <row r="8269">
          <cell r="F8269" t="str">
            <v>35151-0319</v>
          </cell>
          <cell r="G8269" t="str">
            <v>HOUSING</v>
          </cell>
          <cell r="H8269" t="str">
            <v>HOU1400</v>
          </cell>
        </row>
        <row r="8270">
          <cell r="F8270" t="str">
            <v>YH396-08B</v>
          </cell>
          <cell r="G8270" t="str">
            <v>HOUSING</v>
          </cell>
          <cell r="H8270" t="str">
            <v>HOU1399</v>
          </cell>
        </row>
        <row r="8271">
          <cell r="F8271" t="str">
            <v>YH396-07B</v>
          </cell>
          <cell r="G8271" t="str">
            <v>HOUSING</v>
          </cell>
          <cell r="H8271" t="str">
            <v>HOU1398</v>
          </cell>
        </row>
        <row r="8272">
          <cell r="F8272" t="str">
            <v>YH396-05B</v>
          </cell>
          <cell r="G8272" t="str">
            <v>HOUSING</v>
          </cell>
          <cell r="H8272" t="str">
            <v>HOU1397</v>
          </cell>
        </row>
        <row r="8273">
          <cell r="F8273" t="str">
            <v>WB25B-005-414</v>
          </cell>
          <cell r="G8273" t="str">
            <v>HOUSING</v>
          </cell>
          <cell r="H8273" t="str">
            <v>HOU1394</v>
          </cell>
        </row>
        <row r="8274">
          <cell r="F8274" t="str">
            <v>35151-0419</v>
          </cell>
          <cell r="G8274" t="str">
            <v>HOUSING</v>
          </cell>
          <cell r="H8274" t="str">
            <v>HOU1391</v>
          </cell>
        </row>
        <row r="8275">
          <cell r="F8275" t="str">
            <v>35184-1100</v>
          </cell>
          <cell r="G8275" t="str">
            <v>HOUSING</v>
          </cell>
          <cell r="H8275" t="str">
            <v>HOU1390</v>
          </cell>
        </row>
        <row r="8276">
          <cell r="F8276" t="str">
            <v>35151-4319</v>
          </cell>
          <cell r="G8276" t="str">
            <v>HOUSING</v>
          </cell>
          <cell r="H8276" t="str">
            <v>HOU1389</v>
          </cell>
        </row>
        <row r="8277">
          <cell r="F8277" t="str">
            <v>SMH200-02PL</v>
          </cell>
          <cell r="G8277" t="str">
            <v>HOUSING</v>
          </cell>
          <cell r="H8277" t="str">
            <v>HOU1388</v>
          </cell>
        </row>
        <row r="8278">
          <cell r="F8278" t="str">
            <v>96.031.4553.1</v>
          </cell>
          <cell r="G8278" t="str">
            <v>HOUSING</v>
          </cell>
          <cell r="H8278" t="str">
            <v>HOU1387</v>
          </cell>
        </row>
        <row r="8279">
          <cell r="F8279" t="str">
            <v>35184-0402</v>
          </cell>
          <cell r="G8279" t="str">
            <v>HOUSING</v>
          </cell>
          <cell r="H8279" t="str">
            <v>HOU1386</v>
          </cell>
        </row>
        <row r="8280">
          <cell r="F8280" t="str">
            <v>35155-0203</v>
          </cell>
          <cell r="G8280" t="str">
            <v>HOUSING</v>
          </cell>
          <cell r="H8280" t="str">
            <v>HOU1385</v>
          </cell>
        </row>
        <row r="8281">
          <cell r="F8281" t="str">
            <v>25045HP-06A(BL)</v>
          </cell>
          <cell r="G8281" t="str">
            <v>HOUSING</v>
          </cell>
          <cell r="H8281" t="str">
            <v>HOU1384</v>
          </cell>
        </row>
        <row r="8282">
          <cell r="F8282" t="str">
            <v>MG615603</v>
          </cell>
          <cell r="G8282" t="str">
            <v>HOUSING</v>
          </cell>
          <cell r="H8282" t="str">
            <v>HOU1383</v>
          </cell>
        </row>
        <row r="8283">
          <cell r="F8283" t="str">
            <v>5264-07(W)</v>
          </cell>
          <cell r="G8283" t="str">
            <v>HOUSING</v>
          </cell>
          <cell r="H8283" t="str">
            <v>HOU1382</v>
          </cell>
        </row>
        <row r="8284">
          <cell r="F8284" t="str">
            <v>5264-06(W)</v>
          </cell>
          <cell r="G8284" t="str">
            <v>HOUSING</v>
          </cell>
          <cell r="H8284" t="str">
            <v>HOU1381</v>
          </cell>
        </row>
        <row r="8285">
          <cell r="F8285" t="str">
            <v>35156-0600</v>
          </cell>
          <cell r="G8285" t="str">
            <v>HOUSING</v>
          </cell>
          <cell r="H8285" t="str">
            <v>HOU1380</v>
          </cell>
        </row>
        <row r="8286">
          <cell r="F8286" t="str">
            <v>35155-0600</v>
          </cell>
          <cell r="G8286" t="str">
            <v>HOUSING</v>
          </cell>
          <cell r="H8286" t="str">
            <v>HOU1379</v>
          </cell>
        </row>
        <row r="8287">
          <cell r="F8287" t="str">
            <v>35184-0900</v>
          </cell>
          <cell r="G8287" t="str">
            <v>HOUSING</v>
          </cell>
          <cell r="H8287" t="str">
            <v>HOU1378</v>
          </cell>
        </row>
        <row r="8288">
          <cell r="F8288" t="str">
            <v>5264-11(W)</v>
          </cell>
          <cell r="G8288" t="str">
            <v>HOUSING</v>
          </cell>
          <cell r="H8288" t="str">
            <v>HOU1377</v>
          </cell>
        </row>
        <row r="8289">
          <cell r="F8289" t="str">
            <v>5264-10(W)</v>
          </cell>
          <cell r="G8289" t="str">
            <v>HOUSING</v>
          </cell>
          <cell r="H8289" t="str">
            <v>HOU1376</v>
          </cell>
        </row>
        <row r="8290">
          <cell r="F8290" t="str">
            <v>GHR-04V-S</v>
          </cell>
          <cell r="G8290" t="str">
            <v>HOUSING</v>
          </cell>
          <cell r="H8290" t="str">
            <v>HOU1375</v>
          </cell>
        </row>
        <row r="8291">
          <cell r="F8291" t="str">
            <v>25045HP-04B</v>
          </cell>
          <cell r="G8291" t="str">
            <v>HOUSING</v>
          </cell>
          <cell r="H8291" t="str">
            <v>HOU1374</v>
          </cell>
        </row>
        <row r="8292">
          <cell r="F8292" t="str">
            <v>15001HS-05</v>
          </cell>
          <cell r="G8292" t="str">
            <v>HOUSING</v>
          </cell>
          <cell r="H8292" t="str">
            <v>HOU1373</v>
          </cell>
        </row>
        <row r="8293">
          <cell r="F8293" t="str">
            <v>DEM1-B0034</v>
          </cell>
          <cell r="G8293" t="str">
            <v>HOUSING</v>
          </cell>
          <cell r="H8293" t="str">
            <v>HOU1372</v>
          </cell>
        </row>
        <row r="8294">
          <cell r="F8294" t="str">
            <v>MG620429</v>
          </cell>
          <cell r="G8294" t="str">
            <v>HOUSING</v>
          </cell>
          <cell r="H8294" t="str">
            <v>HOU1371</v>
          </cell>
        </row>
        <row r="8295">
          <cell r="F8295" t="str">
            <v>YMH025-09R</v>
          </cell>
          <cell r="G8295" t="str">
            <v>HOUSING</v>
          </cell>
          <cell r="H8295" t="str">
            <v>HOU1370</v>
          </cell>
        </row>
        <row r="8296">
          <cell r="F8296" t="str">
            <v>MG621533</v>
          </cell>
          <cell r="G8296" t="str">
            <v>HOUSING</v>
          </cell>
          <cell r="H8296" t="str">
            <v>HOU1369</v>
          </cell>
        </row>
        <row r="8297">
          <cell r="F8297" t="str">
            <v>MG620229</v>
          </cell>
          <cell r="G8297" t="str">
            <v>HOUSING</v>
          </cell>
          <cell r="H8297" t="str">
            <v>HOU1368</v>
          </cell>
        </row>
        <row r="8298">
          <cell r="F8298" t="str">
            <v>SMP250-09</v>
          </cell>
          <cell r="G8298" t="str">
            <v>HOUSING</v>
          </cell>
          <cell r="H8298" t="str">
            <v>HOU1367</v>
          </cell>
        </row>
        <row r="8299">
          <cell r="F8299" t="str">
            <v>SMH250-09</v>
          </cell>
          <cell r="G8299" t="str">
            <v>HOUSING</v>
          </cell>
          <cell r="H8299" t="str">
            <v>HOU1366</v>
          </cell>
        </row>
        <row r="8300">
          <cell r="F8300" t="str">
            <v>SMP-04V-BC</v>
          </cell>
          <cell r="G8300" t="str">
            <v>HOUSING</v>
          </cell>
          <cell r="H8300" t="str">
            <v>HOU1365</v>
          </cell>
        </row>
        <row r="8301">
          <cell r="F8301" t="str">
            <v>SMR-04V-B</v>
          </cell>
          <cell r="G8301" t="str">
            <v>HOUSING</v>
          </cell>
          <cell r="H8301" t="str">
            <v>HOU1364</v>
          </cell>
        </row>
        <row r="8302">
          <cell r="F8302" t="str">
            <v>MG621158</v>
          </cell>
          <cell r="G8302" t="str">
            <v>HOUSING</v>
          </cell>
          <cell r="H8302" t="str">
            <v>HOU1363</v>
          </cell>
        </row>
        <row r="8303">
          <cell r="F8303" t="str">
            <v>MG610136</v>
          </cell>
          <cell r="G8303" t="str">
            <v>HOUSING</v>
          </cell>
          <cell r="H8303" t="str">
            <v>HOU1362</v>
          </cell>
        </row>
        <row r="8304">
          <cell r="F8304" t="str">
            <v>5264-04(W)</v>
          </cell>
          <cell r="G8304" t="str">
            <v>HOUSING</v>
          </cell>
          <cell r="H8304" t="str">
            <v>HOU1361</v>
          </cell>
        </row>
        <row r="8305">
          <cell r="F8305" t="str">
            <v>35572-1100</v>
          </cell>
          <cell r="G8305" t="str">
            <v>HOUSING</v>
          </cell>
          <cell r="H8305" t="str">
            <v>HOU1360</v>
          </cell>
        </row>
        <row r="8306">
          <cell r="F8306" t="str">
            <v>35572-1002</v>
          </cell>
          <cell r="G8306" t="str">
            <v>HOUSING</v>
          </cell>
          <cell r="H8306" t="str">
            <v>HOU1359</v>
          </cell>
        </row>
        <row r="8307">
          <cell r="F8307" t="str">
            <v>35572-0500</v>
          </cell>
          <cell r="G8307" t="str">
            <v>HOUSING</v>
          </cell>
          <cell r="H8307" t="str">
            <v>HOU1358</v>
          </cell>
        </row>
        <row r="8308">
          <cell r="F8308" t="str">
            <v>35572-0402</v>
          </cell>
          <cell r="G8308" t="str">
            <v>HOUSING</v>
          </cell>
          <cell r="H8308" t="str">
            <v>HOU1357</v>
          </cell>
        </row>
        <row r="8309">
          <cell r="F8309" t="str">
            <v>35184-1000</v>
          </cell>
          <cell r="G8309" t="str">
            <v>HOUSING</v>
          </cell>
          <cell r="H8309" t="str">
            <v>HOU1356</v>
          </cell>
        </row>
        <row r="8310">
          <cell r="F8310" t="str">
            <v>35184-0700</v>
          </cell>
          <cell r="G8310" t="str">
            <v>HOUSING</v>
          </cell>
          <cell r="H8310" t="str">
            <v>HOU1355</v>
          </cell>
        </row>
        <row r="8311">
          <cell r="F8311" t="str">
            <v>35156-0800</v>
          </cell>
          <cell r="G8311" t="str">
            <v>HOUSING</v>
          </cell>
          <cell r="H8311" t="str">
            <v>HOU1354</v>
          </cell>
        </row>
        <row r="8312">
          <cell r="F8312" t="str">
            <v>35156-0500</v>
          </cell>
          <cell r="G8312" t="str">
            <v>HOUSING</v>
          </cell>
          <cell r="H8312" t="str">
            <v>HOU1353</v>
          </cell>
        </row>
        <row r="8313">
          <cell r="F8313" t="str">
            <v>35155-0400</v>
          </cell>
          <cell r="G8313" t="str">
            <v>HOUSING</v>
          </cell>
          <cell r="H8313" t="str">
            <v>HOU1352</v>
          </cell>
        </row>
        <row r="8314">
          <cell r="F8314" t="str">
            <v>794189-1</v>
          </cell>
          <cell r="G8314" t="str">
            <v>HOUSING</v>
          </cell>
          <cell r="H8314" t="str">
            <v>HOU1351</v>
          </cell>
        </row>
        <row r="8315">
          <cell r="F8315" t="str">
            <v>SMH420-02(GR)</v>
          </cell>
          <cell r="G8315" t="str">
            <v>HOUSING</v>
          </cell>
          <cell r="H8315" t="str">
            <v>HOU1350</v>
          </cell>
        </row>
        <row r="8316">
          <cell r="F8316" t="str">
            <v>MG634873K</v>
          </cell>
          <cell r="G8316" t="str">
            <v>HOUSING</v>
          </cell>
          <cell r="H8316" t="str">
            <v>HOU1349</v>
          </cell>
        </row>
        <row r="8317">
          <cell r="F8317" t="str">
            <v>DEM2-00321</v>
          </cell>
          <cell r="G8317" t="str">
            <v>HOUSING</v>
          </cell>
          <cell r="H8317" t="str">
            <v>HOU1348</v>
          </cell>
        </row>
        <row r="8318">
          <cell r="F8318" t="str">
            <v>DEM1-B0041</v>
          </cell>
          <cell r="G8318" t="str">
            <v>HOUSING</v>
          </cell>
          <cell r="H8318" t="str">
            <v>HOU1347</v>
          </cell>
        </row>
        <row r="8319">
          <cell r="F8319" t="str">
            <v>MG615588</v>
          </cell>
          <cell r="G8319" t="str">
            <v>HOUSING</v>
          </cell>
          <cell r="H8319" t="str">
            <v>HOU1346</v>
          </cell>
        </row>
        <row r="8320">
          <cell r="F8320" t="str">
            <v>96.032.5053.1</v>
          </cell>
          <cell r="G8320" t="str">
            <v>HOUSING</v>
          </cell>
          <cell r="H8320" t="str">
            <v>HOU1339</v>
          </cell>
        </row>
        <row r="8321">
          <cell r="F8321" t="str">
            <v>SMH250-04</v>
          </cell>
          <cell r="G8321" t="str">
            <v>HOUSING</v>
          </cell>
          <cell r="H8321" t="str">
            <v>HOU1338</v>
          </cell>
        </row>
        <row r="8322">
          <cell r="F8322" t="str">
            <v>25045HP-12A</v>
          </cell>
          <cell r="G8322" t="str">
            <v>HOUSING</v>
          </cell>
          <cell r="H8322" t="str">
            <v>HOU1336</v>
          </cell>
        </row>
        <row r="8323">
          <cell r="F8323" t="str">
            <v>WW45A-020-179</v>
          </cell>
          <cell r="G8323" t="str">
            <v>HOUSING</v>
          </cell>
          <cell r="H8323" t="str">
            <v>HOU1335</v>
          </cell>
        </row>
        <row r="8324">
          <cell r="F8324" t="str">
            <v>WW45A-020-173</v>
          </cell>
          <cell r="G8324" t="str">
            <v>HOUSING</v>
          </cell>
          <cell r="H8324" t="str">
            <v>HOU1334</v>
          </cell>
        </row>
        <row r="8325">
          <cell r="F8325" t="str">
            <v>WW45A-020-174</v>
          </cell>
          <cell r="G8325" t="str">
            <v>HOUSING</v>
          </cell>
          <cell r="H8325" t="str">
            <v>HOU1333</v>
          </cell>
        </row>
        <row r="8326">
          <cell r="F8326" t="str">
            <v>WW45A-016-176</v>
          </cell>
          <cell r="G8326" t="str">
            <v>HOUSING</v>
          </cell>
          <cell r="H8326" t="str">
            <v>HOU1332</v>
          </cell>
        </row>
        <row r="8327">
          <cell r="F8327" t="str">
            <v>WW45A-016-173</v>
          </cell>
          <cell r="G8327" t="str">
            <v>HOUSING</v>
          </cell>
          <cell r="H8327" t="str">
            <v>HOU1331</v>
          </cell>
        </row>
        <row r="8328">
          <cell r="F8328" t="str">
            <v>WW45A-012-173</v>
          </cell>
          <cell r="G8328" t="str">
            <v>HOUSING</v>
          </cell>
          <cell r="H8328" t="str">
            <v>HOU1330</v>
          </cell>
        </row>
        <row r="8329">
          <cell r="F8329" t="str">
            <v>WW45A-010-172</v>
          </cell>
          <cell r="G8329" t="str">
            <v>HOUSING</v>
          </cell>
          <cell r="H8329" t="str">
            <v>HOU1329</v>
          </cell>
        </row>
        <row r="8330">
          <cell r="F8330" t="str">
            <v>WW45A-010-176</v>
          </cell>
          <cell r="G8330" t="str">
            <v>HOUSING</v>
          </cell>
          <cell r="H8330" t="str">
            <v>HOU1328</v>
          </cell>
        </row>
        <row r="8331">
          <cell r="F8331" t="str">
            <v>WW45A-008-173</v>
          </cell>
          <cell r="G8331" t="str">
            <v>HOUSING</v>
          </cell>
          <cell r="H8331" t="str">
            <v>HOU1327</v>
          </cell>
        </row>
        <row r="8332">
          <cell r="F8332" t="str">
            <v>WW45A-006-176</v>
          </cell>
          <cell r="G8332" t="str">
            <v>HOUSING</v>
          </cell>
          <cell r="H8332" t="str">
            <v>HOU1326</v>
          </cell>
        </row>
        <row r="8333">
          <cell r="F8333" t="str">
            <v>WW45A-006-173</v>
          </cell>
          <cell r="G8333" t="str">
            <v>HOUSING</v>
          </cell>
          <cell r="H8333" t="str">
            <v>HOU1325</v>
          </cell>
        </row>
        <row r="8334">
          <cell r="F8334" t="str">
            <v>WW45A-004-174</v>
          </cell>
          <cell r="G8334" t="str">
            <v>HOUSING</v>
          </cell>
          <cell r="H8334" t="str">
            <v>HOU1324</v>
          </cell>
        </row>
        <row r="8335">
          <cell r="F8335" t="str">
            <v>WW45A-004-173</v>
          </cell>
          <cell r="G8335" t="str">
            <v>HOUSING</v>
          </cell>
          <cell r="H8335" t="str">
            <v>HOU1323</v>
          </cell>
        </row>
        <row r="8336">
          <cell r="F8336" t="str">
            <v>WW45A-003-172</v>
          </cell>
          <cell r="G8336" t="str">
            <v>HOUSING</v>
          </cell>
          <cell r="H8336" t="str">
            <v>HOU1322</v>
          </cell>
        </row>
        <row r="8337">
          <cell r="F8337" t="str">
            <v>WW45A-003-171</v>
          </cell>
          <cell r="G8337" t="str">
            <v>HOUSING</v>
          </cell>
          <cell r="H8337" t="str">
            <v>HOU1321</v>
          </cell>
        </row>
        <row r="8338">
          <cell r="F8338" t="str">
            <v>WW45A-002-172</v>
          </cell>
          <cell r="G8338" t="str">
            <v>HOUSING</v>
          </cell>
          <cell r="H8338" t="str">
            <v>HOU1320</v>
          </cell>
        </row>
        <row r="8339">
          <cell r="F8339" t="str">
            <v>WW45A-020-279</v>
          </cell>
          <cell r="G8339" t="str">
            <v>HOUSING</v>
          </cell>
          <cell r="H8339" t="str">
            <v>HOU1319</v>
          </cell>
        </row>
        <row r="8340">
          <cell r="F8340" t="str">
            <v>WW45A-020-273</v>
          </cell>
          <cell r="G8340" t="str">
            <v>HOUSING</v>
          </cell>
          <cell r="H8340" t="str">
            <v>HOU1318</v>
          </cell>
        </row>
        <row r="8341">
          <cell r="F8341" t="str">
            <v>WW45A-016-276</v>
          </cell>
          <cell r="G8341" t="str">
            <v>HOUSING</v>
          </cell>
          <cell r="H8341" t="str">
            <v>HOU1317</v>
          </cell>
        </row>
        <row r="8342">
          <cell r="F8342" t="str">
            <v>WW45A-016-273</v>
          </cell>
          <cell r="G8342" t="str">
            <v>HOUSING</v>
          </cell>
          <cell r="H8342" t="str">
            <v>HOU1316</v>
          </cell>
        </row>
        <row r="8343">
          <cell r="F8343" t="str">
            <v>WW45A-012-273</v>
          </cell>
          <cell r="G8343" t="str">
            <v>HOUSING</v>
          </cell>
          <cell r="H8343" t="str">
            <v>HOU1315</v>
          </cell>
        </row>
        <row r="8344">
          <cell r="F8344" t="str">
            <v>WW45A-010-276</v>
          </cell>
          <cell r="G8344" t="str">
            <v>HOUSING</v>
          </cell>
          <cell r="H8344" t="str">
            <v>HOU1314</v>
          </cell>
        </row>
        <row r="8345">
          <cell r="F8345" t="str">
            <v>WW45A-010-271</v>
          </cell>
          <cell r="G8345" t="str">
            <v>HOUSING</v>
          </cell>
          <cell r="H8345" t="str">
            <v>HOU1313</v>
          </cell>
        </row>
        <row r="8346">
          <cell r="F8346" t="str">
            <v>WW45A-008-273</v>
          </cell>
          <cell r="G8346" t="str">
            <v>HOUSING</v>
          </cell>
          <cell r="H8346" t="str">
            <v>HOU1312</v>
          </cell>
        </row>
        <row r="8347">
          <cell r="F8347" t="str">
            <v>WW45A-006-276</v>
          </cell>
          <cell r="G8347" t="str">
            <v>HOUSING</v>
          </cell>
          <cell r="H8347" t="str">
            <v>HOU1311</v>
          </cell>
        </row>
        <row r="8348">
          <cell r="F8348" t="str">
            <v>WW45A-006-273</v>
          </cell>
          <cell r="G8348" t="str">
            <v>HOUSING</v>
          </cell>
          <cell r="H8348" t="str">
            <v>HOU1310</v>
          </cell>
        </row>
        <row r="8349">
          <cell r="F8349" t="str">
            <v>WW45A-004-273</v>
          </cell>
          <cell r="G8349" t="str">
            <v>HOUSING</v>
          </cell>
          <cell r="H8349" t="str">
            <v>HOU1309</v>
          </cell>
        </row>
        <row r="8350">
          <cell r="F8350" t="str">
            <v>WW45A-003-271</v>
          </cell>
          <cell r="G8350" t="str">
            <v>HOUSING</v>
          </cell>
          <cell r="H8350" t="str">
            <v>HOU1308</v>
          </cell>
        </row>
        <row r="8351">
          <cell r="F8351" t="str">
            <v>WW45A-002-271</v>
          </cell>
          <cell r="G8351" t="str">
            <v>HOUSING</v>
          </cell>
          <cell r="H8351" t="str">
            <v>HOU1307</v>
          </cell>
        </row>
        <row r="8352">
          <cell r="F8352" t="str">
            <v>SC41199-021A</v>
          </cell>
          <cell r="G8352" t="str">
            <v>HOUSING</v>
          </cell>
          <cell r="H8352" t="str">
            <v>HOU1306</v>
          </cell>
        </row>
        <row r="8353">
          <cell r="F8353" t="str">
            <v>SC42196-061A</v>
          </cell>
          <cell r="G8353" t="str">
            <v>HOUSING</v>
          </cell>
          <cell r="H8353" t="str">
            <v>HOU1305</v>
          </cell>
        </row>
        <row r="8354">
          <cell r="F8354" t="str">
            <v>SC42196-021A</v>
          </cell>
          <cell r="G8354" t="str">
            <v>HOUSING</v>
          </cell>
          <cell r="H8354" t="str">
            <v>HOU1303</v>
          </cell>
        </row>
        <row r="8355">
          <cell r="F8355" t="str">
            <v>SC42195-071A</v>
          </cell>
          <cell r="G8355" t="str">
            <v>HOUSING</v>
          </cell>
          <cell r="H8355" t="str">
            <v>HOU1302</v>
          </cell>
        </row>
        <row r="8356">
          <cell r="F8356" t="str">
            <v>MG610224-1</v>
          </cell>
          <cell r="G8356" t="str">
            <v>HOUSING</v>
          </cell>
          <cell r="H8356" t="str">
            <v>HOU1301</v>
          </cell>
        </row>
        <row r="8357">
          <cell r="F8357" t="str">
            <v>SMH250-12L(BLU)</v>
          </cell>
          <cell r="G8357" t="str">
            <v>HOUSING</v>
          </cell>
          <cell r="H8357" t="str">
            <v>HOU1299</v>
          </cell>
        </row>
        <row r="8358">
          <cell r="F8358" t="str">
            <v>MG625442</v>
          </cell>
          <cell r="G8358" t="str">
            <v>HOUSING</v>
          </cell>
          <cell r="H8358" t="str">
            <v>HOU1298</v>
          </cell>
        </row>
        <row r="8359">
          <cell r="F8359" t="str">
            <v>VHR-7N</v>
          </cell>
          <cell r="G8359" t="str">
            <v>HOUSING</v>
          </cell>
          <cell r="H8359" t="str">
            <v>HOU1290</v>
          </cell>
        </row>
        <row r="8360">
          <cell r="F8360" t="str">
            <v>VHR-6N</v>
          </cell>
          <cell r="G8360" t="str">
            <v>HOUSING</v>
          </cell>
          <cell r="H8360" t="str">
            <v>HOU1289</v>
          </cell>
        </row>
        <row r="8361">
          <cell r="F8361" t="str">
            <v>VHR-5N</v>
          </cell>
          <cell r="G8361" t="str">
            <v>HOUSING</v>
          </cell>
          <cell r="H8361" t="str">
            <v>HOU1288</v>
          </cell>
        </row>
        <row r="8362">
          <cell r="F8362" t="str">
            <v>VHR-3N</v>
          </cell>
          <cell r="G8362" t="str">
            <v>HOUSING</v>
          </cell>
          <cell r="H8362" t="str">
            <v>HOU1286</v>
          </cell>
        </row>
        <row r="8363">
          <cell r="F8363" t="str">
            <v>VHR-2N</v>
          </cell>
          <cell r="G8363" t="str">
            <v>HOUSING</v>
          </cell>
          <cell r="H8363" t="str">
            <v>HOU1285</v>
          </cell>
        </row>
        <row r="8364">
          <cell r="F8364" t="str">
            <v>35818-9290</v>
          </cell>
          <cell r="G8364" t="str">
            <v>HOUSING</v>
          </cell>
          <cell r="H8364" t="str">
            <v>HOU1284</v>
          </cell>
        </row>
        <row r="8365">
          <cell r="F8365" t="str">
            <v>SMH420-06</v>
          </cell>
          <cell r="G8365" t="str">
            <v>HOUSING</v>
          </cell>
          <cell r="H8365" t="str">
            <v>HOU1283</v>
          </cell>
        </row>
        <row r="8366">
          <cell r="F8366" t="str">
            <v>MG621934-5</v>
          </cell>
          <cell r="G8366" t="str">
            <v>HOUSING</v>
          </cell>
          <cell r="H8366" t="str">
            <v>HOU1282</v>
          </cell>
        </row>
        <row r="8367">
          <cell r="F8367" t="str">
            <v>65002HS-02</v>
          </cell>
          <cell r="G8367" t="str">
            <v>HOUSING</v>
          </cell>
          <cell r="H8367" t="str">
            <v>HOU1281</v>
          </cell>
        </row>
        <row r="8368">
          <cell r="F8368" t="str">
            <v>SMH200-20C</v>
          </cell>
          <cell r="G8368" t="str">
            <v>HOUSING</v>
          </cell>
          <cell r="H8368" t="str">
            <v>HOU1280</v>
          </cell>
        </row>
        <row r="8369">
          <cell r="F8369" t="str">
            <v>SMH200-18C</v>
          </cell>
          <cell r="G8369" t="str">
            <v>HOUSING</v>
          </cell>
          <cell r="H8369" t="str">
            <v>HOU1279</v>
          </cell>
        </row>
        <row r="8370">
          <cell r="F8370" t="str">
            <v>174360-7</v>
          </cell>
          <cell r="G8370" t="str">
            <v>HOUSING</v>
          </cell>
          <cell r="H8370" t="str">
            <v>HOU1277</v>
          </cell>
        </row>
        <row r="8371">
          <cell r="F8371" t="str">
            <v>174359-2</v>
          </cell>
          <cell r="G8371" t="str">
            <v>HOUSING</v>
          </cell>
          <cell r="H8371" t="str">
            <v>HOU1276</v>
          </cell>
        </row>
        <row r="8372">
          <cell r="F8372" t="str">
            <v>174355-7</v>
          </cell>
          <cell r="G8372" t="str">
            <v>HOUSING</v>
          </cell>
          <cell r="H8372" t="str">
            <v>HOU1275</v>
          </cell>
        </row>
        <row r="8373">
          <cell r="F8373" t="str">
            <v>174354-2</v>
          </cell>
          <cell r="G8373" t="str">
            <v>HOUSING</v>
          </cell>
          <cell r="H8373" t="str">
            <v>HOU1274</v>
          </cell>
        </row>
        <row r="8374">
          <cell r="F8374" t="str">
            <v>172506-1</v>
          </cell>
          <cell r="G8374" t="str">
            <v>HOUSING</v>
          </cell>
          <cell r="H8374" t="str">
            <v>HOU1273</v>
          </cell>
        </row>
        <row r="8375">
          <cell r="F8375" t="str">
            <v>172496-1</v>
          </cell>
          <cell r="G8375" t="str">
            <v>HOUSING</v>
          </cell>
          <cell r="H8375" t="str">
            <v>HOU1272</v>
          </cell>
        </row>
        <row r="8376">
          <cell r="F8376" t="str">
            <v>172504-1</v>
          </cell>
          <cell r="G8376" t="str">
            <v>HOUSING</v>
          </cell>
          <cell r="H8376" t="str">
            <v>HOU1271</v>
          </cell>
        </row>
        <row r="8377">
          <cell r="F8377" t="str">
            <v>MG634833S-5</v>
          </cell>
          <cell r="G8377" t="str">
            <v>HOUSING</v>
          </cell>
          <cell r="H8377" t="str">
            <v>HOU1270</v>
          </cell>
        </row>
        <row r="8378">
          <cell r="F8378" t="str">
            <v>MG634833S-1</v>
          </cell>
          <cell r="G8378" t="str">
            <v>HOUSING</v>
          </cell>
          <cell r="H8378" t="str">
            <v>HOU1269</v>
          </cell>
        </row>
        <row r="8379">
          <cell r="F8379" t="str">
            <v>MG635161-2</v>
          </cell>
          <cell r="G8379" t="str">
            <v>HOUSING</v>
          </cell>
          <cell r="H8379" t="str">
            <v>HOU1268</v>
          </cell>
        </row>
        <row r="8380">
          <cell r="F8380" t="str">
            <v>MG610008</v>
          </cell>
          <cell r="G8380" t="str">
            <v>HOUSING</v>
          </cell>
          <cell r="H8380" t="str">
            <v>HOU1266</v>
          </cell>
        </row>
        <row r="8381">
          <cell r="F8381" t="str">
            <v>MG640341-5</v>
          </cell>
          <cell r="G8381" t="str">
            <v>HOUSING</v>
          </cell>
          <cell r="H8381" t="str">
            <v>HOU1262</v>
          </cell>
        </row>
        <row r="8382">
          <cell r="F8382" t="str">
            <v>MG640337-5</v>
          </cell>
          <cell r="G8382" t="str">
            <v>HOUSING</v>
          </cell>
          <cell r="H8382" t="str">
            <v>HOU1261</v>
          </cell>
        </row>
        <row r="8383">
          <cell r="F8383" t="str">
            <v>SMH200-04PL(BK)</v>
          </cell>
          <cell r="G8383" t="str">
            <v>HOUSING</v>
          </cell>
          <cell r="H8383" t="str">
            <v>HOU1258</v>
          </cell>
        </row>
        <row r="8384">
          <cell r="F8384" t="str">
            <v>SMH200-04PL(RE)</v>
          </cell>
          <cell r="G8384" t="str">
            <v>HOUSING</v>
          </cell>
          <cell r="H8384" t="str">
            <v>HOU1257</v>
          </cell>
        </row>
        <row r="8385">
          <cell r="F8385" t="str">
            <v>SMH250-16V</v>
          </cell>
          <cell r="G8385" t="str">
            <v>HOUSING</v>
          </cell>
          <cell r="H8385" t="str">
            <v>HOU1256</v>
          </cell>
        </row>
        <row r="8386">
          <cell r="F8386" t="str">
            <v>SMH200-04H(BK)</v>
          </cell>
          <cell r="G8386" t="str">
            <v>HOUSING</v>
          </cell>
          <cell r="H8386" t="str">
            <v>HOU1255</v>
          </cell>
        </row>
        <row r="8387">
          <cell r="F8387" t="str">
            <v>MG640322-5</v>
          </cell>
          <cell r="G8387" t="str">
            <v>HOUSING</v>
          </cell>
          <cell r="H8387" t="str">
            <v>HOU1252</v>
          </cell>
        </row>
        <row r="8388">
          <cell r="F8388" t="str">
            <v>25045HP-06B</v>
          </cell>
          <cell r="G8388" t="str">
            <v>HOUSING</v>
          </cell>
          <cell r="H8388" t="str">
            <v>HOU1251</v>
          </cell>
        </row>
        <row r="8389">
          <cell r="F8389" t="str">
            <v>MG611468T</v>
          </cell>
          <cell r="G8389" t="str">
            <v>HOUSING</v>
          </cell>
          <cell r="H8389" t="str">
            <v>HOU1250</v>
          </cell>
        </row>
        <row r="8390">
          <cell r="F8390" t="str">
            <v>MG640352-5</v>
          </cell>
          <cell r="G8390" t="str">
            <v>HOUSING</v>
          </cell>
          <cell r="H8390" t="str">
            <v>HOU1249</v>
          </cell>
        </row>
        <row r="8391">
          <cell r="F8391" t="str">
            <v>MG640322</v>
          </cell>
          <cell r="G8391" t="str">
            <v>HOUSING</v>
          </cell>
          <cell r="H8391" t="str">
            <v>HOU1248</v>
          </cell>
        </row>
        <row r="8392">
          <cell r="F8392" t="str">
            <v>MG630353-7</v>
          </cell>
          <cell r="G8392" t="str">
            <v>HOUSING</v>
          </cell>
          <cell r="H8392" t="str">
            <v>HOU1247</v>
          </cell>
        </row>
        <row r="8393">
          <cell r="F8393" t="str">
            <v>MG630326-7</v>
          </cell>
          <cell r="G8393" t="str">
            <v>HOUSING</v>
          </cell>
          <cell r="H8393" t="str">
            <v>HOU1246</v>
          </cell>
        </row>
        <row r="8394">
          <cell r="F8394" t="str">
            <v>174265-7</v>
          </cell>
          <cell r="G8394" t="str">
            <v>HOUSING</v>
          </cell>
          <cell r="H8394" t="str">
            <v>HOU1245</v>
          </cell>
        </row>
        <row r="8395">
          <cell r="F8395" t="str">
            <v>174264-2</v>
          </cell>
          <cell r="G8395" t="str">
            <v>HOUSING</v>
          </cell>
          <cell r="H8395" t="str">
            <v>HOU1244</v>
          </cell>
        </row>
        <row r="8396">
          <cell r="F8396" t="str">
            <v>YH396-04V(RED)</v>
          </cell>
          <cell r="G8396" t="str">
            <v>HOUSING</v>
          </cell>
          <cell r="H8396" t="str">
            <v>HOU1243</v>
          </cell>
        </row>
        <row r="8397">
          <cell r="F8397" t="str">
            <v>MG611163-1</v>
          </cell>
          <cell r="G8397" t="str">
            <v>HOUSING</v>
          </cell>
          <cell r="H8397" t="str">
            <v>HOU1242</v>
          </cell>
        </row>
        <row r="8398">
          <cell r="F8398" t="str">
            <v>MG625029</v>
          </cell>
          <cell r="G8398" t="str">
            <v>HOUSING</v>
          </cell>
          <cell r="H8398" t="str">
            <v>HOU1240</v>
          </cell>
        </row>
        <row r="8399">
          <cell r="F8399" t="str">
            <v>MG611169T</v>
          </cell>
          <cell r="G8399" t="str">
            <v>HOUSING</v>
          </cell>
          <cell r="H8399" t="str">
            <v>HOU1239</v>
          </cell>
        </row>
        <row r="8400">
          <cell r="F8400" t="str">
            <v>SMH420-06B</v>
          </cell>
          <cell r="G8400" t="str">
            <v>HOUSING</v>
          </cell>
          <cell r="H8400" t="str">
            <v>HOU1238</v>
          </cell>
        </row>
        <row r="8401">
          <cell r="F8401" t="str">
            <v>YLP-03V-WGL1-Y</v>
          </cell>
          <cell r="G8401" t="str">
            <v>HOUSING</v>
          </cell>
          <cell r="H8401" t="str">
            <v>HOU1237</v>
          </cell>
        </row>
        <row r="8402">
          <cell r="F8402" t="str">
            <v>YLR-03VF-WGL1-Y</v>
          </cell>
          <cell r="G8402" t="str">
            <v>HOUSING</v>
          </cell>
          <cell r="H8402" t="str">
            <v>HOU1236</v>
          </cell>
        </row>
        <row r="8403">
          <cell r="F8403" t="str">
            <v>SMH250-03L(BLK)</v>
          </cell>
          <cell r="G8403" t="str">
            <v>HOUSING</v>
          </cell>
          <cell r="H8403" t="str">
            <v>HOU1232</v>
          </cell>
        </row>
        <row r="8404">
          <cell r="F8404" t="str">
            <v>YH396-02V(BLU)</v>
          </cell>
          <cell r="G8404" t="str">
            <v>HOUSING</v>
          </cell>
          <cell r="H8404" t="str">
            <v>HOU1231</v>
          </cell>
        </row>
        <row r="8405">
          <cell r="F8405" t="str">
            <v>SMH250-06</v>
          </cell>
          <cell r="G8405" t="str">
            <v>HOUSING</v>
          </cell>
          <cell r="H8405" t="str">
            <v>HOU1230</v>
          </cell>
        </row>
        <row r="8406">
          <cell r="F8406" t="str">
            <v>SMH250-12</v>
          </cell>
          <cell r="G8406" t="str">
            <v>HOUSING</v>
          </cell>
          <cell r="H8406" t="str">
            <v>HOU1229</v>
          </cell>
        </row>
        <row r="8407">
          <cell r="F8407" t="str">
            <v>35524-0920</v>
          </cell>
          <cell r="G8407" t="str">
            <v>HOUSING</v>
          </cell>
          <cell r="H8407" t="str">
            <v>HOU1228</v>
          </cell>
        </row>
        <row r="8408">
          <cell r="F8408" t="str">
            <v>MG625431-3</v>
          </cell>
          <cell r="G8408" t="str">
            <v>HOUSING</v>
          </cell>
          <cell r="H8408" t="str">
            <v>HOU1227</v>
          </cell>
        </row>
        <row r="8409">
          <cell r="F8409" t="str">
            <v>SLR-02VF</v>
          </cell>
          <cell r="G8409" t="str">
            <v>HOUSING</v>
          </cell>
          <cell r="H8409" t="str">
            <v>HOU1226</v>
          </cell>
        </row>
        <row r="8410">
          <cell r="F8410" t="str">
            <v>SMH250-07</v>
          </cell>
          <cell r="G8410" t="str">
            <v>HOUSING</v>
          </cell>
          <cell r="H8410" t="str">
            <v>HOU1225</v>
          </cell>
        </row>
        <row r="8411">
          <cell r="F8411" t="str">
            <v>CHD1145-03</v>
          </cell>
          <cell r="G8411" t="str">
            <v>HOUSING</v>
          </cell>
          <cell r="H8411" t="str">
            <v>HOU1224</v>
          </cell>
        </row>
        <row r="8412">
          <cell r="F8412" t="str">
            <v>YLP-06V-WGL1-Y</v>
          </cell>
          <cell r="G8412" t="str">
            <v>HOUSING</v>
          </cell>
          <cell r="H8412" t="str">
            <v>HOU1223</v>
          </cell>
        </row>
        <row r="8413">
          <cell r="F8413" t="str">
            <v>YLR-06V-WGL1-Y</v>
          </cell>
          <cell r="G8413" t="str">
            <v>HOUSING</v>
          </cell>
          <cell r="H8413" t="str">
            <v>HOU1222</v>
          </cell>
        </row>
        <row r="8414">
          <cell r="F8414" t="str">
            <v>2-2005820-9</v>
          </cell>
          <cell r="G8414" t="str">
            <v>HOUSING</v>
          </cell>
          <cell r="H8414" t="str">
            <v>HOU1221</v>
          </cell>
        </row>
        <row r="8415">
          <cell r="F8415" t="str">
            <v>MG610224S-2</v>
          </cell>
          <cell r="G8415" t="str">
            <v>HOUSING</v>
          </cell>
          <cell r="H8415" t="str">
            <v>HOU1220</v>
          </cell>
        </row>
        <row r="8416">
          <cell r="F8416" t="str">
            <v>MG635636-3</v>
          </cell>
          <cell r="G8416" t="str">
            <v>TPA</v>
          </cell>
          <cell r="H8416" t="str">
            <v>HOU1219</v>
          </cell>
        </row>
        <row r="8417">
          <cell r="F8417" t="str">
            <v>PALR-06V</v>
          </cell>
          <cell r="G8417" t="str">
            <v>HOUSING</v>
          </cell>
          <cell r="H8417" t="str">
            <v>HOU1218</v>
          </cell>
        </row>
        <row r="8418">
          <cell r="F8418" t="str">
            <v>YHL500-02B</v>
          </cell>
          <cell r="G8418" t="str">
            <v>HOUSING</v>
          </cell>
          <cell r="H8418" t="str">
            <v>HOU1217</v>
          </cell>
        </row>
        <row r="8419">
          <cell r="F8419" t="str">
            <v>MG620225</v>
          </cell>
          <cell r="G8419" t="str">
            <v>HOUSING</v>
          </cell>
          <cell r="H8419" t="str">
            <v>HOU1216</v>
          </cell>
        </row>
        <row r="8420">
          <cell r="F8420" t="str">
            <v>SMH250-03(YE)</v>
          </cell>
          <cell r="G8420" t="str">
            <v>HOUSING</v>
          </cell>
          <cell r="H8420" t="str">
            <v>HOU1215</v>
          </cell>
        </row>
        <row r="8421">
          <cell r="F8421" t="str">
            <v>SMH250-03(BL)</v>
          </cell>
          <cell r="G8421" t="str">
            <v>HOUSING</v>
          </cell>
          <cell r="H8421" t="str">
            <v>HOU1214</v>
          </cell>
        </row>
        <row r="8422">
          <cell r="F8422" t="str">
            <v>12507HS-H06G1(BLK)</v>
          </cell>
          <cell r="G8422" t="str">
            <v>HOUSING</v>
          </cell>
          <cell r="H8422" t="str">
            <v>HOU1213</v>
          </cell>
        </row>
        <row r="8423">
          <cell r="F8423" t="str">
            <v>GHR-05V-S</v>
          </cell>
          <cell r="G8423" t="str">
            <v>HOUSING</v>
          </cell>
          <cell r="H8423" t="str">
            <v>HOU1211</v>
          </cell>
        </row>
        <row r="8424">
          <cell r="F8424" t="str">
            <v>35150-0309</v>
          </cell>
          <cell r="G8424" t="str">
            <v>HOUSING</v>
          </cell>
          <cell r="H8424" t="str">
            <v>HOU1210</v>
          </cell>
        </row>
        <row r="8425">
          <cell r="F8425" t="str">
            <v>49511-0301</v>
          </cell>
          <cell r="G8425" t="str">
            <v>HOUSING</v>
          </cell>
          <cell r="H8425" t="str">
            <v>HOU1209</v>
          </cell>
        </row>
        <row r="8426">
          <cell r="F8426" t="str">
            <v>MG610087</v>
          </cell>
          <cell r="G8426" t="str">
            <v>HOUSING</v>
          </cell>
          <cell r="H8426" t="str">
            <v>HOU1207</v>
          </cell>
        </row>
        <row r="8427">
          <cell r="F8427" t="str">
            <v>MG625040-2</v>
          </cell>
          <cell r="G8427" t="str">
            <v>HOUSING</v>
          </cell>
          <cell r="H8427" t="str">
            <v>HOU1206</v>
          </cell>
        </row>
        <row r="8428">
          <cell r="F8428" t="str">
            <v>SMH250-02L(YEL)</v>
          </cell>
          <cell r="G8428" t="str">
            <v>HOUSING</v>
          </cell>
          <cell r="H8428" t="str">
            <v>HOU1205</v>
          </cell>
        </row>
        <row r="8429">
          <cell r="F8429" t="str">
            <v>25045HP-04B(RE)</v>
          </cell>
          <cell r="G8429" t="str">
            <v>HOUSING</v>
          </cell>
          <cell r="H8429" t="str">
            <v>HOU1204</v>
          </cell>
        </row>
        <row r="8430">
          <cell r="F8430" t="str">
            <v>2005247-1</v>
          </cell>
          <cell r="G8430" t="str">
            <v>HOUSING</v>
          </cell>
          <cell r="H8430" t="str">
            <v>HOU1203</v>
          </cell>
        </row>
        <row r="8431">
          <cell r="F8431" t="str">
            <v>SC51101-151A</v>
          </cell>
          <cell r="G8431" t="str">
            <v>HOUSING</v>
          </cell>
          <cell r="H8431" t="str">
            <v>HOU1202</v>
          </cell>
        </row>
        <row r="8432">
          <cell r="F8432" t="str">
            <v>SC51101-131A</v>
          </cell>
          <cell r="G8432" t="str">
            <v>HOUSING</v>
          </cell>
          <cell r="H8432" t="str">
            <v>HOU1201</v>
          </cell>
        </row>
        <row r="8433">
          <cell r="F8433" t="str">
            <v>SC51101-111A</v>
          </cell>
          <cell r="G8433" t="str">
            <v>HOUSING</v>
          </cell>
          <cell r="H8433" t="str">
            <v>HOU1200</v>
          </cell>
        </row>
        <row r="8434">
          <cell r="F8434" t="str">
            <v>SC51101-091A</v>
          </cell>
          <cell r="G8434" t="str">
            <v>HOUSING</v>
          </cell>
          <cell r="H8434" t="str">
            <v>HOU1198</v>
          </cell>
        </row>
        <row r="8435">
          <cell r="F8435" t="str">
            <v>SC51101-071A(RE)</v>
          </cell>
          <cell r="G8435" t="str">
            <v>HOUSING</v>
          </cell>
          <cell r="H8435" t="str">
            <v>HOU1196</v>
          </cell>
        </row>
        <row r="8436">
          <cell r="F8436" t="str">
            <v>SC51101-071A</v>
          </cell>
          <cell r="G8436" t="str">
            <v>HOUSING</v>
          </cell>
          <cell r="H8436" t="str">
            <v>HOU1194</v>
          </cell>
        </row>
        <row r="8437">
          <cell r="F8437" t="str">
            <v>SC51101-051A(BL)</v>
          </cell>
          <cell r="G8437" t="str">
            <v>HOUSING</v>
          </cell>
          <cell r="H8437" t="str">
            <v>HOU1191</v>
          </cell>
        </row>
        <row r="8438">
          <cell r="F8438" t="str">
            <v>SC51101-051A</v>
          </cell>
          <cell r="G8438" t="str">
            <v>HOUSING</v>
          </cell>
          <cell r="H8438" t="str">
            <v>HOU1190</v>
          </cell>
        </row>
        <row r="8439">
          <cell r="F8439" t="str">
            <v>SC51101-031A(RE)</v>
          </cell>
          <cell r="G8439" t="str">
            <v>HOUSING</v>
          </cell>
          <cell r="H8439" t="str">
            <v>HOU1188</v>
          </cell>
        </row>
        <row r="8440">
          <cell r="F8440" t="str">
            <v>SC51101-031A(BK)</v>
          </cell>
          <cell r="G8440" t="str">
            <v>HOUSING</v>
          </cell>
          <cell r="H8440" t="str">
            <v>HOU1186</v>
          </cell>
        </row>
        <row r="8441">
          <cell r="F8441" t="str">
            <v>SC51101-031A</v>
          </cell>
          <cell r="G8441" t="str">
            <v>HOUSING</v>
          </cell>
          <cell r="H8441" t="str">
            <v>HOU1185</v>
          </cell>
        </row>
        <row r="8442">
          <cell r="F8442" t="str">
            <v>SMH200-14C</v>
          </cell>
          <cell r="G8442" t="str">
            <v>HOUSING</v>
          </cell>
          <cell r="H8442" t="str">
            <v>HOU1181</v>
          </cell>
        </row>
        <row r="8443">
          <cell r="F8443" t="str">
            <v>HLH1005-02P</v>
          </cell>
          <cell r="G8443" t="str">
            <v>HOUSING</v>
          </cell>
          <cell r="H8443" t="str">
            <v>HOU1180</v>
          </cell>
        </row>
        <row r="8444">
          <cell r="F8444" t="str">
            <v>J5MSP-03V-KX</v>
          </cell>
          <cell r="G8444" t="str">
            <v>HOUSING</v>
          </cell>
          <cell r="H8444" t="str">
            <v>HOU1179</v>
          </cell>
        </row>
        <row r="8445">
          <cell r="F8445" t="str">
            <v>MG611532T</v>
          </cell>
          <cell r="G8445" t="str">
            <v>HOUSING</v>
          </cell>
          <cell r="H8445" t="str">
            <v>HOU1178</v>
          </cell>
        </row>
        <row r="8446">
          <cell r="F8446" t="str">
            <v>J5FS-03V-KX</v>
          </cell>
          <cell r="G8446" t="str">
            <v>HOUSING</v>
          </cell>
          <cell r="H8446" t="str">
            <v>HOU1177</v>
          </cell>
        </row>
        <row r="8447">
          <cell r="F8447" t="str">
            <v>MG625040</v>
          </cell>
          <cell r="G8447" t="str">
            <v>HOUSING</v>
          </cell>
          <cell r="H8447" t="str">
            <v>HOU1176</v>
          </cell>
        </row>
        <row r="8448">
          <cell r="F8448" t="str">
            <v>MG635371</v>
          </cell>
          <cell r="G8448" t="str">
            <v>HOUSING</v>
          </cell>
          <cell r="H8448" t="str">
            <v>HOU1175</v>
          </cell>
        </row>
        <row r="8449">
          <cell r="F8449" t="str">
            <v>35156-0200</v>
          </cell>
          <cell r="G8449" t="str">
            <v>HOUSING</v>
          </cell>
          <cell r="H8449" t="str">
            <v>HOU1174</v>
          </cell>
        </row>
        <row r="8450">
          <cell r="F8450" t="str">
            <v>35150-0409</v>
          </cell>
          <cell r="G8450" t="str">
            <v>HOUSING</v>
          </cell>
          <cell r="H8450" t="str">
            <v>HOU1173</v>
          </cell>
        </row>
        <row r="8451">
          <cell r="F8451" t="str">
            <v>HLWH1005-03</v>
          </cell>
          <cell r="G8451" t="str">
            <v>HOUSING</v>
          </cell>
          <cell r="H8451" t="str">
            <v>HOU1172</v>
          </cell>
        </row>
        <row r="8452">
          <cell r="F8452" t="str">
            <v>35156-0900</v>
          </cell>
          <cell r="G8452" t="str">
            <v>HOUSING</v>
          </cell>
          <cell r="H8452" t="str">
            <v>HOU1171</v>
          </cell>
        </row>
        <row r="8453">
          <cell r="F8453" t="str">
            <v>DM120035</v>
          </cell>
          <cell r="G8453" t="str">
            <v>HOUSING</v>
          </cell>
          <cell r="H8453" t="str">
            <v>HOU1162</v>
          </cell>
        </row>
        <row r="8454">
          <cell r="F8454" t="str">
            <v>25045HP-05A(BK)</v>
          </cell>
          <cell r="G8454" t="str">
            <v>HOUSING</v>
          </cell>
          <cell r="H8454" t="str">
            <v>HOU1161</v>
          </cell>
        </row>
        <row r="8455">
          <cell r="F8455" t="str">
            <v>SMH250-08L(BK)</v>
          </cell>
          <cell r="G8455" t="str">
            <v>HOUSING</v>
          </cell>
          <cell r="H8455" t="str">
            <v>HOU1160</v>
          </cell>
        </row>
        <row r="8456">
          <cell r="F8456" t="str">
            <v>35155-1100</v>
          </cell>
          <cell r="G8456" t="str">
            <v>HOUSING</v>
          </cell>
          <cell r="H8456" t="str">
            <v>HOU1159</v>
          </cell>
        </row>
        <row r="8457">
          <cell r="F8457" t="str">
            <v>MG620431</v>
          </cell>
          <cell r="G8457" t="str">
            <v>HOUSING</v>
          </cell>
          <cell r="H8457" t="str">
            <v>HOU1158</v>
          </cell>
        </row>
        <row r="8458">
          <cell r="F8458" t="str">
            <v>35184-0800</v>
          </cell>
          <cell r="G8458" t="str">
            <v>HOUSING</v>
          </cell>
          <cell r="H8458" t="str">
            <v>HOU1157</v>
          </cell>
        </row>
        <row r="8459">
          <cell r="F8459" t="str">
            <v>5264-05(W)</v>
          </cell>
          <cell r="G8459" t="str">
            <v>HOUSING</v>
          </cell>
          <cell r="H8459" t="str">
            <v>HOU1156</v>
          </cell>
        </row>
        <row r="8460">
          <cell r="F8460" t="str">
            <v>35184-0600</v>
          </cell>
          <cell r="G8460" t="str">
            <v>HOUSING</v>
          </cell>
          <cell r="H8460" t="str">
            <v>HOU1155</v>
          </cell>
        </row>
        <row r="8461">
          <cell r="F8461" t="str">
            <v>SMP-2V-NC</v>
          </cell>
          <cell r="G8461" t="str">
            <v>HOUSING</v>
          </cell>
          <cell r="H8461" t="str">
            <v>HOU1154</v>
          </cell>
        </row>
        <row r="8462">
          <cell r="F8462" t="str">
            <v>5264-02(W)</v>
          </cell>
          <cell r="G8462" t="str">
            <v>HOUSING</v>
          </cell>
          <cell r="H8462" t="str">
            <v>HOU1153</v>
          </cell>
        </row>
        <row r="8463">
          <cell r="F8463" t="str">
            <v>35572-1200</v>
          </cell>
          <cell r="G8463" t="str">
            <v>HOUSING</v>
          </cell>
          <cell r="H8463" t="str">
            <v>HOU1152</v>
          </cell>
        </row>
        <row r="8464">
          <cell r="F8464" t="str">
            <v>SMH250-08</v>
          </cell>
          <cell r="G8464" t="str">
            <v>HOUSING</v>
          </cell>
          <cell r="H8464" t="str">
            <v>HOU1151</v>
          </cell>
        </row>
        <row r="8465">
          <cell r="F8465" t="str">
            <v>35572-1000</v>
          </cell>
          <cell r="G8465" t="str">
            <v>HOUSING</v>
          </cell>
          <cell r="H8465" t="str">
            <v>HOU1150</v>
          </cell>
        </row>
        <row r="8466">
          <cell r="F8466" t="str">
            <v>35572-0900</v>
          </cell>
          <cell r="G8466" t="str">
            <v>HOUSING</v>
          </cell>
          <cell r="H8466" t="str">
            <v>HOU1149</v>
          </cell>
        </row>
        <row r="8467">
          <cell r="F8467" t="str">
            <v>35572-0400</v>
          </cell>
          <cell r="G8467" t="str">
            <v>HOUSING</v>
          </cell>
          <cell r="H8467" t="str">
            <v>HOU1148</v>
          </cell>
        </row>
        <row r="8468">
          <cell r="F8468" t="str">
            <v>MG635387</v>
          </cell>
          <cell r="G8468" t="str">
            <v>HOUSING</v>
          </cell>
          <cell r="H8468" t="str">
            <v>HOU1147</v>
          </cell>
        </row>
        <row r="8469">
          <cell r="F8469" t="str">
            <v>35156-0700</v>
          </cell>
          <cell r="G8469" t="str">
            <v>HOUSING</v>
          </cell>
          <cell r="H8469" t="str">
            <v>HOU1146</v>
          </cell>
        </row>
        <row r="8470">
          <cell r="F8470" t="str">
            <v>35156-1100</v>
          </cell>
          <cell r="G8470" t="str">
            <v>HOUSING</v>
          </cell>
          <cell r="H8470" t="str">
            <v>HOU1145</v>
          </cell>
        </row>
        <row r="8471">
          <cell r="F8471" t="str">
            <v>35572-0300</v>
          </cell>
          <cell r="G8471" t="str">
            <v>HOUSING</v>
          </cell>
          <cell r="H8471" t="str">
            <v>HOU1144</v>
          </cell>
        </row>
        <row r="8472">
          <cell r="F8472" t="str">
            <v>35572-0700</v>
          </cell>
          <cell r="G8472" t="str">
            <v>HOUSING</v>
          </cell>
          <cell r="H8472" t="str">
            <v>HOU1143</v>
          </cell>
        </row>
        <row r="8473">
          <cell r="F8473" t="str">
            <v>35156-0300</v>
          </cell>
          <cell r="G8473" t="str">
            <v>HOUSING</v>
          </cell>
          <cell r="H8473" t="str">
            <v>HOU1142</v>
          </cell>
        </row>
        <row r="8474">
          <cell r="F8474" t="str">
            <v>35572-0800</v>
          </cell>
          <cell r="G8474" t="str">
            <v>HOUSING</v>
          </cell>
          <cell r="H8474" t="str">
            <v>HOU1141</v>
          </cell>
        </row>
        <row r="8475">
          <cell r="F8475" t="str">
            <v>35572-0600</v>
          </cell>
          <cell r="G8475" t="str">
            <v>HOUSING</v>
          </cell>
          <cell r="H8475" t="str">
            <v>HOU1140</v>
          </cell>
        </row>
        <row r="8476">
          <cell r="F8476" t="str">
            <v>MG610593T</v>
          </cell>
          <cell r="G8476" t="str">
            <v>HOUSING</v>
          </cell>
          <cell r="H8476" t="str">
            <v>HOU1138</v>
          </cell>
        </row>
        <row r="8477">
          <cell r="F8477" t="str">
            <v>MG620233</v>
          </cell>
          <cell r="G8477" t="str">
            <v>HOUSING</v>
          </cell>
          <cell r="H8477" t="str">
            <v>HOU1137</v>
          </cell>
        </row>
        <row r="8478">
          <cell r="F8478" t="str">
            <v>35186-0610</v>
          </cell>
          <cell r="G8478" t="str">
            <v>HOUSING</v>
          </cell>
          <cell r="H8478" t="str">
            <v>HOU1136</v>
          </cell>
        </row>
        <row r="8479">
          <cell r="F8479" t="str">
            <v>5264-08(W)</v>
          </cell>
          <cell r="G8479" t="str">
            <v>HOUSING</v>
          </cell>
          <cell r="H8479" t="str">
            <v>HOU1135</v>
          </cell>
        </row>
        <row r="8480">
          <cell r="F8480" t="str">
            <v>DEM2-00211</v>
          </cell>
          <cell r="G8480" t="str">
            <v>HOUSING</v>
          </cell>
          <cell r="H8480" t="str">
            <v>HOU1134</v>
          </cell>
        </row>
        <row r="8481">
          <cell r="F8481" t="str">
            <v>35150-0419</v>
          </cell>
          <cell r="G8481" t="str">
            <v>HOUSING</v>
          </cell>
          <cell r="H8481" t="str">
            <v>HOU1133</v>
          </cell>
        </row>
        <row r="8482">
          <cell r="F8482" t="str">
            <v>SMH200-10H(BK)</v>
          </cell>
          <cell r="G8482" t="str">
            <v>HOUSING</v>
          </cell>
          <cell r="H8482" t="str">
            <v>HOU1132</v>
          </cell>
        </row>
        <row r="8483">
          <cell r="F8483" t="str">
            <v>DEM2-E0041</v>
          </cell>
          <cell r="G8483" t="str">
            <v>HOUSING</v>
          </cell>
          <cell r="H8483" t="str">
            <v>HOU1130</v>
          </cell>
        </row>
        <row r="8484">
          <cell r="F8484" t="str">
            <v>DBT061-03S</v>
          </cell>
          <cell r="G8484" t="str">
            <v>HOUSING</v>
          </cell>
          <cell r="H8484" t="str">
            <v>HOU1128</v>
          </cell>
        </row>
        <row r="8485">
          <cell r="F8485" t="str">
            <v>DBT081-02S</v>
          </cell>
          <cell r="G8485" t="str">
            <v>HOUSING</v>
          </cell>
          <cell r="H8485" t="str">
            <v>HOU1127</v>
          </cell>
        </row>
        <row r="8486">
          <cell r="F8486" t="str">
            <v>SMH200-05H(BK)</v>
          </cell>
          <cell r="G8486" t="str">
            <v>HOUSING</v>
          </cell>
          <cell r="H8486" t="str">
            <v>HOU1126</v>
          </cell>
        </row>
        <row r="8487">
          <cell r="F8487" t="str">
            <v>SMH200-10H(BL)</v>
          </cell>
          <cell r="G8487" t="str">
            <v>HOUSING</v>
          </cell>
          <cell r="H8487" t="str">
            <v>HOU1125</v>
          </cell>
        </row>
        <row r="8488">
          <cell r="F8488" t="str">
            <v>YLR-20V-WGL1-E(K)</v>
          </cell>
          <cell r="G8488" t="str">
            <v>HOUSING</v>
          </cell>
          <cell r="H8488" t="str">
            <v>HOU1124</v>
          </cell>
        </row>
        <row r="8489">
          <cell r="F8489" t="str">
            <v>YLP-20V-WGL1-E(K)</v>
          </cell>
          <cell r="G8489" t="str">
            <v>HOUSING</v>
          </cell>
          <cell r="H8489" t="str">
            <v>HOU1123</v>
          </cell>
        </row>
        <row r="8490">
          <cell r="F8490" t="str">
            <v>DEM1-00363</v>
          </cell>
          <cell r="G8490" t="str">
            <v>HOUSING</v>
          </cell>
          <cell r="H8490" t="str">
            <v>HOU1122</v>
          </cell>
        </row>
        <row r="8491">
          <cell r="F8491" t="str">
            <v>1-176497-7</v>
          </cell>
          <cell r="G8491" t="str">
            <v>HOUSING</v>
          </cell>
          <cell r="H8491" t="str">
            <v>HOU1120</v>
          </cell>
        </row>
        <row r="8492">
          <cell r="F8492" t="str">
            <v>WB25B-015-411</v>
          </cell>
          <cell r="G8492" t="str">
            <v>HOUSING</v>
          </cell>
          <cell r="H8492" t="str">
            <v>HOU1116</v>
          </cell>
        </row>
        <row r="8493">
          <cell r="F8493" t="str">
            <v>WB25B-014-411</v>
          </cell>
          <cell r="G8493" t="str">
            <v>HOUSING</v>
          </cell>
          <cell r="H8493" t="str">
            <v>HOU1115</v>
          </cell>
        </row>
        <row r="8494">
          <cell r="F8494" t="str">
            <v>WB25B-013-411</v>
          </cell>
          <cell r="G8494" t="str">
            <v>HOUSING</v>
          </cell>
          <cell r="H8494" t="str">
            <v>HOU1114</v>
          </cell>
        </row>
        <row r="8495">
          <cell r="F8495" t="str">
            <v>WB25B-012-411</v>
          </cell>
          <cell r="G8495" t="str">
            <v>HOUSING</v>
          </cell>
          <cell r="H8495" t="str">
            <v>HOU1113</v>
          </cell>
        </row>
        <row r="8496">
          <cell r="F8496" t="str">
            <v>WB25B-011-411</v>
          </cell>
          <cell r="G8496" t="str">
            <v>HOUSING</v>
          </cell>
          <cell r="H8496" t="str">
            <v>HOU1112</v>
          </cell>
        </row>
        <row r="8497">
          <cell r="F8497" t="str">
            <v>WB25B-010-411</v>
          </cell>
          <cell r="G8497" t="str">
            <v>HOUSING</v>
          </cell>
          <cell r="H8497" t="str">
            <v>HOU1111</v>
          </cell>
        </row>
        <row r="8498">
          <cell r="F8498" t="str">
            <v>WB25B-009-416</v>
          </cell>
          <cell r="G8498" t="str">
            <v>HOUSING</v>
          </cell>
          <cell r="H8498" t="str">
            <v>HOU1110</v>
          </cell>
        </row>
        <row r="8499">
          <cell r="F8499" t="str">
            <v>WB25B-009-411</v>
          </cell>
          <cell r="G8499" t="str">
            <v>HOUSING</v>
          </cell>
          <cell r="H8499" t="str">
            <v>HOU1109</v>
          </cell>
        </row>
        <row r="8500">
          <cell r="F8500" t="str">
            <v>WB25B-008-416</v>
          </cell>
          <cell r="G8500" t="str">
            <v>HOUSING</v>
          </cell>
          <cell r="H8500" t="str">
            <v>HOU1108</v>
          </cell>
        </row>
        <row r="8501">
          <cell r="F8501" t="str">
            <v>WB25B-008-411</v>
          </cell>
          <cell r="G8501" t="str">
            <v>HOUSING</v>
          </cell>
          <cell r="H8501" t="str">
            <v>HOU1107</v>
          </cell>
        </row>
        <row r="8502">
          <cell r="F8502" t="str">
            <v>WB25B-007-417</v>
          </cell>
          <cell r="G8502" t="str">
            <v>HOUSING</v>
          </cell>
          <cell r="H8502" t="str">
            <v>HOU1106</v>
          </cell>
        </row>
        <row r="8503">
          <cell r="F8503" t="str">
            <v>WB25B-007-411</v>
          </cell>
          <cell r="G8503" t="str">
            <v>HOUSING</v>
          </cell>
          <cell r="H8503" t="str">
            <v>HOU1105</v>
          </cell>
        </row>
        <row r="8504">
          <cell r="F8504" t="str">
            <v>WB25B-006-414</v>
          </cell>
          <cell r="G8504" t="str">
            <v>HOUSING</v>
          </cell>
          <cell r="H8504" t="str">
            <v>HOU1104</v>
          </cell>
        </row>
        <row r="8505">
          <cell r="F8505" t="str">
            <v>WB25B-006-411</v>
          </cell>
          <cell r="G8505" t="str">
            <v>HOUSING</v>
          </cell>
          <cell r="H8505" t="str">
            <v>HOU1103</v>
          </cell>
        </row>
        <row r="8506">
          <cell r="F8506" t="str">
            <v>WB25B-005-411</v>
          </cell>
          <cell r="G8506" t="str">
            <v>HOUSING</v>
          </cell>
          <cell r="H8506" t="str">
            <v>HOU1100</v>
          </cell>
        </row>
        <row r="8507">
          <cell r="F8507" t="str">
            <v>WB25B-004-417</v>
          </cell>
          <cell r="G8507" t="str">
            <v>HOUSING</v>
          </cell>
          <cell r="H8507" t="str">
            <v>HOU1099</v>
          </cell>
        </row>
        <row r="8508">
          <cell r="F8508" t="str">
            <v>WB25B-004-416</v>
          </cell>
          <cell r="G8508" t="str">
            <v>HOUSING</v>
          </cell>
          <cell r="H8508" t="str">
            <v>HOU1098</v>
          </cell>
        </row>
        <row r="8509">
          <cell r="F8509" t="str">
            <v>WB25B-004-411</v>
          </cell>
          <cell r="G8509" t="str">
            <v>HOUSING</v>
          </cell>
          <cell r="H8509" t="str">
            <v>HOU1097</v>
          </cell>
        </row>
        <row r="8510">
          <cell r="F8510" t="str">
            <v>WB25B-003-414</v>
          </cell>
          <cell r="G8510" t="str">
            <v>HOUSING</v>
          </cell>
          <cell r="H8510" t="str">
            <v>HOU1096</v>
          </cell>
        </row>
        <row r="8511">
          <cell r="F8511" t="str">
            <v>WB25B-003-411</v>
          </cell>
          <cell r="G8511" t="str">
            <v>HOUSING</v>
          </cell>
          <cell r="H8511" t="str">
            <v>HOU1095</v>
          </cell>
        </row>
        <row r="8512">
          <cell r="F8512" t="str">
            <v>WB25B-002-411</v>
          </cell>
          <cell r="G8512" t="str">
            <v>HOUSING</v>
          </cell>
          <cell r="H8512" t="str">
            <v>HOU1093</v>
          </cell>
        </row>
        <row r="8513">
          <cell r="F8513" t="str">
            <v>YDH200-20S BLK</v>
          </cell>
          <cell r="G8513" t="str">
            <v>HOUSING</v>
          </cell>
          <cell r="H8513" t="str">
            <v>HOU1092</v>
          </cell>
        </row>
        <row r="8514">
          <cell r="F8514" t="str">
            <v>SMH250-02L(BLK)</v>
          </cell>
          <cell r="G8514" t="str">
            <v>HOUSING</v>
          </cell>
          <cell r="H8514" t="str">
            <v>HOU1091</v>
          </cell>
        </row>
        <row r="8515">
          <cell r="F8515" t="str">
            <v>YH396-02VR(YEL)</v>
          </cell>
          <cell r="G8515" t="str">
            <v>HOUSING</v>
          </cell>
          <cell r="H8515" t="str">
            <v>HOU1090</v>
          </cell>
        </row>
        <row r="8516">
          <cell r="F8516" t="str">
            <v>YH396-03V(BLK)</v>
          </cell>
          <cell r="G8516" t="str">
            <v>HOUSING</v>
          </cell>
          <cell r="H8516" t="str">
            <v>HOU1089</v>
          </cell>
        </row>
        <row r="8517">
          <cell r="F8517" t="str">
            <v>25045HP-03B</v>
          </cell>
          <cell r="G8517" t="str">
            <v>HOUSING</v>
          </cell>
          <cell r="H8517" t="str">
            <v>HOU1088</v>
          </cell>
        </row>
        <row r="8518">
          <cell r="F8518" t="str">
            <v>YH396-02V</v>
          </cell>
          <cell r="G8518" t="str">
            <v>HOUSING</v>
          </cell>
          <cell r="H8518" t="str">
            <v>HOU1087</v>
          </cell>
        </row>
        <row r="8519">
          <cell r="F8519" t="str">
            <v>MG634833S</v>
          </cell>
          <cell r="G8519" t="str">
            <v>HOUSING</v>
          </cell>
          <cell r="H8519" t="str">
            <v>HOU1086</v>
          </cell>
        </row>
        <row r="8520">
          <cell r="F8520" t="str">
            <v>MG624757</v>
          </cell>
          <cell r="G8520" t="str">
            <v>HOUSING</v>
          </cell>
          <cell r="H8520" t="str">
            <v>HOU1085</v>
          </cell>
        </row>
        <row r="8521">
          <cell r="F8521" t="str">
            <v>MG620982-2</v>
          </cell>
          <cell r="G8521" t="str">
            <v>HOUSING</v>
          </cell>
          <cell r="H8521" t="str">
            <v>HOU1084</v>
          </cell>
        </row>
        <row r="8522">
          <cell r="F8522" t="str">
            <v>MG620982</v>
          </cell>
          <cell r="G8522" t="str">
            <v>HOUSING</v>
          </cell>
          <cell r="H8522" t="str">
            <v>HOU1083</v>
          </cell>
        </row>
        <row r="8523">
          <cell r="F8523" t="str">
            <v>MG620877P-2</v>
          </cell>
          <cell r="G8523" t="str">
            <v>HOUSING</v>
          </cell>
          <cell r="H8523" t="str">
            <v>HOU1082</v>
          </cell>
        </row>
        <row r="8524">
          <cell r="F8524" t="str">
            <v>MG620874P-2</v>
          </cell>
          <cell r="G8524" t="str">
            <v>HOUSING</v>
          </cell>
          <cell r="H8524" t="str">
            <v>HOU1080</v>
          </cell>
        </row>
        <row r="8525">
          <cell r="F8525" t="str">
            <v>MG620874P</v>
          </cell>
          <cell r="G8525" t="str">
            <v>HOUSING</v>
          </cell>
          <cell r="H8525" t="str">
            <v>HOU1079</v>
          </cell>
        </row>
        <row r="8526">
          <cell r="F8526" t="str">
            <v>MG620023R</v>
          </cell>
          <cell r="G8526" t="str">
            <v>HOUSING</v>
          </cell>
          <cell r="H8526" t="str">
            <v>HOU1078</v>
          </cell>
        </row>
        <row r="8527">
          <cell r="F8527" t="str">
            <v>MG614758</v>
          </cell>
          <cell r="G8527" t="str">
            <v>HOUSING</v>
          </cell>
          <cell r="H8527" t="str">
            <v>HOU1077</v>
          </cell>
        </row>
        <row r="8528">
          <cell r="F8528" t="str">
            <v>MG610981-2</v>
          </cell>
          <cell r="G8528" t="str">
            <v>HOUSING</v>
          </cell>
          <cell r="H8528" t="str">
            <v>HOU1076</v>
          </cell>
        </row>
        <row r="8529">
          <cell r="F8529" t="str">
            <v>MG610981</v>
          </cell>
          <cell r="G8529" t="str">
            <v>HOUSING</v>
          </cell>
          <cell r="H8529" t="str">
            <v>HOU1075</v>
          </cell>
        </row>
        <row r="8530">
          <cell r="F8530" t="str">
            <v>MG610876P</v>
          </cell>
          <cell r="G8530" t="str">
            <v>HOUSING</v>
          </cell>
          <cell r="H8530" t="str">
            <v>HOU1074</v>
          </cell>
        </row>
        <row r="8531">
          <cell r="F8531" t="str">
            <v>MG610873P-2</v>
          </cell>
          <cell r="G8531" t="str">
            <v>HOUSING</v>
          </cell>
          <cell r="H8531" t="str">
            <v>HOU1073</v>
          </cell>
        </row>
        <row r="8532">
          <cell r="F8532" t="str">
            <v>MG610873</v>
          </cell>
          <cell r="G8532" t="str">
            <v>HOUSING</v>
          </cell>
          <cell r="H8532" t="str">
            <v>HOU1072</v>
          </cell>
        </row>
        <row r="8533">
          <cell r="F8533" t="str">
            <v>HLH1005-03P</v>
          </cell>
          <cell r="G8533" t="str">
            <v>HOUSING</v>
          </cell>
          <cell r="H8533" t="str">
            <v>HOU1069</v>
          </cell>
        </row>
        <row r="8534">
          <cell r="F8534" t="str">
            <v>5559-02P-210(39012026WHT)</v>
          </cell>
          <cell r="G8534" t="str">
            <v>HOUSING</v>
          </cell>
          <cell r="H8534" t="str">
            <v>HOU1068</v>
          </cell>
        </row>
        <row r="8535">
          <cell r="F8535" t="str">
            <v>39012025(5557-02R-210)</v>
          </cell>
          <cell r="G8535" t="str">
            <v>HOUSING</v>
          </cell>
          <cell r="H8535" t="str">
            <v>HOU1067</v>
          </cell>
        </row>
        <row r="8536">
          <cell r="F8536" t="str">
            <v>25045HP-04B(YE)</v>
          </cell>
          <cell r="G8536" t="str">
            <v>HOUSING</v>
          </cell>
          <cell r="H8536" t="str">
            <v>HOU1065</v>
          </cell>
        </row>
        <row r="8537">
          <cell r="F8537" t="str">
            <v>06PAF-6S</v>
          </cell>
          <cell r="G8537" t="str">
            <v>HOUSING</v>
          </cell>
          <cell r="H8537" t="str">
            <v>HOU1064</v>
          </cell>
        </row>
        <row r="8538">
          <cell r="F8538" t="str">
            <v>YH396-05VR(BK)</v>
          </cell>
          <cell r="G8538" t="str">
            <v>HOUSING</v>
          </cell>
          <cell r="H8538" t="str">
            <v>HOU1062</v>
          </cell>
        </row>
        <row r="8539">
          <cell r="F8539" t="str">
            <v>BLDC HOUSING(GEUMSAN)</v>
          </cell>
          <cell r="G8539" t="str">
            <v>HOUSING</v>
          </cell>
          <cell r="H8539" t="str">
            <v>HOU1061</v>
          </cell>
        </row>
        <row r="8540">
          <cell r="F8540" t="str">
            <v>1565085-1</v>
          </cell>
          <cell r="G8540" t="str">
            <v>HOUSING</v>
          </cell>
          <cell r="H8540" t="str">
            <v>HOU1060</v>
          </cell>
        </row>
        <row r="8541">
          <cell r="F8541" t="str">
            <v>MG620040</v>
          </cell>
          <cell r="G8541" t="str">
            <v>HOUSING</v>
          </cell>
          <cell r="H8541" t="str">
            <v>HOU1059</v>
          </cell>
        </row>
        <row r="8542">
          <cell r="F8542" t="str">
            <v>YLR-03V</v>
          </cell>
          <cell r="G8542" t="str">
            <v>HOUSING</v>
          </cell>
          <cell r="H8542" t="str">
            <v>HOU1058</v>
          </cell>
        </row>
        <row r="8543">
          <cell r="F8543" t="str">
            <v>25045HP-03B(BL)</v>
          </cell>
          <cell r="G8543" t="str">
            <v>HOUSING</v>
          </cell>
          <cell r="H8543" t="str">
            <v>HOU1057</v>
          </cell>
        </row>
        <row r="8544">
          <cell r="F8544" t="str">
            <v>35181-0210</v>
          </cell>
          <cell r="G8544" t="str">
            <v>HOUSING</v>
          </cell>
          <cell r="H8544" t="str">
            <v>HOU1055</v>
          </cell>
        </row>
        <row r="8545">
          <cell r="F8545" t="str">
            <v>SMH250-07L(BLU)</v>
          </cell>
          <cell r="G8545" t="str">
            <v>HOUSING</v>
          </cell>
          <cell r="H8545" t="str">
            <v>HOU1054</v>
          </cell>
        </row>
        <row r="8546">
          <cell r="F8546" t="str">
            <v>SMH200-03H(RED)</v>
          </cell>
          <cell r="G8546" t="str">
            <v>HOUSING</v>
          </cell>
          <cell r="H8546" t="str">
            <v>HOU1053</v>
          </cell>
        </row>
        <row r="8547">
          <cell r="F8547" t="str">
            <v>SMH200-03H(BLU)</v>
          </cell>
          <cell r="G8547" t="str">
            <v>HOUSING</v>
          </cell>
          <cell r="H8547" t="str">
            <v>HOU1052</v>
          </cell>
        </row>
        <row r="8548">
          <cell r="F8548" t="str">
            <v>MG622537T</v>
          </cell>
          <cell r="G8548" t="str">
            <v>HOUSING</v>
          </cell>
          <cell r="H8548" t="str">
            <v>HOU1051</v>
          </cell>
        </row>
        <row r="8549">
          <cell r="F8549" t="str">
            <v>SMH250-07L(BK)</v>
          </cell>
          <cell r="G8549" t="str">
            <v>HOUSING</v>
          </cell>
          <cell r="H8549" t="str">
            <v>HOU1050</v>
          </cell>
        </row>
        <row r="8550">
          <cell r="F8550" t="str">
            <v>YH396-04VR(RED)</v>
          </cell>
          <cell r="G8550" t="str">
            <v>HOUSING</v>
          </cell>
          <cell r="H8550" t="str">
            <v>HOU1049</v>
          </cell>
        </row>
        <row r="8551">
          <cell r="F8551" t="str">
            <v>SMH200-04H(RE)</v>
          </cell>
          <cell r="G8551" t="str">
            <v>HOUSING</v>
          </cell>
          <cell r="H8551" t="str">
            <v>HOU1048</v>
          </cell>
        </row>
        <row r="8552">
          <cell r="F8552" t="str">
            <v>SMH200-09H(BLU)</v>
          </cell>
          <cell r="G8552" t="str">
            <v>HOUSING</v>
          </cell>
          <cell r="H8552" t="str">
            <v>HOU1047</v>
          </cell>
        </row>
        <row r="8553">
          <cell r="F8553" t="str">
            <v>YH396-03VR(BK)</v>
          </cell>
          <cell r="G8553" t="str">
            <v>HOUSING</v>
          </cell>
          <cell r="H8553" t="str">
            <v>HOU1046</v>
          </cell>
        </row>
        <row r="8554">
          <cell r="F8554" t="str">
            <v>SMH250-09L(BLK)</v>
          </cell>
          <cell r="G8554" t="str">
            <v>HOUSING</v>
          </cell>
          <cell r="H8554" t="str">
            <v>HOU1045</v>
          </cell>
        </row>
        <row r="8555">
          <cell r="F8555" t="str">
            <v>PWBR-02VF-WGL1</v>
          </cell>
          <cell r="G8555" t="str">
            <v>HOUSING</v>
          </cell>
          <cell r="H8555" t="str">
            <v>HOU1044</v>
          </cell>
        </row>
        <row r="8556">
          <cell r="F8556" t="str">
            <v>MG624210</v>
          </cell>
          <cell r="G8556" t="str">
            <v>HOUSING</v>
          </cell>
          <cell r="H8556" t="str">
            <v>HOU1043</v>
          </cell>
        </row>
        <row r="8557">
          <cell r="F8557" t="str">
            <v>SMH200-H04PR</v>
          </cell>
          <cell r="G8557" t="str">
            <v>HOUSING</v>
          </cell>
          <cell r="H8557" t="str">
            <v>HOU1040</v>
          </cell>
        </row>
        <row r="8558">
          <cell r="F8558" t="str">
            <v>SMP250-08</v>
          </cell>
          <cell r="G8558" t="str">
            <v>HOUSING</v>
          </cell>
          <cell r="H8558" t="str">
            <v>HOU1035</v>
          </cell>
        </row>
        <row r="8559">
          <cell r="F8559" t="str">
            <v>YBH200-05</v>
          </cell>
          <cell r="G8559" t="str">
            <v>HOUSING</v>
          </cell>
          <cell r="H8559" t="str">
            <v>HOU1033</v>
          </cell>
        </row>
        <row r="8560">
          <cell r="F8560" t="str">
            <v>25045HP-05B</v>
          </cell>
          <cell r="G8560" t="str">
            <v>HOUSING</v>
          </cell>
          <cell r="H8560" t="str">
            <v>HOU1030</v>
          </cell>
        </row>
        <row r="8561">
          <cell r="F8561" t="str">
            <v>YBNH200-05</v>
          </cell>
          <cell r="G8561" t="str">
            <v>HOUSING</v>
          </cell>
          <cell r="H8561" t="str">
            <v>HOU1029</v>
          </cell>
        </row>
        <row r="8562">
          <cell r="F8562" t="str">
            <v>YBNH200-06</v>
          </cell>
          <cell r="G8562" t="str">
            <v>HOUSING</v>
          </cell>
          <cell r="H8562" t="str">
            <v>HOU1027</v>
          </cell>
        </row>
        <row r="8563">
          <cell r="F8563" t="str">
            <v>25045HP-05B(RED)</v>
          </cell>
          <cell r="G8563" t="str">
            <v>HOUSING</v>
          </cell>
          <cell r="H8563" t="str">
            <v>HOU1025</v>
          </cell>
        </row>
        <row r="8564">
          <cell r="F8564" t="str">
            <v>SMH200-22C</v>
          </cell>
          <cell r="G8564" t="str">
            <v>HOUSING</v>
          </cell>
          <cell r="H8564" t="str">
            <v>HOU1023</v>
          </cell>
        </row>
        <row r="8565">
          <cell r="F8565" t="str">
            <v>YLR-10VF-WGL1-Y(1YEAL)</v>
          </cell>
          <cell r="G8565" t="str">
            <v>HOUSING</v>
          </cell>
          <cell r="H8565" t="str">
            <v>HOU1017</v>
          </cell>
        </row>
        <row r="8566">
          <cell r="F8566" t="str">
            <v>YLP-10V-WGL1-Y(1열)</v>
          </cell>
          <cell r="G8566" t="str">
            <v>HOUSING</v>
          </cell>
          <cell r="H8566" t="str">
            <v>HOU1016</v>
          </cell>
        </row>
        <row r="8567">
          <cell r="F8567" t="str">
            <v>MG611163T</v>
          </cell>
          <cell r="G8567" t="str">
            <v>HOUSING</v>
          </cell>
          <cell r="H8567" t="str">
            <v>HOU1014</v>
          </cell>
        </row>
        <row r="8568">
          <cell r="F8568" t="str">
            <v>1-480699-0</v>
          </cell>
          <cell r="G8568" t="str">
            <v>HOUSING</v>
          </cell>
          <cell r="H8568" t="str">
            <v>HOU1013</v>
          </cell>
        </row>
        <row r="8569">
          <cell r="F8569" t="str">
            <v>12507HS-05L</v>
          </cell>
          <cell r="G8569" t="str">
            <v>HOUSING</v>
          </cell>
          <cell r="H8569" t="str">
            <v>HOU1012</v>
          </cell>
        </row>
        <row r="8570">
          <cell r="F8570" t="str">
            <v>07SR-3S</v>
          </cell>
          <cell r="G8570" t="str">
            <v>HOUSING</v>
          </cell>
          <cell r="H8570" t="str">
            <v>HOU1011</v>
          </cell>
        </row>
        <row r="8571">
          <cell r="F8571" t="str">
            <v>12507HS-06L</v>
          </cell>
          <cell r="G8571" t="str">
            <v>HOUSING</v>
          </cell>
          <cell r="H8571" t="str">
            <v>HOU1010</v>
          </cell>
        </row>
        <row r="8572">
          <cell r="F8572" t="str">
            <v>12507HS-08L</v>
          </cell>
          <cell r="G8572" t="str">
            <v>HOUSING</v>
          </cell>
          <cell r="H8572" t="str">
            <v>HOU1009</v>
          </cell>
        </row>
        <row r="8573">
          <cell r="F8573" t="str">
            <v>YLP-12VA-WGL1-Y</v>
          </cell>
          <cell r="G8573" t="str">
            <v>HOUSING</v>
          </cell>
          <cell r="H8573" t="str">
            <v>HOU1008</v>
          </cell>
        </row>
        <row r="8574">
          <cell r="F8574" t="str">
            <v>SMH600-03B-1</v>
          </cell>
          <cell r="G8574" t="str">
            <v>HOUSING</v>
          </cell>
          <cell r="H8574" t="str">
            <v>HOU1006</v>
          </cell>
        </row>
        <row r="8575">
          <cell r="F8575" t="str">
            <v>MG615560-2</v>
          </cell>
          <cell r="G8575" t="str">
            <v>HOUSING</v>
          </cell>
          <cell r="H8575" t="str">
            <v>HOU1005</v>
          </cell>
        </row>
        <row r="8576">
          <cell r="F8576" t="str">
            <v>MG615561-2</v>
          </cell>
          <cell r="G8576" t="str">
            <v>HOUSING</v>
          </cell>
          <cell r="H8576" t="str">
            <v>HOU1004</v>
          </cell>
        </row>
        <row r="8577">
          <cell r="F8577" t="str">
            <v>50016HS-02</v>
          </cell>
          <cell r="G8577" t="str">
            <v>HOUSING</v>
          </cell>
          <cell r="H8577" t="str">
            <v>HOU1003</v>
          </cell>
        </row>
        <row r="8578">
          <cell r="F8578" t="str">
            <v>SMH420-02(BLU)</v>
          </cell>
          <cell r="G8578" t="str">
            <v>HOUSING</v>
          </cell>
          <cell r="H8578" t="str">
            <v>HOU1002</v>
          </cell>
        </row>
        <row r="8579">
          <cell r="F8579" t="str">
            <v>SMH420-02(RED)</v>
          </cell>
          <cell r="G8579" t="str">
            <v>HOUSING</v>
          </cell>
          <cell r="H8579" t="str">
            <v>HOU1001</v>
          </cell>
        </row>
        <row r="8580">
          <cell r="F8580" t="str">
            <v>SMH420-02</v>
          </cell>
          <cell r="G8580" t="str">
            <v>HOUSING</v>
          </cell>
          <cell r="H8580" t="str">
            <v>HOU1000</v>
          </cell>
        </row>
        <row r="8581">
          <cell r="F8581" t="str">
            <v>90019HS-03</v>
          </cell>
          <cell r="G8581" t="str">
            <v>HOUSING</v>
          </cell>
          <cell r="H8581" t="str">
            <v>HOU0999</v>
          </cell>
        </row>
        <row r="8582">
          <cell r="F8582" t="str">
            <v>SMH420-08</v>
          </cell>
          <cell r="G8582" t="str">
            <v>HOUSING</v>
          </cell>
          <cell r="H8582" t="str">
            <v>HOU0998</v>
          </cell>
        </row>
        <row r="8583">
          <cell r="F8583" t="str">
            <v>7238-003-572-96-000-00-G</v>
          </cell>
          <cell r="G8583" t="str">
            <v>HOUSING</v>
          </cell>
          <cell r="H8583" t="str">
            <v>HOU0997</v>
          </cell>
        </row>
        <row r="8584">
          <cell r="F8584" t="str">
            <v>YBH250-04</v>
          </cell>
          <cell r="G8584" t="str">
            <v>HOUSING</v>
          </cell>
          <cell r="H8584" t="str">
            <v>HOU0996</v>
          </cell>
        </row>
        <row r="8585">
          <cell r="F8585" t="str">
            <v>25045HP-11A</v>
          </cell>
          <cell r="G8585" t="str">
            <v>HOUSING</v>
          </cell>
          <cell r="H8585" t="str">
            <v>HOU0994</v>
          </cell>
        </row>
        <row r="8586">
          <cell r="F8586" t="str">
            <v>PNDP-22V-Z</v>
          </cell>
          <cell r="G8586" t="str">
            <v>HOUSING</v>
          </cell>
          <cell r="H8586" t="str">
            <v>HOU0991</v>
          </cell>
        </row>
        <row r="8587">
          <cell r="F8587" t="str">
            <v>ZHR-05</v>
          </cell>
          <cell r="G8587" t="str">
            <v>HOUSING</v>
          </cell>
          <cell r="H8587" t="str">
            <v>HOU0990</v>
          </cell>
        </row>
        <row r="8588">
          <cell r="F8588" t="str">
            <v>35184-0500</v>
          </cell>
          <cell r="G8588" t="str">
            <v>HOUSING</v>
          </cell>
          <cell r="H8588" t="str">
            <v>HOU0989</v>
          </cell>
        </row>
        <row r="8589">
          <cell r="F8589" t="str">
            <v>BU10P-TR-P-H</v>
          </cell>
          <cell r="G8589" t="str">
            <v>HOUSING</v>
          </cell>
          <cell r="H8589" t="str">
            <v>HOU0988</v>
          </cell>
        </row>
        <row r="8590">
          <cell r="F8590" t="str">
            <v>10KR-6H-P</v>
          </cell>
          <cell r="G8590" t="str">
            <v>HOUSING</v>
          </cell>
          <cell r="H8590" t="str">
            <v>HOU0987</v>
          </cell>
        </row>
        <row r="8591">
          <cell r="F8591" t="str">
            <v>51021-1200</v>
          </cell>
          <cell r="G8591" t="str">
            <v>HOUSING</v>
          </cell>
          <cell r="H8591" t="str">
            <v>HOU0986</v>
          </cell>
        </row>
        <row r="8592">
          <cell r="F8592" t="str">
            <v>25045HP-08A</v>
          </cell>
          <cell r="G8592" t="str">
            <v>HOUSING</v>
          </cell>
          <cell r="H8592" t="str">
            <v>HOU0985</v>
          </cell>
        </row>
        <row r="8593">
          <cell r="F8593" t="str">
            <v>MG635571</v>
          </cell>
          <cell r="G8593" t="str">
            <v>HOUSING</v>
          </cell>
          <cell r="H8593" t="str">
            <v>HOU0984</v>
          </cell>
        </row>
        <row r="8594">
          <cell r="F8594" t="str">
            <v>MG624540</v>
          </cell>
          <cell r="G8594" t="str">
            <v>HOUSING</v>
          </cell>
          <cell r="H8594" t="str">
            <v>HOU0983</v>
          </cell>
        </row>
        <row r="8595">
          <cell r="F8595" t="str">
            <v>YLP-20V-WGL1-Y</v>
          </cell>
          <cell r="G8595" t="str">
            <v>HOUSING</v>
          </cell>
          <cell r="H8595" t="str">
            <v>HOU0982</v>
          </cell>
        </row>
        <row r="8596">
          <cell r="F8596" t="str">
            <v>YLR-20V-WGL1-Y</v>
          </cell>
          <cell r="G8596" t="str">
            <v>HOUSING</v>
          </cell>
          <cell r="H8596" t="str">
            <v>HOU0981</v>
          </cell>
        </row>
        <row r="8597">
          <cell r="F8597" t="str">
            <v>MG610873P</v>
          </cell>
          <cell r="G8597" t="str">
            <v>HOUSING</v>
          </cell>
          <cell r="H8597" t="str">
            <v>HOU0979</v>
          </cell>
        </row>
        <row r="8598">
          <cell r="F8598" t="str">
            <v>MG620877P</v>
          </cell>
          <cell r="G8598" t="str">
            <v>HOUSING</v>
          </cell>
          <cell r="H8598" t="str">
            <v>HOU0977</v>
          </cell>
        </row>
        <row r="8599">
          <cell r="F8599" t="str">
            <v>35965-0220</v>
          </cell>
          <cell r="G8599" t="str">
            <v>HOUSING</v>
          </cell>
          <cell r="H8599" t="str">
            <v>HOU0976</v>
          </cell>
        </row>
        <row r="8600">
          <cell r="F8600" t="str">
            <v>AH08023-01</v>
          </cell>
          <cell r="G8600" t="str">
            <v>HOUSING</v>
          </cell>
          <cell r="H8600" t="str">
            <v>HOU0975</v>
          </cell>
        </row>
        <row r="8601">
          <cell r="F8601" t="str">
            <v>49508-0301(BLK)</v>
          </cell>
          <cell r="G8601" t="str">
            <v>HOUSING</v>
          </cell>
          <cell r="H8601" t="str">
            <v>HOU0974</v>
          </cell>
        </row>
        <row r="8602">
          <cell r="F8602" t="str">
            <v>49508-0300</v>
          </cell>
          <cell r="G8602" t="str">
            <v>HOUSING</v>
          </cell>
          <cell r="H8602" t="str">
            <v>HOU0973</v>
          </cell>
        </row>
        <row r="8603">
          <cell r="F8603" t="str">
            <v>MG611532</v>
          </cell>
          <cell r="G8603" t="str">
            <v>HOUSING</v>
          </cell>
          <cell r="H8603" t="str">
            <v>HOU0972</v>
          </cell>
        </row>
        <row r="8604">
          <cell r="F8604" t="str">
            <v>YLP-08V-WGL1-Y</v>
          </cell>
          <cell r="G8604" t="str">
            <v>HOUSING</v>
          </cell>
          <cell r="H8604" t="str">
            <v>HOU0971</v>
          </cell>
        </row>
        <row r="8605">
          <cell r="F8605" t="str">
            <v>HM9410001</v>
          </cell>
          <cell r="G8605" t="str">
            <v>HOUSING</v>
          </cell>
          <cell r="H8605" t="str">
            <v>HOU0970</v>
          </cell>
        </row>
        <row r="8606">
          <cell r="F8606" t="str">
            <v>AH08023</v>
          </cell>
          <cell r="G8606" t="str">
            <v>HOUSING</v>
          </cell>
          <cell r="H8606" t="str">
            <v>HOU0969</v>
          </cell>
        </row>
        <row r="8607">
          <cell r="F8607" t="str">
            <v>MG615482</v>
          </cell>
          <cell r="G8607" t="str">
            <v>HOUSING</v>
          </cell>
          <cell r="H8607" t="str">
            <v>HOU0968</v>
          </cell>
        </row>
        <row r="8608">
          <cell r="F8608" t="str">
            <v>MG614160</v>
          </cell>
          <cell r="G8608" t="str">
            <v>HOUSING</v>
          </cell>
          <cell r="H8608" t="str">
            <v>HOU0967</v>
          </cell>
        </row>
        <row r="8609">
          <cell r="F8609" t="str">
            <v>MG614162</v>
          </cell>
          <cell r="G8609" t="str">
            <v>HOUSING</v>
          </cell>
          <cell r="H8609" t="str">
            <v>HOU0966</v>
          </cell>
        </row>
        <row r="8610">
          <cell r="F8610" t="str">
            <v>MG624163</v>
          </cell>
          <cell r="G8610" t="str">
            <v>HOUSING</v>
          </cell>
          <cell r="H8610" t="str">
            <v>HOU0965</v>
          </cell>
        </row>
        <row r="8611">
          <cell r="F8611" t="str">
            <v>MG624490</v>
          </cell>
          <cell r="G8611" t="str">
            <v>HOUSING</v>
          </cell>
          <cell r="H8611" t="str">
            <v>HOU0964</v>
          </cell>
        </row>
        <row r="8612">
          <cell r="F8612" t="str">
            <v>MG624161</v>
          </cell>
          <cell r="G8612" t="str">
            <v>HOUSING</v>
          </cell>
          <cell r="H8612" t="str">
            <v>HOU0963</v>
          </cell>
        </row>
        <row r="8613">
          <cell r="F8613" t="str">
            <v>XARR-15V-TC</v>
          </cell>
          <cell r="G8613" t="str">
            <v>HOUSING</v>
          </cell>
          <cell r="H8613" t="str">
            <v>HOU0962</v>
          </cell>
        </row>
        <row r="8614">
          <cell r="F8614" t="str">
            <v>DEM1-03231</v>
          </cell>
          <cell r="G8614" t="str">
            <v>HOUSING</v>
          </cell>
          <cell r="H8614" t="str">
            <v>HOU0958</v>
          </cell>
        </row>
        <row r="8615">
          <cell r="F8615" t="str">
            <v>DEM1-03223</v>
          </cell>
          <cell r="G8615" t="str">
            <v>HOUSING</v>
          </cell>
          <cell r="H8615" t="str">
            <v>HOU0957</v>
          </cell>
        </row>
        <row r="8616">
          <cell r="F8616" t="str">
            <v>DEM2-03183</v>
          </cell>
          <cell r="G8616" t="str">
            <v>HOUSING</v>
          </cell>
          <cell r="H8616" t="str">
            <v>HOU0956</v>
          </cell>
        </row>
        <row r="8617">
          <cell r="F8617" t="str">
            <v>DEM2-03321</v>
          </cell>
          <cell r="G8617" t="str">
            <v>HOUSING</v>
          </cell>
          <cell r="H8617" t="str">
            <v>HOU0954</v>
          </cell>
        </row>
        <row r="8618">
          <cell r="F8618" t="str">
            <v>DEM2-03343</v>
          </cell>
          <cell r="G8618" t="str">
            <v>HOUSING</v>
          </cell>
          <cell r="H8618" t="str">
            <v>HOU0953</v>
          </cell>
        </row>
        <row r="8619">
          <cell r="F8619" t="str">
            <v>DEM1-00334</v>
          </cell>
          <cell r="G8619" t="str">
            <v>HOUSING</v>
          </cell>
          <cell r="H8619" t="str">
            <v>HOU0952</v>
          </cell>
        </row>
        <row r="8620">
          <cell r="F8620" t="str">
            <v>DEM1-00351</v>
          </cell>
          <cell r="G8620" t="str">
            <v>HOUSING</v>
          </cell>
          <cell r="H8620" t="str">
            <v>HOU0950</v>
          </cell>
        </row>
        <row r="8621">
          <cell r="F8621" t="str">
            <v>DEM1-03352</v>
          </cell>
          <cell r="G8621" t="str">
            <v>HOUSING</v>
          </cell>
          <cell r="H8621" t="str">
            <v>HOU0949</v>
          </cell>
        </row>
        <row r="8622">
          <cell r="F8622" t="str">
            <v>YBNH250-10</v>
          </cell>
          <cell r="G8622" t="str">
            <v>HOUSING</v>
          </cell>
          <cell r="H8622" t="str">
            <v>HOU0948</v>
          </cell>
        </row>
        <row r="8623">
          <cell r="F8623" t="str">
            <v>YBNH250-13</v>
          </cell>
          <cell r="G8623" t="str">
            <v>HOUSING</v>
          </cell>
          <cell r="H8623" t="str">
            <v>HOU0947</v>
          </cell>
        </row>
        <row r="8624">
          <cell r="F8624" t="str">
            <v>1-480698-0</v>
          </cell>
          <cell r="G8624" t="str">
            <v>HOUSING</v>
          </cell>
          <cell r="H8624" t="str">
            <v>HOU0946</v>
          </cell>
        </row>
        <row r="8625">
          <cell r="F8625" t="str">
            <v>770340-1</v>
          </cell>
          <cell r="G8625" t="str">
            <v>HOUSING</v>
          </cell>
          <cell r="H8625" t="str">
            <v>HOU0945</v>
          </cell>
        </row>
        <row r="8626">
          <cell r="F8626" t="str">
            <v>YH396-02VR</v>
          </cell>
          <cell r="G8626" t="str">
            <v>HOUSING</v>
          </cell>
          <cell r="H8626" t="str">
            <v>HOU0944</v>
          </cell>
        </row>
        <row r="8627">
          <cell r="F8627" t="str">
            <v>YH396-02V(RE)</v>
          </cell>
          <cell r="G8627" t="str">
            <v>HOUSING</v>
          </cell>
          <cell r="H8627" t="str">
            <v>HOU0943</v>
          </cell>
        </row>
        <row r="8628">
          <cell r="F8628" t="str">
            <v>MG611226-2</v>
          </cell>
          <cell r="G8628" t="str">
            <v>HOUSING</v>
          </cell>
          <cell r="H8628" t="str">
            <v>HOU0942</v>
          </cell>
        </row>
        <row r="8629">
          <cell r="F8629" t="str">
            <v>04KR-6H-P</v>
          </cell>
          <cell r="G8629" t="str">
            <v>HOUSING</v>
          </cell>
          <cell r="H8629" t="str">
            <v>HOU0940</v>
          </cell>
        </row>
        <row r="8630">
          <cell r="F8630" t="str">
            <v>02KR-6H-P</v>
          </cell>
          <cell r="G8630" t="str">
            <v>HOUSING</v>
          </cell>
          <cell r="H8630" t="str">
            <v>HOU0939</v>
          </cell>
        </row>
        <row r="8631">
          <cell r="F8631" t="str">
            <v>MG624209</v>
          </cell>
          <cell r="G8631" t="str">
            <v>HOUSING</v>
          </cell>
          <cell r="H8631" t="str">
            <v>HOU0938</v>
          </cell>
        </row>
        <row r="8632">
          <cell r="F8632" t="str">
            <v>MG630839P-1(PK)</v>
          </cell>
          <cell r="G8632" t="str">
            <v>HOUSING</v>
          </cell>
          <cell r="H8632" t="str">
            <v>HOU0937</v>
          </cell>
        </row>
        <row r="8633">
          <cell r="F8633" t="str">
            <v>YDH200-32S</v>
          </cell>
          <cell r="G8633" t="str">
            <v>HOUSING</v>
          </cell>
          <cell r="H8633" t="str">
            <v>HOU0936</v>
          </cell>
        </row>
        <row r="8634">
          <cell r="F8634" t="str">
            <v>DEM2-E0031(GWIT)</v>
          </cell>
          <cell r="G8634" t="str">
            <v>HOUSING</v>
          </cell>
          <cell r="H8634" t="str">
            <v>HOU0935</v>
          </cell>
        </row>
        <row r="8635">
          <cell r="F8635" t="str">
            <v>YLR-08V-WGL1-Y</v>
          </cell>
          <cell r="G8635" t="str">
            <v>HOUSING</v>
          </cell>
          <cell r="H8635" t="str">
            <v>HOU0934</v>
          </cell>
        </row>
        <row r="8636">
          <cell r="F8636" t="str">
            <v>DEM1-B0031</v>
          </cell>
          <cell r="G8636" t="str">
            <v>HOUSING</v>
          </cell>
          <cell r="H8636" t="str">
            <v>HOU0933</v>
          </cell>
        </row>
        <row r="8637">
          <cell r="F8637" t="str">
            <v>DEM1-00364</v>
          </cell>
          <cell r="G8637" t="str">
            <v>HOUSING</v>
          </cell>
          <cell r="H8637" t="str">
            <v>HOU0932</v>
          </cell>
        </row>
        <row r="8638">
          <cell r="F8638" t="str">
            <v>SMH200-15H</v>
          </cell>
          <cell r="G8638" t="str">
            <v>HOUSING</v>
          </cell>
          <cell r="H8638" t="str">
            <v>HOU0931</v>
          </cell>
        </row>
        <row r="8639">
          <cell r="F8639" t="str">
            <v>SMH200-13H</v>
          </cell>
          <cell r="G8639" t="str">
            <v>HOUSING</v>
          </cell>
          <cell r="H8639" t="str">
            <v>HOU0929</v>
          </cell>
        </row>
        <row r="8640">
          <cell r="F8640" t="str">
            <v>SMH200-12H</v>
          </cell>
          <cell r="G8640" t="str">
            <v>HOUSING</v>
          </cell>
          <cell r="H8640" t="str">
            <v>HOU0928</v>
          </cell>
        </row>
        <row r="8641">
          <cell r="F8641" t="str">
            <v>SMH200-11H</v>
          </cell>
          <cell r="G8641" t="str">
            <v>HOUSING</v>
          </cell>
          <cell r="H8641" t="str">
            <v>HOU0927</v>
          </cell>
        </row>
        <row r="8642">
          <cell r="F8642" t="str">
            <v>SMH200-10H</v>
          </cell>
          <cell r="G8642" t="str">
            <v>HOUSING</v>
          </cell>
          <cell r="H8642" t="str">
            <v>HOU0926</v>
          </cell>
        </row>
        <row r="8643">
          <cell r="F8643" t="str">
            <v>SMH200-09H</v>
          </cell>
          <cell r="G8643" t="str">
            <v>HOUSING</v>
          </cell>
          <cell r="H8643" t="str">
            <v>HOU0925</v>
          </cell>
        </row>
        <row r="8644">
          <cell r="F8644" t="str">
            <v>SMH200-07H</v>
          </cell>
          <cell r="G8644" t="str">
            <v>HOUSING</v>
          </cell>
          <cell r="H8644" t="str">
            <v>HOU0924</v>
          </cell>
        </row>
        <row r="8645">
          <cell r="F8645" t="str">
            <v>SMH200-05H</v>
          </cell>
          <cell r="G8645" t="str">
            <v>HOUSING</v>
          </cell>
          <cell r="H8645" t="str">
            <v>HOU0923</v>
          </cell>
        </row>
        <row r="8646">
          <cell r="F8646" t="str">
            <v>SMH200-04H</v>
          </cell>
          <cell r="G8646" t="str">
            <v>HOUSING</v>
          </cell>
          <cell r="H8646" t="str">
            <v>HOU0922</v>
          </cell>
        </row>
        <row r="8647">
          <cell r="F8647" t="str">
            <v>SMH200-03H</v>
          </cell>
          <cell r="G8647" t="str">
            <v>HOUSING</v>
          </cell>
          <cell r="H8647" t="str">
            <v>HOU0921</v>
          </cell>
        </row>
        <row r="8648">
          <cell r="F8648" t="str">
            <v>SMH200-02H</v>
          </cell>
          <cell r="G8648" t="str">
            <v>HOUSING</v>
          </cell>
          <cell r="H8648" t="str">
            <v>HOU0920</v>
          </cell>
        </row>
        <row r="8649">
          <cell r="F8649" t="str">
            <v>1-1897625-1</v>
          </cell>
          <cell r="G8649" t="str">
            <v>HOUSING</v>
          </cell>
          <cell r="H8649" t="str">
            <v>HOU0919</v>
          </cell>
        </row>
        <row r="8650">
          <cell r="F8650" t="str">
            <v>1-1897624-1</v>
          </cell>
          <cell r="G8650" t="str">
            <v>HOUSING</v>
          </cell>
          <cell r="H8650" t="str">
            <v>HOU0918</v>
          </cell>
        </row>
        <row r="8651">
          <cell r="F8651" t="str">
            <v>MG625428-5</v>
          </cell>
          <cell r="G8651" t="str">
            <v>HOUSING</v>
          </cell>
          <cell r="H8651" t="str">
            <v>HOU0917</v>
          </cell>
        </row>
        <row r="8652">
          <cell r="F8652" t="str">
            <v>YH396-02VR(RE)</v>
          </cell>
          <cell r="G8652" t="str">
            <v>HOUSING</v>
          </cell>
          <cell r="H8652" t="str">
            <v>HOU0916</v>
          </cell>
        </row>
        <row r="8653">
          <cell r="F8653" t="str">
            <v>YH396-03VR(BL)</v>
          </cell>
          <cell r="G8653" t="str">
            <v>HOUSING</v>
          </cell>
          <cell r="H8653" t="str">
            <v>HOU0915</v>
          </cell>
        </row>
        <row r="8654">
          <cell r="F8654" t="str">
            <v>XMR-18V-TC</v>
          </cell>
          <cell r="G8654" t="str">
            <v>HOUSING</v>
          </cell>
          <cell r="H8654" t="str">
            <v>HOU0914</v>
          </cell>
        </row>
        <row r="8655">
          <cell r="F8655" t="str">
            <v>DEM2-00341</v>
          </cell>
          <cell r="G8655" t="str">
            <v>HOUSING</v>
          </cell>
          <cell r="H8655" t="str">
            <v>HOU0913</v>
          </cell>
        </row>
        <row r="8656">
          <cell r="F8656" t="str">
            <v>SMH250-02(RED)</v>
          </cell>
          <cell r="G8656" t="str">
            <v>HOUSING</v>
          </cell>
          <cell r="H8656" t="str">
            <v>HOU0912</v>
          </cell>
        </row>
        <row r="8657">
          <cell r="F8657" t="str">
            <v>25045HP-02A</v>
          </cell>
          <cell r="G8657" t="str">
            <v>HOUSING</v>
          </cell>
          <cell r="H8657" t="str">
            <v>HOU0911</v>
          </cell>
        </row>
        <row r="8658">
          <cell r="F8658" t="str">
            <v>MG621173T</v>
          </cell>
          <cell r="G8658" t="str">
            <v>HOUSING</v>
          </cell>
          <cell r="H8658" t="str">
            <v>HOU0910</v>
          </cell>
        </row>
        <row r="8659">
          <cell r="F8659" t="str">
            <v>YH396-07VRB(RED)</v>
          </cell>
          <cell r="G8659" t="str">
            <v>HOUSING</v>
          </cell>
          <cell r="H8659" t="str">
            <v>HOU0909</v>
          </cell>
        </row>
        <row r="8660">
          <cell r="F8660" t="str">
            <v>YH396-05VRB(BL)</v>
          </cell>
          <cell r="G8660" t="str">
            <v>HOUSING</v>
          </cell>
          <cell r="H8660" t="str">
            <v>HOU0908</v>
          </cell>
        </row>
        <row r="8661">
          <cell r="F8661" t="str">
            <v>YH396-03VRB</v>
          </cell>
          <cell r="G8661" t="str">
            <v>HOUSING</v>
          </cell>
          <cell r="H8661" t="str">
            <v>HOU0907</v>
          </cell>
        </row>
        <row r="8662">
          <cell r="F8662" t="str">
            <v>YH396-13VRB</v>
          </cell>
          <cell r="G8662" t="str">
            <v>HOUSING</v>
          </cell>
          <cell r="H8662" t="str">
            <v>HOU0906</v>
          </cell>
        </row>
        <row r="8663">
          <cell r="F8663" t="str">
            <v>SMH250-04(RED)</v>
          </cell>
          <cell r="G8663" t="str">
            <v>HOUSING</v>
          </cell>
          <cell r="H8663" t="str">
            <v>HOU0905</v>
          </cell>
        </row>
        <row r="8664">
          <cell r="F8664" t="str">
            <v>DEM1-00361</v>
          </cell>
          <cell r="G8664" t="str">
            <v>HOUSING</v>
          </cell>
          <cell r="H8664" t="str">
            <v>HOU0904</v>
          </cell>
        </row>
        <row r="8665">
          <cell r="F8665" t="str">
            <v>03NR-E4K(JST)BLK</v>
          </cell>
          <cell r="G8665" t="str">
            <v>HOUSING</v>
          </cell>
          <cell r="H8665" t="str">
            <v>HOU0903</v>
          </cell>
        </row>
        <row r="8666">
          <cell r="F8666" t="str">
            <v>AMP176448-1</v>
          </cell>
          <cell r="G8666" t="str">
            <v>HOUSING</v>
          </cell>
          <cell r="H8666" t="str">
            <v>HOU0902</v>
          </cell>
        </row>
        <row r="8667">
          <cell r="F8667" t="str">
            <v>DEM1-03221</v>
          </cell>
          <cell r="G8667" t="str">
            <v>HOUSING</v>
          </cell>
          <cell r="H8667" t="str">
            <v>HOU0901</v>
          </cell>
        </row>
        <row r="8668">
          <cell r="F8668" t="str">
            <v>DEM2-00344</v>
          </cell>
          <cell r="G8668" t="str">
            <v>HOUSING</v>
          </cell>
          <cell r="H8668" t="str">
            <v>HOU0900</v>
          </cell>
        </row>
        <row r="8669">
          <cell r="F8669" t="str">
            <v>MG635030</v>
          </cell>
          <cell r="G8669" t="str">
            <v>HOUSING</v>
          </cell>
          <cell r="H8669" t="str">
            <v>HOU0899</v>
          </cell>
        </row>
        <row r="8670">
          <cell r="F8670" t="str">
            <v>25045HP-05A</v>
          </cell>
          <cell r="G8670" t="str">
            <v>HOUSING</v>
          </cell>
          <cell r="H8670" t="str">
            <v>HOU0898</v>
          </cell>
        </row>
        <row r="8671">
          <cell r="F8671" t="str">
            <v>25045HP-10A</v>
          </cell>
          <cell r="G8671" t="str">
            <v>HOUSING</v>
          </cell>
          <cell r="H8671" t="str">
            <v>HOU0895</v>
          </cell>
        </row>
        <row r="8672">
          <cell r="F8672" t="str">
            <v>25045HP-14A</v>
          </cell>
          <cell r="G8672" t="str">
            <v>HOUSING</v>
          </cell>
          <cell r="H8672" t="str">
            <v>HOU0894</v>
          </cell>
        </row>
        <row r="8673">
          <cell r="F8673" t="str">
            <v>25045HP-15A</v>
          </cell>
          <cell r="G8673" t="str">
            <v>HOUSING</v>
          </cell>
          <cell r="H8673" t="str">
            <v>HOU0891</v>
          </cell>
        </row>
        <row r="8674">
          <cell r="F8674" t="str">
            <v>YLR-12VA-WGL1-Y</v>
          </cell>
          <cell r="G8674" t="str">
            <v>HOUSING</v>
          </cell>
          <cell r="H8674" t="str">
            <v>HOU0890</v>
          </cell>
        </row>
        <row r="8675">
          <cell r="F8675" t="str">
            <v>DEM1-03233</v>
          </cell>
          <cell r="G8675" t="str">
            <v>HOUSING</v>
          </cell>
          <cell r="H8675" t="str">
            <v>HOU0889</v>
          </cell>
        </row>
        <row r="8676">
          <cell r="F8676" t="str">
            <v>20CA-6H(20P)JST</v>
          </cell>
          <cell r="G8676" t="str">
            <v>HOUSING</v>
          </cell>
          <cell r="H8676" t="str">
            <v>HOU0888</v>
          </cell>
        </row>
        <row r="8677">
          <cell r="F8677" t="str">
            <v>YLR-04V-WGL1-Y</v>
          </cell>
          <cell r="G8677" t="str">
            <v>HOUSING</v>
          </cell>
          <cell r="H8677" t="str">
            <v>HOU0887</v>
          </cell>
        </row>
        <row r="8678">
          <cell r="F8678" t="str">
            <v>DEM1-00353</v>
          </cell>
          <cell r="G8678" t="str">
            <v>HOUSING</v>
          </cell>
          <cell r="H8678" t="str">
            <v>HOU0886</v>
          </cell>
        </row>
        <row r="8679">
          <cell r="F8679" t="str">
            <v>DEM2-03181</v>
          </cell>
          <cell r="G8679" t="str">
            <v>HOUSING</v>
          </cell>
          <cell r="H8679" t="str">
            <v>HOU0885</v>
          </cell>
        </row>
        <row r="8680">
          <cell r="F8680" t="str">
            <v>15001HS-04</v>
          </cell>
          <cell r="G8680" t="str">
            <v>HOUSING</v>
          </cell>
          <cell r="H8680" t="str">
            <v>HOU0884</v>
          </cell>
        </row>
        <row r="8681">
          <cell r="F8681" t="str">
            <v>SMP-02V-NC</v>
          </cell>
          <cell r="G8681" t="str">
            <v>HOUSING</v>
          </cell>
          <cell r="H8681" t="str">
            <v>HOU0883</v>
          </cell>
        </row>
        <row r="8682">
          <cell r="F8682" t="str">
            <v>DEM1-00354</v>
          </cell>
          <cell r="G8682" t="str">
            <v>HOUSING</v>
          </cell>
          <cell r="H8682" t="str">
            <v>HOU0882</v>
          </cell>
        </row>
        <row r="8683">
          <cell r="F8683" t="str">
            <v>MG621164T-1</v>
          </cell>
          <cell r="G8683" t="str">
            <v>HOUSING</v>
          </cell>
          <cell r="H8683" t="str">
            <v>HOU0881</v>
          </cell>
        </row>
        <row r="8684">
          <cell r="F8684" t="str">
            <v>YDH200-12S</v>
          </cell>
          <cell r="G8684" t="str">
            <v>HOUSING</v>
          </cell>
          <cell r="H8684" t="str">
            <v>HOU0879</v>
          </cell>
        </row>
        <row r="8685">
          <cell r="F8685" t="str">
            <v>1-171706-1</v>
          </cell>
          <cell r="G8685" t="str">
            <v>HOUSING</v>
          </cell>
          <cell r="H8685" t="str">
            <v>HOU0877</v>
          </cell>
        </row>
        <row r="8686">
          <cell r="F8686" t="str">
            <v>MG630591R-5</v>
          </cell>
          <cell r="G8686" t="str">
            <v>HOUSING</v>
          </cell>
          <cell r="H8686" t="str">
            <v>HOU0876</v>
          </cell>
        </row>
        <row r="8687">
          <cell r="F8687" t="str">
            <v>1-1743216-1</v>
          </cell>
          <cell r="G8687" t="str">
            <v>HOUSING</v>
          </cell>
          <cell r="H8687" t="str">
            <v>HOU0875</v>
          </cell>
        </row>
        <row r="8688">
          <cell r="F8688" t="str">
            <v>MG614501</v>
          </cell>
          <cell r="G8688" t="str">
            <v>HOUSING</v>
          </cell>
          <cell r="H8688" t="str">
            <v>HOU0874</v>
          </cell>
        </row>
        <row r="8689">
          <cell r="F8689" t="str">
            <v>MG621223DT</v>
          </cell>
          <cell r="G8689" t="str">
            <v>HOUSING</v>
          </cell>
          <cell r="H8689" t="str">
            <v>HOU0872</v>
          </cell>
        </row>
        <row r="8690">
          <cell r="F8690" t="str">
            <v>MG621533T</v>
          </cell>
          <cell r="G8690" t="str">
            <v>HOUSING</v>
          </cell>
          <cell r="H8690" t="str">
            <v>HOU0871</v>
          </cell>
        </row>
        <row r="8691">
          <cell r="F8691" t="str">
            <v>MG622537-D</v>
          </cell>
          <cell r="G8691" t="str">
            <v>HOUSING</v>
          </cell>
          <cell r="H8691" t="str">
            <v>HOU0870</v>
          </cell>
        </row>
        <row r="8692">
          <cell r="F8692" t="str">
            <v>06KR-6H-P</v>
          </cell>
          <cell r="G8692" t="str">
            <v>HOUSING</v>
          </cell>
          <cell r="H8692" t="str">
            <v>HOU0869</v>
          </cell>
        </row>
        <row r="8693">
          <cell r="F8693" t="str">
            <v>MG612540-1</v>
          </cell>
          <cell r="G8693" t="str">
            <v>HOUSING</v>
          </cell>
          <cell r="H8693" t="str">
            <v>HOU0868</v>
          </cell>
        </row>
        <row r="8694">
          <cell r="F8694" t="str">
            <v>25045HP-09A</v>
          </cell>
          <cell r="G8694" t="str">
            <v>HOUSING</v>
          </cell>
          <cell r="H8694" t="str">
            <v>HOU0867</v>
          </cell>
        </row>
        <row r="8695">
          <cell r="F8695" t="str">
            <v>HLR-02V</v>
          </cell>
          <cell r="G8695" t="str">
            <v>HOUSING</v>
          </cell>
          <cell r="H8695" t="str">
            <v>HOU0866</v>
          </cell>
        </row>
        <row r="8696">
          <cell r="F8696" t="str">
            <v>DEM1-03331</v>
          </cell>
          <cell r="G8696" t="str">
            <v>HOUSING</v>
          </cell>
          <cell r="H8696" t="str">
            <v>HOU0865</v>
          </cell>
        </row>
        <row r="8697">
          <cell r="F8697" t="str">
            <v>DEM1-03251</v>
          </cell>
          <cell r="G8697" t="str">
            <v>HOUSING</v>
          </cell>
          <cell r="H8697" t="str">
            <v>HOU0864</v>
          </cell>
        </row>
        <row r="8698">
          <cell r="F8698" t="str">
            <v>2005542-1</v>
          </cell>
          <cell r="G8698" t="str">
            <v>HOUSING</v>
          </cell>
          <cell r="H8698" t="str">
            <v>HOU0863</v>
          </cell>
        </row>
        <row r="8699">
          <cell r="F8699" t="str">
            <v>MG634873-5</v>
          </cell>
          <cell r="G8699" t="str">
            <v>HOUSING</v>
          </cell>
          <cell r="H8699" t="str">
            <v>HOU0861</v>
          </cell>
        </row>
        <row r="8700">
          <cell r="F8700" t="str">
            <v>MG635262-3</v>
          </cell>
          <cell r="G8700" t="str">
            <v>HOUSING</v>
          </cell>
          <cell r="H8700" t="str">
            <v>HOU0860</v>
          </cell>
        </row>
        <row r="8701">
          <cell r="F8701" t="str">
            <v>MG635262-5</v>
          </cell>
          <cell r="G8701" t="str">
            <v>HOUSING</v>
          </cell>
          <cell r="H8701" t="str">
            <v>HOU0859</v>
          </cell>
        </row>
        <row r="8702">
          <cell r="F8702" t="str">
            <v>MG634155</v>
          </cell>
          <cell r="G8702" t="str">
            <v>HOUSING</v>
          </cell>
          <cell r="H8702" t="str">
            <v>HOU0858</v>
          </cell>
        </row>
        <row r="8703">
          <cell r="F8703" t="str">
            <v>MG635262-1</v>
          </cell>
          <cell r="G8703" t="str">
            <v>HOUSING</v>
          </cell>
          <cell r="H8703" t="str">
            <v>HOU0854</v>
          </cell>
        </row>
        <row r="8704">
          <cell r="F8704" t="str">
            <v>MG635262</v>
          </cell>
          <cell r="G8704" t="str">
            <v>HOUSING</v>
          </cell>
          <cell r="H8704" t="str">
            <v>HOU0853</v>
          </cell>
        </row>
        <row r="8705">
          <cell r="F8705" t="str">
            <v>MG614158</v>
          </cell>
          <cell r="G8705" t="str">
            <v>HOUSING</v>
          </cell>
          <cell r="H8705" t="str">
            <v>HOU0852</v>
          </cell>
        </row>
        <row r="8706">
          <cell r="F8706" t="str">
            <v>MG635262-2</v>
          </cell>
          <cell r="G8706" t="str">
            <v>HOUSING</v>
          </cell>
          <cell r="H8706" t="str">
            <v>HOU0851</v>
          </cell>
        </row>
        <row r="8707">
          <cell r="F8707" t="str">
            <v>MG614705</v>
          </cell>
          <cell r="G8707" t="str">
            <v>HOUSING</v>
          </cell>
          <cell r="H8707" t="str">
            <v>HOU0850</v>
          </cell>
        </row>
        <row r="8708">
          <cell r="F8708" t="str">
            <v>YDH236-H02E(RE)</v>
          </cell>
          <cell r="G8708" t="str">
            <v>HOUSING</v>
          </cell>
          <cell r="H8708" t="str">
            <v>HOU0847</v>
          </cell>
        </row>
        <row r="8709">
          <cell r="F8709" t="str">
            <v>MG621164-1(RED)</v>
          </cell>
          <cell r="G8709" t="str">
            <v>HOUSING</v>
          </cell>
          <cell r="H8709" t="str">
            <v>HOU0846</v>
          </cell>
        </row>
        <row r="8710">
          <cell r="F8710" t="str">
            <v>DEM1-03363</v>
          </cell>
          <cell r="G8710" t="str">
            <v>HOUSING</v>
          </cell>
          <cell r="H8710" t="str">
            <v>HOU0845</v>
          </cell>
        </row>
        <row r="8711">
          <cell r="F8711" t="str">
            <v>DEM2-03212</v>
          </cell>
          <cell r="G8711" t="str">
            <v>HOUSING</v>
          </cell>
          <cell r="H8711" t="str">
            <v>HOU0844</v>
          </cell>
        </row>
        <row r="8712">
          <cell r="F8712">
            <v>620440</v>
          </cell>
          <cell r="G8712" t="str">
            <v>HOUSING</v>
          </cell>
          <cell r="H8712" t="str">
            <v>HOU0843</v>
          </cell>
        </row>
        <row r="8713">
          <cell r="F8713" t="str">
            <v>MG611227-3</v>
          </cell>
          <cell r="G8713" t="str">
            <v>HOUSING</v>
          </cell>
          <cell r="H8713" t="str">
            <v>HOU0842</v>
          </cell>
        </row>
        <row r="8714">
          <cell r="F8714" t="str">
            <v>DEM1-03261</v>
          </cell>
          <cell r="G8714" t="str">
            <v>HOUSING</v>
          </cell>
          <cell r="H8714" t="str">
            <v>HOU0841</v>
          </cell>
        </row>
        <row r="8715">
          <cell r="F8715" t="str">
            <v>DEM2-03213</v>
          </cell>
          <cell r="G8715" t="str">
            <v>HOUSING</v>
          </cell>
          <cell r="H8715" t="str">
            <v>HOU0840</v>
          </cell>
        </row>
        <row r="8716">
          <cell r="F8716" t="str">
            <v>DEM1-03361</v>
          </cell>
          <cell r="G8716" t="str">
            <v>HOUSING</v>
          </cell>
          <cell r="H8716" t="str">
            <v>HOU0839</v>
          </cell>
        </row>
        <row r="8717">
          <cell r="F8717" t="str">
            <v>DEM1-03353</v>
          </cell>
          <cell r="G8717" t="str">
            <v>HOUSING</v>
          </cell>
          <cell r="H8717" t="str">
            <v>HOU0838</v>
          </cell>
        </row>
        <row r="8718">
          <cell r="F8718" t="str">
            <v>DEM2-03342</v>
          </cell>
          <cell r="G8718" t="str">
            <v>HOUSING</v>
          </cell>
          <cell r="H8718" t="str">
            <v>HOU0837</v>
          </cell>
        </row>
        <row r="8719">
          <cell r="F8719" t="str">
            <v>MG622537DT</v>
          </cell>
          <cell r="G8719" t="str">
            <v>HOUSING</v>
          </cell>
          <cell r="H8719" t="str">
            <v>HOU0835</v>
          </cell>
        </row>
        <row r="8720">
          <cell r="F8720" t="str">
            <v>SMH200-06H</v>
          </cell>
          <cell r="G8720" t="str">
            <v>HOUSING</v>
          </cell>
          <cell r="H8720" t="str">
            <v>HOU0834</v>
          </cell>
        </row>
        <row r="8721">
          <cell r="F8721" t="str">
            <v>DEM1-03253</v>
          </cell>
          <cell r="G8721" t="str">
            <v>HOUSING</v>
          </cell>
          <cell r="H8721" t="str">
            <v>HOU0833</v>
          </cell>
        </row>
        <row r="8722">
          <cell r="F8722" t="str">
            <v>DEM1-03351</v>
          </cell>
          <cell r="G8722" t="str">
            <v>HOUSING</v>
          </cell>
          <cell r="H8722" t="str">
            <v>HOU0832</v>
          </cell>
        </row>
        <row r="8723">
          <cell r="F8723" t="str">
            <v>DEM2-03341</v>
          </cell>
          <cell r="G8723" t="str">
            <v>HOUSING</v>
          </cell>
          <cell r="H8723" t="str">
            <v>HOU0831</v>
          </cell>
        </row>
        <row r="8724">
          <cell r="F8724" t="str">
            <v>DEM2-03203</v>
          </cell>
          <cell r="G8724" t="str">
            <v>HOUSING</v>
          </cell>
          <cell r="H8724" t="str">
            <v>HOU0829</v>
          </cell>
        </row>
        <row r="8725">
          <cell r="F8725" t="str">
            <v>1897621-1</v>
          </cell>
          <cell r="G8725" t="str">
            <v>HOUSING</v>
          </cell>
          <cell r="H8725" t="str">
            <v>HOU0827</v>
          </cell>
        </row>
        <row r="8726">
          <cell r="F8726" t="str">
            <v>DEM2-03191</v>
          </cell>
          <cell r="G8726" t="str">
            <v>HOUSING</v>
          </cell>
          <cell r="H8726" t="str">
            <v>HOU0826</v>
          </cell>
        </row>
        <row r="8727">
          <cell r="F8727" t="str">
            <v>DEM2-03193</v>
          </cell>
          <cell r="G8727" t="str">
            <v>HOUSING</v>
          </cell>
          <cell r="H8727" t="str">
            <v>HOU0825</v>
          </cell>
        </row>
        <row r="8728">
          <cell r="F8728" t="str">
            <v>SMH250-04(YEL)</v>
          </cell>
          <cell r="G8728" t="str">
            <v>HOUSING</v>
          </cell>
          <cell r="H8728" t="str">
            <v>HOU0824</v>
          </cell>
        </row>
        <row r="8729">
          <cell r="F8729" t="str">
            <v>25045HP-04B(BLU)</v>
          </cell>
          <cell r="G8729" t="str">
            <v>HOUSING</v>
          </cell>
          <cell r="H8729" t="str">
            <v>HOU0823</v>
          </cell>
        </row>
        <row r="8730">
          <cell r="F8730" t="str">
            <v>DEM2-03201</v>
          </cell>
          <cell r="G8730" t="str">
            <v>HOUSING</v>
          </cell>
          <cell r="H8730" t="str">
            <v>HOU0821</v>
          </cell>
        </row>
        <row r="8731">
          <cell r="F8731" t="str">
            <v>25045HP-03A(BL)</v>
          </cell>
          <cell r="G8731" t="str">
            <v>HOUSING</v>
          </cell>
          <cell r="H8731" t="str">
            <v>HOU0820</v>
          </cell>
        </row>
        <row r="8732">
          <cell r="F8732" t="str">
            <v>25045HP-04A(BLU)</v>
          </cell>
          <cell r="G8732" t="str">
            <v>HOUSING</v>
          </cell>
          <cell r="H8732" t="str">
            <v>HOU0819</v>
          </cell>
        </row>
        <row r="8733">
          <cell r="F8733" t="str">
            <v>12PAF-6S</v>
          </cell>
          <cell r="G8733" t="str">
            <v>HOUSING</v>
          </cell>
          <cell r="H8733" t="str">
            <v>HOU0818</v>
          </cell>
        </row>
        <row r="8734">
          <cell r="F8734" t="str">
            <v>YDW236-01(WH)</v>
          </cell>
          <cell r="G8734" t="str">
            <v>HOUSING</v>
          </cell>
          <cell r="H8734" t="str">
            <v>HOU0811</v>
          </cell>
        </row>
        <row r="8735">
          <cell r="F8735" t="str">
            <v>DEM1-00261(HW)</v>
          </cell>
          <cell r="G8735" t="str">
            <v>HOUSING</v>
          </cell>
          <cell r="H8735" t="str">
            <v>HOU0805</v>
          </cell>
        </row>
        <row r="8736">
          <cell r="F8736" t="str">
            <v>DEM2-00214</v>
          </cell>
          <cell r="G8736" t="str">
            <v>HOUSING</v>
          </cell>
          <cell r="H8736" t="str">
            <v>HOU0804</v>
          </cell>
        </row>
        <row r="8737">
          <cell r="F8737" t="str">
            <v>DEM2-00213(BLU)</v>
          </cell>
          <cell r="G8737" t="str">
            <v>HOUSING</v>
          </cell>
          <cell r="H8737" t="str">
            <v>HOU0803</v>
          </cell>
        </row>
        <row r="8738">
          <cell r="F8738" t="str">
            <v>DEM2-03211</v>
          </cell>
          <cell r="G8738" t="str">
            <v>HOUSING</v>
          </cell>
          <cell r="H8738" t="str">
            <v>HOU0801</v>
          </cell>
        </row>
        <row r="8739">
          <cell r="F8739" t="str">
            <v>DEM1-00251(HW)</v>
          </cell>
          <cell r="G8739" t="str">
            <v>HOUSING</v>
          </cell>
          <cell r="H8739" t="str">
            <v>HOU0797</v>
          </cell>
        </row>
        <row r="8740">
          <cell r="F8740" t="str">
            <v>DEM2-00204</v>
          </cell>
          <cell r="G8740" t="str">
            <v>HOUSING</v>
          </cell>
          <cell r="H8740" t="str">
            <v>HOU0796</v>
          </cell>
        </row>
        <row r="8741">
          <cell r="F8741" t="str">
            <v>DEM2-00203(BLU)</v>
          </cell>
          <cell r="G8741" t="str">
            <v>HOUSING</v>
          </cell>
          <cell r="H8741" t="str">
            <v>HOU0795</v>
          </cell>
        </row>
        <row r="8742">
          <cell r="F8742" t="str">
            <v>DEM2-00201</v>
          </cell>
          <cell r="G8742" t="str">
            <v>HOUSING</v>
          </cell>
          <cell r="H8742" t="str">
            <v>HOU0793</v>
          </cell>
        </row>
        <row r="8743">
          <cell r="F8743" t="str">
            <v>DEM1-00243(BLU)</v>
          </cell>
          <cell r="G8743" t="str">
            <v>HOUSING</v>
          </cell>
          <cell r="H8743" t="str">
            <v>HOU0791</v>
          </cell>
        </row>
        <row r="8744">
          <cell r="F8744" t="str">
            <v>DEM2-00194</v>
          </cell>
          <cell r="G8744" t="str">
            <v>HOUSING</v>
          </cell>
          <cell r="H8744" t="str">
            <v>HOU0781</v>
          </cell>
        </row>
        <row r="8745">
          <cell r="F8745" t="str">
            <v>DEM2-00193(BLU)</v>
          </cell>
          <cell r="G8745" t="str">
            <v>HOUSING</v>
          </cell>
          <cell r="H8745" t="str">
            <v>HOU0780</v>
          </cell>
        </row>
        <row r="8746">
          <cell r="F8746" t="str">
            <v>DEM2-00191</v>
          </cell>
          <cell r="G8746" t="str">
            <v>HOUSING</v>
          </cell>
          <cell r="H8746" t="str">
            <v>HOU0778</v>
          </cell>
        </row>
        <row r="8747">
          <cell r="F8747" t="str">
            <v>DEM2-00184</v>
          </cell>
          <cell r="G8747" t="str">
            <v>HOUSING</v>
          </cell>
          <cell r="H8747" t="str">
            <v>HOU0777</v>
          </cell>
        </row>
        <row r="8748">
          <cell r="F8748" t="str">
            <v>DEM2-00183</v>
          </cell>
          <cell r="G8748" t="str">
            <v>HOUSING</v>
          </cell>
          <cell r="H8748" t="str">
            <v>HOU0776</v>
          </cell>
        </row>
        <row r="8749">
          <cell r="F8749" t="str">
            <v>DEM2-00181(WH)</v>
          </cell>
          <cell r="G8749" t="str">
            <v>HOUSING</v>
          </cell>
          <cell r="H8749" t="str">
            <v>HOU0774</v>
          </cell>
        </row>
        <row r="8750">
          <cell r="F8750" t="str">
            <v>YDW236-02(WH)</v>
          </cell>
          <cell r="G8750" t="str">
            <v>HOUSING</v>
          </cell>
          <cell r="H8750" t="str">
            <v>HOU0773</v>
          </cell>
        </row>
        <row r="8751">
          <cell r="F8751" t="str">
            <v>SMH250-06L(RE)</v>
          </cell>
          <cell r="G8751" t="str">
            <v>HOUSING</v>
          </cell>
          <cell r="H8751" t="str">
            <v>HOU0772</v>
          </cell>
        </row>
        <row r="8752">
          <cell r="F8752" t="str">
            <v>20022HS-04</v>
          </cell>
          <cell r="G8752" t="str">
            <v>HOUSING</v>
          </cell>
          <cell r="H8752" t="str">
            <v>HOU0771</v>
          </cell>
        </row>
        <row r="8753">
          <cell r="F8753" t="str">
            <v>SMW200-06</v>
          </cell>
          <cell r="G8753" t="str">
            <v>HOUSING</v>
          </cell>
          <cell r="H8753" t="str">
            <v>HOU0768</v>
          </cell>
        </row>
        <row r="8754">
          <cell r="F8754" t="str">
            <v>SMW200-04</v>
          </cell>
          <cell r="G8754" t="str">
            <v>HOUSING</v>
          </cell>
          <cell r="H8754" t="str">
            <v>HOU0767</v>
          </cell>
        </row>
        <row r="8755">
          <cell r="F8755" t="str">
            <v>MG624537</v>
          </cell>
          <cell r="G8755" t="str">
            <v>HOUSING</v>
          </cell>
          <cell r="H8755" t="str">
            <v>HOU0764</v>
          </cell>
        </row>
        <row r="8756">
          <cell r="F8756" t="str">
            <v>MG614706</v>
          </cell>
          <cell r="G8756" t="str">
            <v>HOUSING</v>
          </cell>
          <cell r="H8756" t="str">
            <v>HOU0762</v>
          </cell>
        </row>
        <row r="8757">
          <cell r="F8757" t="str">
            <v>MG634028</v>
          </cell>
          <cell r="G8757" t="str">
            <v>HOUSING</v>
          </cell>
          <cell r="H8757" t="str">
            <v>HOU0761</v>
          </cell>
        </row>
        <row r="8758">
          <cell r="F8758" t="str">
            <v>MG634028-2</v>
          </cell>
          <cell r="G8758" t="str">
            <v>HOUSING</v>
          </cell>
          <cell r="H8758" t="str">
            <v>HOU0760</v>
          </cell>
        </row>
        <row r="8759">
          <cell r="F8759" t="str">
            <v>MG634707</v>
          </cell>
          <cell r="G8759" t="str">
            <v>HOUSING</v>
          </cell>
          <cell r="H8759" t="str">
            <v>HOU0759</v>
          </cell>
        </row>
        <row r="8760">
          <cell r="F8760" t="str">
            <v>25045HP-04A</v>
          </cell>
          <cell r="G8760" t="str">
            <v>HOUSING</v>
          </cell>
          <cell r="H8760" t="str">
            <v>HOU0758</v>
          </cell>
        </row>
        <row r="8761">
          <cell r="F8761" t="str">
            <v>MG624489</v>
          </cell>
          <cell r="G8761" t="str">
            <v>HOUSING</v>
          </cell>
          <cell r="H8761" t="str">
            <v>HOU0757</v>
          </cell>
        </row>
        <row r="8762">
          <cell r="F8762" t="str">
            <v>1743206-2</v>
          </cell>
          <cell r="G8762" t="str">
            <v>HOUSING</v>
          </cell>
          <cell r="H8762" t="str">
            <v>HOU0756</v>
          </cell>
        </row>
        <row r="8763">
          <cell r="F8763" t="str">
            <v>LH05-03UV</v>
          </cell>
          <cell r="G8763" t="str">
            <v>HOUSING</v>
          </cell>
          <cell r="H8763" t="str">
            <v>HOU0755</v>
          </cell>
        </row>
        <row r="8764">
          <cell r="F8764" t="str">
            <v>MG610224S-5</v>
          </cell>
          <cell r="G8764" t="str">
            <v>HOUSING</v>
          </cell>
          <cell r="H8764" t="str">
            <v>HOU0754</v>
          </cell>
        </row>
        <row r="8765">
          <cell r="F8765" t="str">
            <v>MG615163</v>
          </cell>
          <cell r="G8765" t="str">
            <v>HOUSING</v>
          </cell>
          <cell r="H8765" t="str">
            <v>HOU0753</v>
          </cell>
        </row>
        <row r="8766">
          <cell r="F8766" t="str">
            <v>25045HP-12(BLK)</v>
          </cell>
          <cell r="G8766" t="str">
            <v>HOUSING</v>
          </cell>
          <cell r="H8766" t="str">
            <v>HOU0752</v>
          </cell>
        </row>
        <row r="8767">
          <cell r="F8767" t="str">
            <v>MG615077-5</v>
          </cell>
          <cell r="G8767" t="str">
            <v>HOUSING</v>
          </cell>
          <cell r="H8767" t="str">
            <v>HOU0751</v>
          </cell>
        </row>
        <row r="8768">
          <cell r="F8768" t="str">
            <v>MG615077</v>
          </cell>
          <cell r="G8768" t="str">
            <v>HOUSING</v>
          </cell>
          <cell r="H8768" t="str">
            <v>HOU0750</v>
          </cell>
        </row>
        <row r="8769">
          <cell r="F8769" t="str">
            <v>MG634873</v>
          </cell>
          <cell r="G8769" t="str">
            <v>HOUSING</v>
          </cell>
          <cell r="H8769" t="str">
            <v>HOU0749</v>
          </cell>
        </row>
        <row r="8770">
          <cell r="F8770" t="str">
            <v>MG614488</v>
          </cell>
          <cell r="G8770" t="str">
            <v>HOUSING</v>
          </cell>
          <cell r="H8770" t="str">
            <v>HOU0748</v>
          </cell>
        </row>
        <row r="8771">
          <cell r="F8771" t="str">
            <v>SMH250-12L(BLK)</v>
          </cell>
          <cell r="G8771" t="str">
            <v>HOUSING</v>
          </cell>
          <cell r="H8771" t="str">
            <v>HOU0747</v>
          </cell>
        </row>
        <row r="8772">
          <cell r="F8772" t="str">
            <v>YDH236-H02E(GR)</v>
          </cell>
          <cell r="G8772" t="str">
            <v>HOUSING</v>
          </cell>
          <cell r="H8772" t="str">
            <v>HOU0746</v>
          </cell>
        </row>
        <row r="8773">
          <cell r="F8773" t="str">
            <v>YDH236-H01E(GR)</v>
          </cell>
          <cell r="G8773" t="str">
            <v>HOUSING</v>
          </cell>
          <cell r="H8773" t="str">
            <v>HOU0745</v>
          </cell>
        </row>
        <row r="8774">
          <cell r="F8774" t="str">
            <v>YLR-02VF</v>
          </cell>
          <cell r="G8774" t="str">
            <v>HOUSING</v>
          </cell>
          <cell r="H8774" t="str">
            <v>HOU0744</v>
          </cell>
        </row>
        <row r="8775">
          <cell r="F8775" t="str">
            <v>PWCP-03V-WGL1</v>
          </cell>
          <cell r="G8775" t="str">
            <v>HOUSING</v>
          </cell>
          <cell r="H8775" t="str">
            <v>HOU0743</v>
          </cell>
        </row>
        <row r="8776">
          <cell r="F8776" t="str">
            <v>25045HP-06A</v>
          </cell>
          <cell r="G8776" t="str">
            <v>HOUSING</v>
          </cell>
          <cell r="H8776" t="str">
            <v>HOU0742</v>
          </cell>
        </row>
        <row r="8777">
          <cell r="F8777" t="str">
            <v>MG615012</v>
          </cell>
          <cell r="G8777" t="str">
            <v>HOUSING</v>
          </cell>
          <cell r="H8777" t="str">
            <v>HOU0741</v>
          </cell>
        </row>
        <row r="8778">
          <cell r="F8778" t="str">
            <v>MG621164T</v>
          </cell>
          <cell r="G8778" t="str">
            <v>HOUSING</v>
          </cell>
          <cell r="H8778" t="str">
            <v>HOU0740</v>
          </cell>
        </row>
        <row r="8779">
          <cell r="F8779" t="str">
            <v>SMH200-08H</v>
          </cell>
          <cell r="G8779" t="str">
            <v>HOUSING</v>
          </cell>
          <cell r="H8779" t="str">
            <v>HOU0738</v>
          </cell>
        </row>
        <row r="8780">
          <cell r="F8780" t="str">
            <v>YLR-04VF</v>
          </cell>
          <cell r="G8780" t="str">
            <v>HOUSING</v>
          </cell>
          <cell r="H8780" t="str">
            <v>HOU0737</v>
          </cell>
        </row>
        <row r="8781">
          <cell r="F8781" t="str">
            <v>YDH236-H01E</v>
          </cell>
          <cell r="G8781" t="str">
            <v>HOUSING</v>
          </cell>
          <cell r="H8781" t="str">
            <v>HOU0736</v>
          </cell>
        </row>
        <row r="8782">
          <cell r="F8782" t="str">
            <v>YDH236-H02E</v>
          </cell>
          <cell r="G8782" t="str">
            <v>HOUSING</v>
          </cell>
          <cell r="H8782" t="str">
            <v>HOU0735</v>
          </cell>
        </row>
        <row r="8783">
          <cell r="F8783" t="str">
            <v>MG612947</v>
          </cell>
          <cell r="G8783" t="str">
            <v>HOUSING</v>
          </cell>
          <cell r="H8783" t="str">
            <v>HOU0728</v>
          </cell>
        </row>
        <row r="8784">
          <cell r="F8784" t="str">
            <v>SMH250-07L(RE)</v>
          </cell>
          <cell r="G8784" t="str">
            <v>HOUSING</v>
          </cell>
          <cell r="H8784" t="str">
            <v>HOU0727</v>
          </cell>
        </row>
        <row r="8785">
          <cell r="F8785" t="str">
            <v>MG632202R</v>
          </cell>
          <cell r="G8785" t="str">
            <v>HOUSING</v>
          </cell>
          <cell r="H8785" t="str">
            <v>HOU0726</v>
          </cell>
        </row>
        <row r="8786">
          <cell r="F8786" t="str">
            <v>49624-0695</v>
          </cell>
          <cell r="G8786" t="str">
            <v>HOUSING</v>
          </cell>
          <cell r="H8786" t="str">
            <v>HOU0724</v>
          </cell>
        </row>
        <row r="8787">
          <cell r="F8787" t="str">
            <v>YH396-02VR(BLU)</v>
          </cell>
          <cell r="G8787" t="str">
            <v>HOUSING</v>
          </cell>
          <cell r="H8787" t="str">
            <v>HOU0723</v>
          </cell>
        </row>
        <row r="8788">
          <cell r="F8788" t="str">
            <v>MG621934</v>
          </cell>
          <cell r="G8788" t="str">
            <v>HOUSING</v>
          </cell>
          <cell r="H8788" t="str">
            <v>HOU0720</v>
          </cell>
        </row>
        <row r="8789">
          <cell r="F8789" t="str">
            <v>DEM1-00091</v>
          </cell>
          <cell r="G8789" t="str">
            <v>HOUSING</v>
          </cell>
          <cell r="H8789" t="str">
            <v>HOU0719</v>
          </cell>
        </row>
        <row r="8790">
          <cell r="F8790" t="str">
            <v>YH396-08VR</v>
          </cell>
          <cell r="G8790" t="str">
            <v>HOUSING</v>
          </cell>
          <cell r="H8790" t="str">
            <v>HOU0718</v>
          </cell>
        </row>
        <row r="8791">
          <cell r="F8791" t="str">
            <v>YH396-04VR</v>
          </cell>
          <cell r="G8791" t="str">
            <v>HOUSING</v>
          </cell>
          <cell r="H8791" t="str">
            <v>HOU0717</v>
          </cell>
        </row>
        <row r="8792">
          <cell r="F8792" t="str">
            <v>SMH250-04L(BLU)</v>
          </cell>
          <cell r="G8792" t="str">
            <v>HOUSING</v>
          </cell>
          <cell r="H8792" t="str">
            <v>HOU0716</v>
          </cell>
        </row>
        <row r="8793">
          <cell r="F8793" t="str">
            <v>25045HP-07A</v>
          </cell>
          <cell r="G8793" t="str">
            <v>HOUSING</v>
          </cell>
          <cell r="H8793" t="str">
            <v>HOU0714</v>
          </cell>
        </row>
        <row r="8794">
          <cell r="F8794" t="str">
            <v>SMH200-12(RED)</v>
          </cell>
          <cell r="G8794" t="str">
            <v>HOUSING</v>
          </cell>
          <cell r="H8794" t="str">
            <v>HOU0712</v>
          </cell>
        </row>
        <row r="8795">
          <cell r="F8795" t="str">
            <v>MG621223D</v>
          </cell>
          <cell r="G8795" t="str">
            <v>HOUSING</v>
          </cell>
          <cell r="H8795" t="str">
            <v>HOU0711</v>
          </cell>
        </row>
        <row r="8796">
          <cell r="F8796" t="str">
            <v>25045HP-02B</v>
          </cell>
          <cell r="G8796" t="str">
            <v>HOUSING</v>
          </cell>
          <cell r="H8796" t="str">
            <v>HOU0710</v>
          </cell>
        </row>
        <row r="8797">
          <cell r="F8797" t="str">
            <v>25045HP-13A</v>
          </cell>
          <cell r="G8797" t="str">
            <v>HOUSING</v>
          </cell>
          <cell r="H8797" t="str">
            <v>HOU0709</v>
          </cell>
        </row>
        <row r="8798">
          <cell r="F8798" t="str">
            <v>XMP-05V</v>
          </cell>
          <cell r="G8798" t="str">
            <v>HOUSING</v>
          </cell>
          <cell r="H8798" t="str">
            <v>HOU0707</v>
          </cell>
        </row>
        <row r="8799">
          <cell r="F8799" t="str">
            <v>XMR-05V</v>
          </cell>
          <cell r="G8799" t="str">
            <v>HOUSING</v>
          </cell>
          <cell r="H8799" t="str">
            <v>HOU0704</v>
          </cell>
        </row>
        <row r="8800">
          <cell r="F8800" t="str">
            <v>XMR-08V</v>
          </cell>
          <cell r="G8800" t="str">
            <v>HOUSING</v>
          </cell>
          <cell r="H8800" t="str">
            <v>HOU0703</v>
          </cell>
        </row>
        <row r="8801">
          <cell r="F8801" t="str">
            <v>YH396-07VR(BL)</v>
          </cell>
          <cell r="G8801" t="str">
            <v>HOUSING</v>
          </cell>
          <cell r="H8801" t="str">
            <v>HOU0702</v>
          </cell>
        </row>
        <row r="8802">
          <cell r="F8802" t="str">
            <v>XMP-08V</v>
          </cell>
          <cell r="G8802" t="str">
            <v>HOUSING</v>
          </cell>
          <cell r="H8802" t="str">
            <v>HOU0701</v>
          </cell>
        </row>
        <row r="8803">
          <cell r="F8803" t="str">
            <v>610593T</v>
          </cell>
          <cell r="G8803" t="str">
            <v>HOUSING</v>
          </cell>
          <cell r="H8803" t="str">
            <v>HOU0700</v>
          </cell>
        </row>
        <row r="8804">
          <cell r="F8804" t="str">
            <v>SMH250-10</v>
          </cell>
          <cell r="G8804" t="str">
            <v>HOUSING</v>
          </cell>
          <cell r="H8804" t="str">
            <v>HOU0699</v>
          </cell>
        </row>
        <row r="8805">
          <cell r="F8805" t="str">
            <v>MG630590R</v>
          </cell>
          <cell r="G8805" t="str">
            <v>HOUSING</v>
          </cell>
          <cell r="H8805" t="str">
            <v>HOU0698</v>
          </cell>
        </row>
        <row r="8806">
          <cell r="F8806" t="str">
            <v>SMP250-02</v>
          </cell>
          <cell r="G8806" t="str">
            <v>HOUSING</v>
          </cell>
          <cell r="H8806" t="str">
            <v>HOU0697</v>
          </cell>
        </row>
        <row r="8807">
          <cell r="F8807" t="str">
            <v>YBNH200-04</v>
          </cell>
          <cell r="G8807" t="str">
            <v>HOUSING</v>
          </cell>
          <cell r="H8807" t="str">
            <v>HOU0696</v>
          </cell>
        </row>
        <row r="8808">
          <cell r="F8808" t="str">
            <v>YBNH200-03</v>
          </cell>
          <cell r="G8808" t="str">
            <v>HOUSING</v>
          </cell>
          <cell r="H8808" t="str">
            <v>HOU0695</v>
          </cell>
        </row>
        <row r="8809">
          <cell r="F8809" t="str">
            <v>SMH250-05</v>
          </cell>
          <cell r="G8809" t="str">
            <v>HOUSING</v>
          </cell>
          <cell r="H8809" t="str">
            <v>HOU0694</v>
          </cell>
        </row>
        <row r="8810">
          <cell r="F8810" t="str">
            <v>SMH250-03(RED)</v>
          </cell>
          <cell r="G8810" t="str">
            <v>HOUSING</v>
          </cell>
          <cell r="H8810" t="str">
            <v>HOU0693</v>
          </cell>
        </row>
        <row r="8811">
          <cell r="F8811" t="str">
            <v>SMH200-07</v>
          </cell>
          <cell r="G8811" t="str">
            <v>HOUSING</v>
          </cell>
          <cell r="H8811" t="str">
            <v>HOU0692</v>
          </cell>
        </row>
        <row r="8812">
          <cell r="F8812" t="str">
            <v>MG620223T</v>
          </cell>
          <cell r="G8812" t="str">
            <v>HOUSING</v>
          </cell>
          <cell r="H8812" t="str">
            <v>HOU0691</v>
          </cell>
        </row>
        <row r="8813">
          <cell r="F8813" t="str">
            <v>12507HS-04L</v>
          </cell>
          <cell r="G8813" t="str">
            <v>HOUSING</v>
          </cell>
          <cell r="H8813" t="str">
            <v>HOU0690</v>
          </cell>
        </row>
        <row r="8814">
          <cell r="F8814" t="str">
            <v>MG634527</v>
          </cell>
          <cell r="G8814" t="str">
            <v>HOUSING</v>
          </cell>
          <cell r="H8814" t="str">
            <v>HOU0689</v>
          </cell>
        </row>
        <row r="8815">
          <cell r="F8815" t="str">
            <v>YH396-05VR(YE)</v>
          </cell>
          <cell r="G8815" t="str">
            <v>HOUSING</v>
          </cell>
          <cell r="H8815" t="str">
            <v>HOU0688</v>
          </cell>
        </row>
        <row r="8816">
          <cell r="F8816" t="str">
            <v>20022HS-06</v>
          </cell>
          <cell r="G8816" t="str">
            <v>HOUSING</v>
          </cell>
          <cell r="H8816" t="str">
            <v>HOU0686</v>
          </cell>
        </row>
        <row r="8817">
          <cell r="F8817" t="str">
            <v>35162-0110</v>
          </cell>
          <cell r="G8817" t="str">
            <v>HOUSING</v>
          </cell>
          <cell r="H8817" t="str">
            <v>HOU0684</v>
          </cell>
        </row>
        <row r="8818">
          <cell r="F8818" t="str">
            <v>49623-1290</v>
          </cell>
          <cell r="G8818" t="str">
            <v>HOUSING</v>
          </cell>
          <cell r="H8818" t="str">
            <v>HOU0683</v>
          </cell>
        </row>
        <row r="8819">
          <cell r="F8819" t="str">
            <v>HLP-03V</v>
          </cell>
          <cell r="G8819" t="str">
            <v>HOUSING</v>
          </cell>
          <cell r="H8819" t="str">
            <v>HOU0682</v>
          </cell>
        </row>
        <row r="8820">
          <cell r="F8820" t="str">
            <v>1-1743068-1</v>
          </cell>
          <cell r="G8820" t="str">
            <v>HOUSING</v>
          </cell>
          <cell r="H8820" t="str">
            <v>HOU0680</v>
          </cell>
        </row>
        <row r="8821">
          <cell r="F8821" t="str">
            <v>1743206-1</v>
          </cell>
          <cell r="G8821" t="str">
            <v>HOUSING</v>
          </cell>
          <cell r="H8821" t="str">
            <v>HOU0679</v>
          </cell>
        </row>
        <row r="8822">
          <cell r="F8822" t="str">
            <v>YBH200-06</v>
          </cell>
          <cell r="G8822" t="str">
            <v>HOUSING</v>
          </cell>
          <cell r="H8822" t="str">
            <v>HOU0677</v>
          </cell>
        </row>
        <row r="8823">
          <cell r="F8823" t="str">
            <v>SMH200-02</v>
          </cell>
          <cell r="G8823" t="str">
            <v>HOUSING</v>
          </cell>
          <cell r="H8823" t="str">
            <v>HOU0674</v>
          </cell>
        </row>
        <row r="8824">
          <cell r="F8824" t="str">
            <v>20022HS-02</v>
          </cell>
          <cell r="G8824" t="str">
            <v>HOUSING</v>
          </cell>
          <cell r="H8824" t="str">
            <v>HOU0673</v>
          </cell>
        </row>
        <row r="8825">
          <cell r="F8825" t="str">
            <v>12505HS-04</v>
          </cell>
          <cell r="G8825" t="str">
            <v>HOUSING</v>
          </cell>
          <cell r="H8825" t="str">
            <v>HOU0672</v>
          </cell>
        </row>
        <row r="8826">
          <cell r="F8826" t="str">
            <v>12507HS-10L</v>
          </cell>
          <cell r="G8826" t="str">
            <v>HOUSING</v>
          </cell>
          <cell r="H8826" t="str">
            <v>HOU0671</v>
          </cell>
        </row>
        <row r="8827">
          <cell r="F8827" t="str">
            <v>YDH236-02(RE)</v>
          </cell>
          <cell r="G8827" t="str">
            <v>HOUSING</v>
          </cell>
          <cell r="H8827" t="str">
            <v>HOU0670</v>
          </cell>
        </row>
        <row r="8828">
          <cell r="F8828" t="str">
            <v>YBH200-10</v>
          </cell>
          <cell r="G8828" t="str">
            <v>HOUSING</v>
          </cell>
          <cell r="H8828" t="str">
            <v>HOU0667</v>
          </cell>
        </row>
        <row r="8829">
          <cell r="F8829" t="str">
            <v>SMP250-10</v>
          </cell>
          <cell r="G8829" t="str">
            <v>HOUSING</v>
          </cell>
          <cell r="H8829" t="str">
            <v>HOU0666</v>
          </cell>
        </row>
        <row r="8830">
          <cell r="F8830" t="str">
            <v>XMP-03V</v>
          </cell>
          <cell r="G8830" t="str">
            <v>HOUSING</v>
          </cell>
          <cell r="H8830" t="str">
            <v>HOU0664</v>
          </cell>
        </row>
        <row r="8831">
          <cell r="F8831" t="str">
            <v>XMR-03V</v>
          </cell>
          <cell r="G8831" t="str">
            <v>HOUSING</v>
          </cell>
          <cell r="H8831" t="str">
            <v>HOU0663</v>
          </cell>
        </row>
        <row r="8832">
          <cell r="F8832" t="str">
            <v>PWBR 03VF-WGL1</v>
          </cell>
          <cell r="G8832" t="str">
            <v>HOUSING</v>
          </cell>
          <cell r="H8832" t="str">
            <v>HOU0662</v>
          </cell>
        </row>
        <row r="8833">
          <cell r="F8833" t="str">
            <v>PWBR 06VF-WGL1</v>
          </cell>
          <cell r="G8833" t="str">
            <v>HOUSING</v>
          </cell>
          <cell r="H8833" t="str">
            <v>HOU0661</v>
          </cell>
        </row>
        <row r="8834">
          <cell r="F8834" t="str">
            <v>YLR-10VA-3-WGL1-Y</v>
          </cell>
          <cell r="G8834" t="str">
            <v>HOUSING</v>
          </cell>
          <cell r="H8834" t="str">
            <v>HOU0660</v>
          </cell>
        </row>
        <row r="8835">
          <cell r="F8835" t="str">
            <v>XMR-07V</v>
          </cell>
          <cell r="G8835" t="str">
            <v>HOUSING</v>
          </cell>
          <cell r="H8835" t="str">
            <v>HOU0657</v>
          </cell>
        </row>
        <row r="8836">
          <cell r="F8836" t="str">
            <v>XMP-07V</v>
          </cell>
          <cell r="G8836" t="str">
            <v>HOUSING</v>
          </cell>
          <cell r="H8836" t="str">
            <v>HOU0655</v>
          </cell>
        </row>
        <row r="8837">
          <cell r="F8837" t="str">
            <v>PWBR 06V-WGL1</v>
          </cell>
          <cell r="G8837" t="str">
            <v>HOUSING</v>
          </cell>
          <cell r="H8837" t="str">
            <v>HOU0654</v>
          </cell>
        </row>
        <row r="8838">
          <cell r="F8838" t="str">
            <v>PWBR 03V-WGL1</v>
          </cell>
          <cell r="G8838" t="str">
            <v>HOUSING</v>
          </cell>
          <cell r="H8838" t="str">
            <v>HOU0653</v>
          </cell>
        </row>
        <row r="8839">
          <cell r="F8839" t="str">
            <v>MG614538</v>
          </cell>
          <cell r="G8839" t="str">
            <v>HOUSING</v>
          </cell>
          <cell r="H8839" t="str">
            <v>HOU0652</v>
          </cell>
        </row>
        <row r="8840">
          <cell r="F8840" t="str">
            <v>PWBP 03V-WGL1</v>
          </cell>
          <cell r="G8840" t="str">
            <v>HOUSING</v>
          </cell>
          <cell r="H8840" t="str">
            <v>HOU0651</v>
          </cell>
        </row>
        <row r="8841">
          <cell r="F8841" t="str">
            <v>PWBP 06V-WGL1</v>
          </cell>
          <cell r="G8841" t="str">
            <v>HOUSING</v>
          </cell>
          <cell r="H8841" t="str">
            <v>HOU0650</v>
          </cell>
        </row>
        <row r="8842">
          <cell r="F8842" t="str">
            <v>SMH250-13L(RE)</v>
          </cell>
          <cell r="G8842" t="str">
            <v>HOUSING</v>
          </cell>
          <cell r="H8842" t="str">
            <v>HOU0649</v>
          </cell>
        </row>
        <row r="8843">
          <cell r="F8843" t="str">
            <v>YH396-06VR</v>
          </cell>
          <cell r="G8843" t="str">
            <v>HOUSING</v>
          </cell>
          <cell r="H8843" t="str">
            <v>HOU0648</v>
          </cell>
        </row>
        <row r="8844">
          <cell r="F8844" t="str">
            <v>25045HP-03A</v>
          </cell>
          <cell r="G8844" t="str">
            <v>HOUSING</v>
          </cell>
          <cell r="H8844" t="str">
            <v>HOU0646</v>
          </cell>
        </row>
        <row r="8845">
          <cell r="F8845" t="str">
            <v>MG634151</v>
          </cell>
          <cell r="G8845" t="str">
            <v>HOUSING</v>
          </cell>
          <cell r="H8845" t="str">
            <v>HOU0644</v>
          </cell>
        </row>
        <row r="8846">
          <cell r="F8846" t="str">
            <v>49624-1090</v>
          </cell>
          <cell r="G8846" t="str">
            <v>HOUSING</v>
          </cell>
          <cell r="H8846" t="str">
            <v>HOU0642</v>
          </cell>
        </row>
        <row r="8847">
          <cell r="F8847" t="str">
            <v>49623-1090</v>
          </cell>
          <cell r="G8847" t="str">
            <v>HOUSING</v>
          </cell>
          <cell r="H8847" t="str">
            <v>HOU0641</v>
          </cell>
        </row>
        <row r="8848">
          <cell r="F8848" t="str">
            <v>YLP-10VA-3-WGL1-Y</v>
          </cell>
          <cell r="G8848" t="str">
            <v>HOUSING</v>
          </cell>
          <cell r="H8848" t="str">
            <v>HOU0640</v>
          </cell>
        </row>
        <row r="8849">
          <cell r="F8849" t="str">
            <v>YBH200-03</v>
          </cell>
          <cell r="G8849" t="str">
            <v>HOUSING</v>
          </cell>
          <cell r="H8849" t="str">
            <v>HOU0639</v>
          </cell>
        </row>
        <row r="8850">
          <cell r="F8850" t="str">
            <v>49624-1095</v>
          </cell>
          <cell r="G8850" t="str">
            <v>HOUSING</v>
          </cell>
          <cell r="H8850" t="str">
            <v>HOU0638</v>
          </cell>
        </row>
        <row r="8851">
          <cell r="F8851" t="str">
            <v>SMH250-10L(RE)</v>
          </cell>
          <cell r="G8851" t="str">
            <v>HOUSING</v>
          </cell>
          <cell r="H8851" t="str">
            <v>HOU0634</v>
          </cell>
        </row>
        <row r="8852">
          <cell r="F8852" t="str">
            <v>SMH250-09L(RE)</v>
          </cell>
          <cell r="G8852" t="str">
            <v>HOUSING</v>
          </cell>
          <cell r="H8852" t="str">
            <v>HOU0633</v>
          </cell>
        </row>
        <row r="8853">
          <cell r="F8853" t="str">
            <v>MG621164G</v>
          </cell>
          <cell r="G8853" t="str">
            <v>HOUSING</v>
          </cell>
          <cell r="H8853" t="str">
            <v>HOU0631</v>
          </cell>
        </row>
        <row r="8854">
          <cell r="F8854" t="str">
            <v>MG634526</v>
          </cell>
          <cell r="G8854" t="str">
            <v>HOUSING</v>
          </cell>
          <cell r="H8854" t="str">
            <v>HOU0630</v>
          </cell>
        </row>
        <row r="8855">
          <cell r="F8855" t="str">
            <v>MG634455</v>
          </cell>
          <cell r="G8855" t="str">
            <v>HOUSING</v>
          </cell>
          <cell r="H8855" t="str">
            <v>HOU0627</v>
          </cell>
        </row>
        <row r="8856">
          <cell r="F8856" t="str">
            <v>MG622724</v>
          </cell>
          <cell r="G8856" t="str">
            <v>HOUSING</v>
          </cell>
          <cell r="H8856" t="str">
            <v>HOU0623</v>
          </cell>
        </row>
        <row r="8857">
          <cell r="F8857" t="str">
            <v>MG613683</v>
          </cell>
          <cell r="G8857" t="str">
            <v>HOUSING</v>
          </cell>
          <cell r="H8857" t="str">
            <v>HOU0622</v>
          </cell>
        </row>
        <row r="8858">
          <cell r="F8858" t="str">
            <v>MG613042-5</v>
          </cell>
          <cell r="G8858" t="str">
            <v>HOUSING</v>
          </cell>
          <cell r="H8858" t="str">
            <v>HOU0621</v>
          </cell>
        </row>
        <row r="8859">
          <cell r="F8859" t="str">
            <v>MG613041-5</v>
          </cell>
          <cell r="G8859" t="str">
            <v>HOUSING</v>
          </cell>
          <cell r="H8859" t="str">
            <v>HOU0620</v>
          </cell>
        </row>
        <row r="8860">
          <cell r="F8860" t="str">
            <v>MG613040</v>
          </cell>
          <cell r="G8860" t="str">
            <v>HOUSING</v>
          </cell>
          <cell r="H8860" t="str">
            <v>HOU0619</v>
          </cell>
        </row>
        <row r="8861">
          <cell r="F8861" t="str">
            <v>YH396-05VR(RE)</v>
          </cell>
          <cell r="G8861" t="str">
            <v>HOUSING</v>
          </cell>
          <cell r="H8861" t="str">
            <v>HOU0618</v>
          </cell>
        </row>
        <row r="8862">
          <cell r="F8862" t="str">
            <v>YH396-03VR(RE)</v>
          </cell>
          <cell r="G8862" t="str">
            <v>HOUSING</v>
          </cell>
          <cell r="H8862" t="str">
            <v>HOU0617</v>
          </cell>
        </row>
        <row r="8863">
          <cell r="F8863" t="str">
            <v>35151-3219</v>
          </cell>
          <cell r="G8863" t="str">
            <v>HOUSING</v>
          </cell>
          <cell r="H8863" t="str">
            <v>HOU0616</v>
          </cell>
        </row>
        <row r="8864">
          <cell r="F8864" t="str">
            <v>1897058-1</v>
          </cell>
          <cell r="G8864" t="str">
            <v>HOUSING</v>
          </cell>
          <cell r="H8864" t="str">
            <v>HOU0614</v>
          </cell>
        </row>
        <row r="8865">
          <cell r="F8865" t="str">
            <v>MG633976-5</v>
          </cell>
          <cell r="G8865" t="str">
            <v>HOUSING</v>
          </cell>
          <cell r="H8865" t="str">
            <v>HOU0613</v>
          </cell>
        </row>
        <row r="8866">
          <cell r="F8866" t="str">
            <v>1897625-1</v>
          </cell>
          <cell r="G8866" t="str">
            <v>HOUSING</v>
          </cell>
          <cell r="H8866" t="str">
            <v>HOU0612</v>
          </cell>
        </row>
        <row r="8867">
          <cell r="F8867" t="str">
            <v>1897624-1</v>
          </cell>
          <cell r="G8867" t="str">
            <v>HOUSING</v>
          </cell>
          <cell r="H8867" t="str">
            <v>HOU0611</v>
          </cell>
        </row>
        <row r="8868">
          <cell r="F8868" t="str">
            <v>YH396-07VR(RE)</v>
          </cell>
          <cell r="G8868" t="str">
            <v>HOUSING</v>
          </cell>
          <cell r="H8868" t="str">
            <v>HOU0608</v>
          </cell>
        </row>
        <row r="8869">
          <cell r="F8869" t="str">
            <v>MG621173</v>
          </cell>
          <cell r="G8869" t="str">
            <v>HOUSING</v>
          </cell>
          <cell r="H8869" t="str">
            <v>HOU0604</v>
          </cell>
        </row>
        <row r="8870">
          <cell r="F8870" t="str">
            <v>SMH250-05L(YEL)</v>
          </cell>
          <cell r="G8870" t="str">
            <v>HOUSING</v>
          </cell>
          <cell r="H8870" t="str">
            <v>HOU0603</v>
          </cell>
        </row>
        <row r="8871">
          <cell r="F8871" t="str">
            <v>HLR-03V</v>
          </cell>
          <cell r="G8871" t="str">
            <v>HOUSING</v>
          </cell>
          <cell r="H8871" t="str">
            <v>HOU0602</v>
          </cell>
        </row>
        <row r="8872">
          <cell r="F8872" t="str">
            <v>YH396-03VR(YEL)</v>
          </cell>
          <cell r="G8872" t="str">
            <v>HOUSING</v>
          </cell>
          <cell r="H8872" t="str">
            <v>HOU0601</v>
          </cell>
        </row>
        <row r="8873">
          <cell r="F8873" t="str">
            <v>2005820-1</v>
          </cell>
          <cell r="G8873" t="str">
            <v>HOUSING</v>
          </cell>
          <cell r="H8873" t="str">
            <v>HOU0600</v>
          </cell>
        </row>
        <row r="8874">
          <cell r="F8874" t="str">
            <v>YBH200-04</v>
          </cell>
          <cell r="G8874" t="str">
            <v>HOUSING</v>
          </cell>
          <cell r="H8874" t="str">
            <v>HOU0598</v>
          </cell>
        </row>
        <row r="8875">
          <cell r="F8875" t="str">
            <v>MG633917</v>
          </cell>
          <cell r="G8875" t="str">
            <v>HOUSING</v>
          </cell>
          <cell r="H8875" t="str">
            <v>HOU0597</v>
          </cell>
        </row>
        <row r="8876">
          <cell r="F8876" t="str">
            <v>MG633987-1</v>
          </cell>
          <cell r="G8876" t="str">
            <v>HOUSING</v>
          </cell>
          <cell r="H8876" t="str">
            <v>HOU0596</v>
          </cell>
        </row>
        <row r="8877">
          <cell r="F8877" t="str">
            <v>MG633986-1</v>
          </cell>
          <cell r="G8877" t="str">
            <v>HOUSING</v>
          </cell>
          <cell r="H8877" t="str">
            <v>HOU0595</v>
          </cell>
        </row>
        <row r="8878">
          <cell r="F8878" t="str">
            <v>YH396-05VR(BL)</v>
          </cell>
          <cell r="G8878" t="str">
            <v>HOUSING</v>
          </cell>
          <cell r="H8878" t="str">
            <v>HOU0594</v>
          </cell>
        </row>
        <row r="8879">
          <cell r="F8879" t="str">
            <v>AMP179183-1</v>
          </cell>
          <cell r="G8879" t="str">
            <v>HOUSING</v>
          </cell>
          <cell r="H8879" t="str">
            <v>HOU0593</v>
          </cell>
        </row>
        <row r="8880">
          <cell r="F8880" t="str">
            <v>YH396-09VR(RE)</v>
          </cell>
          <cell r="G8880" t="str">
            <v>HOUSING</v>
          </cell>
          <cell r="H8880" t="str">
            <v>HOU0592</v>
          </cell>
        </row>
        <row r="8881">
          <cell r="F8881" t="str">
            <v>YLR-16V-3-WGL1-Y</v>
          </cell>
          <cell r="G8881" t="str">
            <v>HOUSING</v>
          </cell>
          <cell r="H8881" t="str">
            <v>HOU0591</v>
          </cell>
        </row>
        <row r="8882">
          <cell r="F8882" t="str">
            <v>YLP-16V-3-WGL1-Y</v>
          </cell>
          <cell r="G8882" t="str">
            <v>HOUSING</v>
          </cell>
          <cell r="H8882" t="str">
            <v>HOU0589</v>
          </cell>
        </row>
        <row r="8883">
          <cell r="F8883" t="str">
            <v>35150-0102</v>
          </cell>
          <cell r="G8883" t="str">
            <v>HOUSING</v>
          </cell>
          <cell r="H8883" t="str">
            <v>HOU0588</v>
          </cell>
        </row>
        <row r="8884">
          <cell r="F8884" t="str">
            <v>SMH250-11L(YEL)</v>
          </cell>
          <cell r="G8884" t="str">
            <v>HOUSING</v>
          </cell>
          <cell r="H8884" t="str">
            <v>HOU0587</v>
          </cell>
        </row>
        <row r="8885">
          <cell r="F8885" t="str">
            <v>YH396-15VR</v>
          </cell>
          <cell r="G8885" t="str">
            <v>HOUSING</v>
          </cell>
          <cell r="H8885" t="str">
            <v>HOU0586</v>
          </cell>
        </row>
        <row r="8886">
          <cell r="F8886" t="str">
            <v>YH396-13VR</v>
          </cell>
          <cell r="G8886" t="str">
            <v>HOUSING</v>
          </cell>
          <cell r="H8886" t="str">
            <v>HOU0585</v>
          </cell>
        </row>
        <row r="8887">
          <cell r="F8887" t="str">
            <v>YH396-11VR</v>
          </cell>
          <cell r="G8887" t="str">
            <v>HOUSING</v>
          </cell>
          <cell r="H8887" t="str">
            <v>HOU0584</v>
          </cell>
        </row>
        <row r="8888">
          <cell r="F8888" t="str">
            <v>YH396-09VR</v>
          </cell>
          <cell r="G8888" t="str">
            <v>HOUSING</v>
          </cell>
          <cell r="H8888" t="str">
            <v>HOU0583</v>
          </cell>
        </row>
        <row r="8889">
          <cell r="F8889" t="str">
            <v>YH396-07VR</v>
          </cell>
          <cell r="G8889" t="str">
            <v>HOUSING</v>
          </cell>
          <cell r="H8889" t="str">
            <v>HOU0582</v>
          </cell>
        </row>
        <row r="8890">
          <cell r="F8890" t="str">
            <v>YH396-05VR</v>
          </cell>
          <cell r="G8890" t="str">
            <v>HOUSING</v>
          </cell>
          <cell r="H8890" t="str">
            <v>HOU0581</v>
          </cell>
        </row>
        <row r="8891">
          <cell r="F8891" t="str">
            <v>YH396-03VR</v>
          </cell>
          <cell r="G8891" t="str">
            <v>HOUSING</v>
          </cell>
          <cell r="H8891" t="str">
            <v>HOU0580</v>
          </cell>
        </row>
        <row r="8892">
          <cell r="F8892" t="str">
            <v>MG621534</v>
          </cell>
          <cell r="G8892" t="str">
            <v>HOUSING</v>
          </cell>
          <cell r="H8892" t="str">
            <v>HOU0578</v>
          </cell>
        </row>
        <row r="8893">
          <cell r="F8893" t="str">
            <v>794896-1</v>
          </cell>
          <cell r="G8893" t="str">
            <v>HOUSING</v>
          </cell>
          <cell r="H8893" t="str">
            <v>HOU0575</v>
          </cell>
        </row>
        <row r="8894">
          <cell r="F8894" t="str">
            <v>MG633814</v>
          </cell>
          <cell r="G8894" t="str">
            <v>HOUSING</v>
          </cell>
          <cell r="H8894" t="str">
            <v>HOU0574</v>
          </cell>
        </row>
        <row r="8895">
          <cell r="F8895" t="str">
            <v>1897324-1</v>
          </cell>
          <cell r="G8895" t="str">
            <v>HOUSING</v>
          </cell>
          <cell r="H8895" t="str">
            <v>HOU0573</v>
          </cell>
        </row>
        <row r="8896">
          <cell r="F8896" t="str">
            <v>794805-1</v>
          </cell>
          <cell r="G8896" t="str">
            <v>HOUSING</v>
          </cell>
          <cell r="H8896" t="str">
            <v>HOU0570</v>
          </cell>
        </row>
        <row r="8897">
          <cell r="F8897" t="str">
            <v>1897322-1</v>
          </cell>
          <cell r="G8897" t="str">
            <v>HOUSING</v>
          </cell>
          <cell r="H8897" t="str">
            <v>HOU0568</v>
          </cell>
        </row>
        <row r="8898">
          <cell r="F8898" t="str">
            <v>1897320-1</v>
          </cell>
          <cell r="G8898" t="str">
            <v>HOUSING</v>
          </cell>
          <cell r="H8898" t="str">
            <v>HOU0567</v>
          </cell>
        </row>
        <row r="8899">
          <cell r="F8899" t="str">
            <v>MG611468</v>
          </cell>
          <cell r="G8899" t="str">
            <v>HOUSING</v>
          </cell>
          <cell r="H8899" t="str">
            <v>HOU0564</v>
          </cell>
        </row>
        <row r="8900">
          <cell r="F8900" t="str">
            <v>35150-3319</v>
          </cell>
          <cell r="G8900" t="str">
            <v>HOUSING</v>
          </cell>
          <cell r="H8900" t="str">
            <v>HOU0563</v>
          </cell>
        </row>
        <row r="8901">
          <cell r="F8901" t="str">
            <v>25048HS-06</v>
          </cell>
          <cell r="G8901" t="str">
            <v>HOUSING</v>
          </cell>
          <cell r="H8901" t="str">
            <v>HOU0562</v>
          </cell>
        </row>
        <row r="8902">
          <cell r="F8902" t="str">
            <v>1565086-1</v>
          </cell>
          <cell r="G8902" t="str">
            <v>HOUSING</v>
          </cell>
          <cell r="H8902" t="str">
            <v>HOU0560</v>
          </cell>
        </row>
        <row r="8903">
          <cell r="F8903" t="str">
            <v>MG630846-1</v>
          </cell>
          <cell r="G8903" t="str">
            <v>HOUSING</v>
          </cell>
          <cell r="H8903" t="str">
            <v>HOU0559</v>
          </cell>
        </row>
        <row r="8904">
          <cell r="F8904" t="str">
            <v>GME-H07-M02</v>
          </cell>
          <cell r="G8904" t="str">
            <v>HOUSING</v>
          </cell>
          <cell r="H8904" t="str">
            <v>HOU0558</v>
          </cell>
        </row>
        <row r="8905">
          <cell r="F8905" t="str">
            <v>39353163(5557-16RL)</v>
          </cell>
          <cell r="G8905" t="str">
            <v>HOUSING</v>
          </cell>
          <cell r="H8905" t="str">
            <v>HOU0557</v>
          </cell>
        </row>
        <row r="8906">
          <cell r="F8906" t="str">
            <v>35150-4419</v>
          </cell>
          <cell r="G8906" t="str">
            <v>HOUSING</v>
          </cell>
          <cell r="H8906" t="str">
            <v>HOU0553</v>
          </cell>
        </row>
        <row r="8907">
          <cell r="F8907" t="str">
            <v>35150-4619</v>
          </cell>
          <cell r="G8907" t="str">
            <v>HOUSING</v>
          </cell>
          <cell r="H8907" t="str">
            <v>HOU0552</v>
          </cell>
        </row>
        <row r="8908">
          <cell r="F8908" t="str">
            <v>YLR-20VF</v>
          </cell>
          <cell r="G8908" t="str">
            <v>HOUSING</v>
          </cell>
          <cell r="H8908" t="str">
            <v>HOU0550</v>
          </cell>
        </row>
        <row r="8909">
          <cell r="F8909" t="str">
            <v>MG621470</v>
          </cell>
          <cell r="G8909" t="str">
            <v>HOUSING</v>
          </cell>
          <cell r="H8909" t="str">
            <v>HOU0549</v>
          </cell>
        </row>
        <row r="8910">
          <cell r="F8910" t="str">
            <v>YH396-10V</v>
          </cell>
          <cell r="G8910" t="str">
            <v>HOUSING</v>
          </cell>
          <cell r="H8910" t="str">
            <v>HOU0539</v>
          </cell>
        </row>
        <row r="8911">
          <cell r="F8911" t="str">
            <v>YH396-06V</v>
          </cell>
          <cell r="G8911" t="str">
            <v>HOUSING</v>
          </cell>
          <cell r="H8911" t="str">
            <v>HOU0538</v>
          </cell>
        </row>
        <row r="8912">
          <cell r="F8912" t="str">
            <v>39351687(5559-16PL)</v>
          </cell>
          <cell r="G8912" t="str">
            <v>HOUSING</v>
          </cell>
          <cell r="H8912" t="str">
            <v>HOU0537</v>
          </cell>
        </row>
        <row r="8913">
          <cell r="F8913" t="str">
            <v>39353087(5559-08PL)</v>
          </cell>
          <cell r="G8913" t="str">
            <v>HOUSING</v>
          </cell>
          <cell r="H8913" t="str">
            <v>HOU0536</v>
          </cell>
        </row>
        <row r="8914">
          <cell r="F8914" t="str">
            <v>HLR-02VF</v>
          </cell>
          <cell r="G8914" t="str">
            <v>HOUSING</v>
          </cell>
          <cell r="H8914" t="str">
            <v>HOU0534</v>
          </cell>
        </row>
        <row r="8915">
          <cell r="F8915" t="str">
            <v>YLP-20V</v>
          </cell>
          <cell r="G8915" t="str">
            <v>HOUSING</v>
          </cell>
          <cell r="H8915" t="str">
            <v>HOU0533</v>
          </cell>
        </row>
        <row r="8916">
          <cell r="F8916" t="str">
            <v>YLR-20V</v>
          </cell>
          <cell r="G8916" t="str">
            <v>HOUSING</v>
          </cell>
          <cell r="H8916" t="str">
            <v>HOU0532</v>
          </cell>
        </row>
        <row r="8917">
          <cell r="F8917" t="str">
            <v>35150-0619</v>
          </cell>
          <cell r="G8917" t="str">
            <v>HOUSING</v>
          </cell>
          <cell r="H8917" t="str">
            <v>HOU0530</v>
          </cell>
        </row>
        <row r="8918">
          <cell r="F8918" t="str">
            <v>35965-9224</v>
          </cell>
          <cell r="G8918" t="str">
            <v>HOUSING</v>
          </cell>
          <cell r="H8918" t="str">
            <v>HOU0529</v>
          </cell>
        </row>
        <row r="8919">
          <cell r="F8919" t="str">
            <v>35965-9213</v>
          </cell>
          <cell r="G8919" t="str">
            <v>HOUSING</v>
          </cell>
          <cell r="H8919" t="str">
            <v>HOU0526</v>
          </cell>
        </row>
        <row r="8920">
          <cell r="F8920" t="str">
            <v>35965-9203</v>
          </cell>
          <cell r="G8920" t="str">
            <v>HOUSING</v>
          </cell>
          <cell r="H8920" t="str">
            <v>HOU0524</v>
          </cell>
        </row>
        <row r="8921">
          <cell r="F8921" t="str">
            <v>35151-3619</v>
          </cell>
          <cell r="G8921" t="str">
            <v>HOUSING</v>
          </cell>
          <cell r="H8921" t="str">
            <v>HOU0523</v>
          </cell>
        </row>
        <row r="8922">
          <cell r="F8922" t="str">
            <v>35180-4609</v>
          </cell>
          <cell r="G8922" t="str">
            <v>HOUSING</v>
          </cell>
          <cell r="H8922" t="str">
            <v>HOU0518</v>
          </cell>
        </row>
        <row r="8923">
          <cell r="F8923" t="str">
            <v>35180-3609</v>
          </cell>
          <cell r="G8923" t="str">
            <v>HOUSING</v>
          </cell>
          <cell r="H8923" t="str">
            <v>HOU0517</v>
          </cell>
        </row>
        <row r="8924">
          <cell r="F8924" t="str">
            <v>35150-3619</v>
          </cell>
          <cell r="G8924" t="str">
            <v>HOUSING</v>
          </cell>
          <cell r="H8924" t="str">
            <v>HOU0515</v>
          </cell>
        </row>
        <row r="8925">
          <cell r="F8925" t="str">
            <v>35150-3219</v>
          </cell>
          <cell r="G8925" t="str">
            <v>HOUSING</v>
          </cell>
          <cell r="H8925" t="str">
            <v>HOU0512</v>
          </cell>
        </row>
        <row r="8926">
          <cell r="F8926" t="str">
            <v>35150-4209</v>
          </cell>
          <cell r="G8926" t="str">
            <v>HOUSING</v>
          </cell>
          <cell r="H8926" t="str">
            <v>HOU0511</v>
          </cell>
        </row>
        <row r="8927">
          <cell r="F8927" t="str">
            <v>35150-3209</v>
          </cell>
          <cell r="G8927" t="str">
            <v>HOUSING</v>
          </cell>
          <cell r="H8927" t="str">
            <v>HOU0509</v>
          </cell>
        </row>
        <row r="8928">
          <cell r="F8928" t="str">
            <v>35180-3409</v>
          </cell>
          <cell r="G8928" t="str">
            <v>HOUSING</v>
          </cell>
          <cell r="H8928" t="str">
            <v>HOU0508</v>
          </cell>
        </row>
        <row r="8929">
          <cell r="F8929" t="str">
            <v>35150-0209</v>
          </cell>
          <cell r="G8929" t="str">
            <v>HOUSING</v>
          </cell>
          <cell r="H8929" t="str">
            <v>HOU0503</v>
          </cell>
        </row>
        <row r="8930">
          <cell r="F8930" t="str">
            <v>MG633767</v>
          </cell>
          <cell r="G8930" t="str">
            <v>HOUSING</v>
          </cell>
          <cell r="H8930" t="str">
            <v>HOU0501</v>
          </cell>
        </row>
        <row r="8931">
          <cell r="F8931" t="str">
            <v>35180-0409</v>
          </cell>
          <cell r="G8931" t="str">
            <v>HOUSING</v>
          </cell>
          <cell r="H8931" t="str">
            <v>HOU0500</v>
          </cell>
        </row>
        <row r="8932">
          <cell r="F8932" t="str">
            <v>SMH200-03</v>
          </cell>
          <cell r="G8932" t="str">
            <v>HOUSING</v>
          </cell>
          <cell r="H8932" t="str">
            <v>HOU0498</v>
          </cell>
        </row>
        <row r="8933">
          <cell r="F8933" t="str">
            <v>YLR-06V</v>
          </cell>
          <cell r="G8933" t="str">
            <v>HOUSING</v>
          </cell>
          <cell r="H8933" t="str">
            <v>HOU0497</v>
          </cell>
        </row>
        <row r="8934">
          <cell r="F8934" t="str">
            <v>YLR-03VF</v>
          </cell>
          <cell r="G8934" t="str">
            <v>HOUSING</v>
          </cell>
          <cell r="H8934" t="str">
            <v>HOU0496</v>
          </cell>
        </row>
        <row r="8935">
          <cell r="F8935" t="str">
            <v>SMH250-08L(RE)</v>
          </cell>
          <cell r="G8935" t="str">
            <v>HOUSING</v>
          </cell>
          <cell r="H8935" t="str">
            <v>HOU0495</v>
          </cell>
        </row>
        <row r="8936">
          <cell r="F8936" t="str">
            <v>SMH250-03L(RE)</v>
          </cell>
          <cell r="G8936" t="str">
            <v>HOUSING</v>
          </cell>
          <cell r="H8936" t="str">
            <v>HOU0494</v>
          </cell>
        </row>
        <row r="8937">
          <cell r="F8937" t="str">
            <v>35965-0210</v>
          </cell>
          <cell r="G8937" t="str">
            <v>HOUSING</v>
          </cell>
          <cell r="H8937" t="str">
            <v>HOU0493</v>
          </cell>
        </row>
        <row r="8938">
          <cell r="F8938" t="str">
            <v>MG632201R</v>
          </cell>
          <cell r="G8938" t="str">
            <v>HOUSING</v>
          </cell>
          <cell r="H8938" t="str">
            <v>HOU0492</v>
          </cell>
        </row>
        <row r="8939">
          <cell r="F8939" t="str">
            <v>YDH236-01(W)</v>
          </cell>
          <cell r="G8939" t="str">
            <v>HOUSING</v>
          </cell>
          <cell r="H8939" t="str">
            <v>HOU0491</v>
          </cell>
        </row>
        <row r="8940">
          <cell r="F8940" t="str">
            <v>5557-18R</v>
          </cell>
          <cell r="G8940" t="str">
            <v>HOUSING</v>
          </cell>
          <cell r="H8940" t="str">
            <v>HOU0487</v>
          </cell>
        </row>
        <row r="8941">
          <cell r="F8941" t="str">
            <v>35151-0614</v>
          </cell>
          <cell r="G8941" t="str">
            <v>HOUSING</v>
          </cell>
          <cell r="H8941" t="str">
            <v>HOU0484</v>
          </cell>
        </row>
        <row r="8942">
          <cell r="F8942" t="str">
            <v>35180-0609</v>
          </cell>
          <cell r="G8942" t="str">
            <v>HOUSING</v>
          </cell>
          <cell r="H8942" t="str">
            <v>HOU0483</v>
          </cell>
        </row>
        <row r="8943">
          <cell r="F8943" t="str">
            <v>39353143(5557-14RL)</v>
          </cell>
          <cell r="G8943" t="str">
            <v>HOUSING</v>
          </cell>
          <cell r="H8943" t="str">
            <v>HOU0478</v>
          </cell>
        </row>
        <row r="8944">
          <cell r="F8944" t="str">
            <v>39351487(5559-14PL)</v>
          </cell>
          <cell r="G8944" t="str">
            <v>HOUSING</v>
          </cell>
          <cell r="H8944" t="str">
            <v>HOU0477</v>
          </cell>
        </row>
        <row r="8945">
          <cell r="F8945" t="str">
            <v>SMH250-02L(RED)</v>
          </cell>
          <cell r="G8945" t="str">
            <v>HOUSING</v>
          </cell>
          <cell r="H8945" t="str">
            <v>HOU0476</v>
          </cell>
        </row>
        <row r="8946">
          <cell r="F8946" t="str">
            <v>SMH250-04L(RE)</v>
          </cell>
          <cell r="G8946" t="str">
            <v>HOUSING</v>
          </cell>
          <cell r="H8946" t="str">
            <v>HOU0475</v>
          </cell>
        </row>
        <row r="8947">
          <cell r="F8947" t="str">
            <v>25045HP-10</v>
          </cell>
          <cell r="G8947" t="str">
            <v>HOUSING</v>
          </cell>
          <cell r="H8947" t="str">
            <v>HOU0472</v>
          </cell>
        </row>
        <row r="8948">
          <cell r="F8948" t="str">
            <v>SMH250-05L(BL)</v>
          </cell>
          <cell r="G8948" t="str">
            <v>HOUSING</v>
          </cell>
          <cell r="H8948" t="str">
            <v>HOU0471</v>
          </cell>
        </row>
        <row r="8949">
          <cell r="F8949">
            <v>1220033</v>
          </cell>
          <cell r="G8949" t="str">
            <v>HOUSING</v>
          </cell>
          <cell r="H8949" t="str">
            <v>HOU0470</v>
          </cell>
        </row>
        <row r="8950">
          <cell r="F8950" t="str">
            <v>177900-1</v>
          </cell>
          <cell r="G8950" t="str">
            <v>HOUSING</v>
          </cell>
          <cell r="H8950" t="str">
            <v>HOU0469</v>
          </cell>
        </row>
        <row r="8951">
          <cell r="F8951" t="str">
            <v>179463-2</v>
          </cell>
          <cell r="G8951" t="str">
            <v>HOUSING</v>
          </cell>
          <cell r="H8951" t="str">
            <v>HOU0468</v>
          </cell>
        </row>
        <row r="8952">
          <cell r="F8952" t="str">
            <v>177898-2</v>
          </cell>
          <cell r="G8952" t="str">
            <v>HOUSING</v>
          </cell>
          <cell r="H8952" t="str">
            <v>HOU0467</v>
          </cell>
        </row>
        <row r="8953">
          <cell r="F8953" t="str">
            <v>MG610222</v>
          </cell>
          <cell r="G8953" t="str">
            <v>HOUSING</v>
          </cell>
          <cell r="H8953" t="str">
            <v>HOU0464</v>
          </cell>
        </row>
        <row r="8954">
          <cell r="F8954" t="str">
            <v>MG610024</v>
          </cell>
          <cell r="G8954" t="str">
            <v>HOUSING</v>
          </cell>
          <cell r="H8954" t="str">
            <v>HOU0463</v>
          </cell>
        </row>
        <row r="8955">
          <cell r="F8955" t="str">
            <v>SMH250-03L(YE)</v>
          </cell>
          <cell r="G8955" t="str">
            <v>HOUSING</v>
          </cell>
          <cell r="H8955" t="str">
            <v>HOU0461</v>
          </cell>
        </row>
        <row r="8956">
          <cell r="F8956" t="str">
            <v>SMH250-02L</v>
          </cell>
          <cell r="G8956" t="str">
            <v>HOUSING</v>
          </cell>
          <cell r="H8956" t="str">
            <v>HOU0460</v>
          </cell>
        </row>
        <row r="8957">
          <cell r="F8957" t="str">
            <v>5559-02P</v>
          </cell>
          <cell r="G8957" t="str">
            <v>HOUSING</v>
          </cell>
          <cell r="H8957" t="str">
            <v>HOU0458</v>
          </cell>
        </row>
        <row r="8958">
          <cell r="F8958" t="str">
            <v>5264-03(W)</v>
          </cell>
          <cell r="G8958" t="str">
            <v>HOUSING</v>
          </cell>
          <cell r="H8958" t="str">
            <v>HOU0452</v>
          </cell>
        </row>
        <row r="8959">
          <cell r="F8959" t="str">
            <v>YLP-16V</v>
          </cell>
          <cell r="G8959" t="str">
            <v>HOUSING</v>
          </cell>
          <cell r="H8959" t="str">
            <v>HOU0449</v>
          </cell>
        </row>
        <row r="8960">
          <cell r="F8960" t="str">
            <v>YLR-08V</v>
          </cell>
          <cell r="G8960" t="str">
            <v>HOUSING</v>
          </cell>
          <cell r="H8960" t="str">
            <v>HOU0448</v>
          </cell>
        </row>
        <row r="8961">
          <cell r="F8961" t="str">
            <v>YLP-08V</v>
          </cell>
          <cell r="G8961" t="str">
            <v>HOUSING</v>
          </cell>
          <cell r="H8961" t="str">
            <v>HOU0447</v>
          </cell>
        </row>
        <row r="8962">
          <cell r="F8962" t="str">
            <v>YLP-12VA</v>
          </cell>
          <cell r="G8962" t="str">
            <v>HOUSING</v>
          </cell>
          <cell r="H8962" t="str">
            <v>HOU0446</v>
          </cell>
        </row>
        <row r="8963">
          <cell r="F8963" t="str">
            <v>YLR-12VA</v>
          </cell>
          <cell r="G8963" t="str">
            <v>HOUSING</v>
          </cell>
          <cell r="H8963" t="str">
            <v>HOU0445</v>
          </cell>
        </row>
        <row r="8964">
          <cell r="F8964" t="str">
            <v>35151-0219</v>
          </cell>
          <cell r="G8964" t="str">
            <v>HOUSING</v>
          </cell>
          <cell r="H8964" t="str">
            <v>HOU0443</v>
          </cell>
        </row>
        <row r="8965">
          <cell r="F8965" t="str">
            <v>YW396-05V</v>
          </cell>
          <cell r="G8965" t="str">
            <v>HOUSING</v>
          </cell>
          <cell r="H8965" t="str">
            <v>HOU0442</v>
          </cell>
        </row>
        <row r="8966">
          <cell r="F8966" t="str">
            <v>MG610224</v>
          </cell>
          <cell r="G8966" t="str">
            <v>HOUSING</v>
          </cell>
          <cell r="H8966" t="str">
            <v>HOU0440</v>
          </cell>
        </row>
        <row r="8967">
          <cell r="F8967" t="str">
            <v>YW396-04V</v>
          </cell>
          <cell r="G8967" t="str">
            <v>HOUSING</v>
          </cell>
          <cell r="H8967" t="str">
            <v>HOU0429</v>
          </cell>
        </row>
        <row r="8968">
          <cell r="F8968" t="str">
            <v>35965-0214</v>
          </cell>
          <cell r="G8968" t="str">
            <v>HOUSING</v>
          </cell>
          <cell r="H8968" t="str">
            <v>HOU0425</v>
          </cell>
        </row>
        <row r="8969">
          <cell r="F8969" t="str">
            <v>MG621164</v>
          </cell>
          <cell r="G8969" t="str">
            <v>HOUSING</v>
          </cell>
          <cell r="H8969" t="str">
            <v>HOU0424</v>
          </cell>
        </row>
        <row r="8970">
          <cell r="F8970" t="str">
            <v>MG620042</v>
          </cell>
          <cell r="G8970" t="str">
            <v>HOUSING</v>
          </cell>
          <cell r="H8970" t="str">
            <v>HOU0423</v>
          </cell>
        </row>
        <row r="8971">
          <cell r="F8971" t="str">
            <v>MG620223-1</v>
          </cell>
          <cell r="G8971" t="str">
            <v>HOUSING</v>
          </cell>
          <cell r="H8971" t="str">
            <v>HOU0421</v>
          </cell>
        </row>
        <row r="8972">
          <cell r="F8972" t="str">
            <v>SMH200-11</v>
          </cell>
          <cell r="G8972" t="str">
            <v>HOUSING</v>
          </cell>
          <cell r="H8972" t="str">
            <v>HOU0416</v>
          </cell>
        </row>
        <row r="8973">
          <cell r="F8973" t="str">
            <v>SMH250-07L(YE)</v>
          </cell>
          <cell r="G8973" t="str">
            <v>HOUSING</v>
          </cell>
          <cell r="H8973" t="str">
            <v>HOU0406</v>
          </cell>
        </row>
        <row r="8974">
          <cell r="F8974" t="str">
            <v>SMH250-13</v>
          </cell>
          <cell r="G8974" t="str">
            <v>HOUSING</v>
          </cell>
          <cell r="H8974" t="str">
            <v>HOU0405</v>
          </cell>
        </row>
        <row r="8975">
          <cell r="F8975" t="str">
            <v>SMH250-11</v>
          </cell>
          <cell r="G8975" t="str">
            <v>HOUSING</v>
          </cell>
          <cell r="H8975" t="str">
            <v>HOU0404</v>
          </cell>
        </row>
        <row r="8976">
          <cell r="F8976" t="str">
            <v>MG632202R-1</v>
          </cell>
          <cell r="G8976" t="str">
            <v>HOUSING</v>
          </cell>
          <cell r="H8976" t="str">
            <v>HOU0397</v>
          </cell>
        </row>
        <row r="8977">
          <cell r="F8977" t="str">
            <v>MG630591R</v>
          </cell>
          <cell r="G8977" t="str">
            <v>HOUSING</v>
          </cell>
          <cell r="H8977" t="str">
            <v>HOU0396</v>
          </cell>
        </row>
        <row r="8978">
          <cell r="F8978" t="str">
            <v>MG610599R</v>
          </cell>
          <cell r="G8978" t="str">
            <v>HOUSING</v>
          </cell>
          <cell r="H8978" t="str">
            <v>HOU0395</v>
          </cell>
        </row>
        <row r="8979">
          <cell r="F8979" t="str">
            <v>MG620427</v>
          </cell>
          <cell r="G8979" t="str">
            <v>HOUSING</v>
          </cell>
          <cell r="H8979" t="str">
            <v>HOU0394</v>
          </cell>
        </row>
        <row r="8980">
          <cell r="F8980" t="str">
            <v>MG632202R-5</v>
          </cell>
          <cell r="G8980" t="str">
            <v>HOUSING</v>
          </cell>
          <cell r="H8980" t="str">
            <v>HOU0393</v>
          </cell>
        </row>
        <row r="8981">
          <cell r="F8981" t="str">
            <v>MG632202R-2</v>
          </cell>
          <cell r="G8981" t="str">
            <v>HOUSING</v>
          </cell>
          <cell r="H8981" t="str">
            <v>HOU0392</v>
          </cell>
        </row>
        <row r="8982">
          <cell r="F8982" t="str">
            <v>MG610606R</v>
          </cell>
          <cell r="G8982" t="str">
            <v>HOUSING</v>
          </cell>
          <cell r="H8982" t="str">
            <v>HOU0389</v>
          </cell>
        </row>
        <row r="8983">
          <cell r="F8983" t="str">
            <v>MG613418</v>
          </cell>
          <cell r="G8983" t="str">
            <v>HOUSING</v>
          </cell>
          <cell r="H8983" t="str">
            <v>HOU0388</v>
          </cell>
        </row>
        <row r="8984">
          <cell r="F8984" t="str">
            <v>MG611163</v>
          </cell>
          <cell r="G8984" t="str">
            <v>HOUSING</v>
          </cell>
          <cell r="H8984" t="str">
            <v>HOU0385</v>
          </cell>
        </row>
        <row r="8985">
          <cell r="F8985" t="str">
            <v>39012060(5557-06R)</v>
          </cell>
          <cell r="G8985" t="str">
            <v>HOUSING</v>
          </cell>
          <cell r="H8985" t="str">
            <v>HOU0382</v>
          </cell>
        </row>
        <row r="8986">
          <cell r="F8986" t="str">
            <v>CH1145-03(WATERPROOF)</v>
          </cell>
          <cell r="G8986" t="str">
            <v>HOUSING</v>
          </cell>
          <cell r="H8986" t="str">
            <v>HOU0378</v>
          </cell>
        </row>
        <row r="8987">
          <cell r="F8987" t="str">
            <v>MG611933-5</v>
          </cell>
          <cell r="G8987" t="str">
            <v>HOUSING</v>
          </cell>
          <cell r="H8987" t="str">
            <v>HOU0375</v>
          </cell>
        </row>
        <row r="8988">
          <cell r="F8988" t="str">
            <v>MG611933</v>
          </cell>
          <cell r="G8988" t="str">
            <v>HOUSING</v>
          </cell>
          <cell r="H8988" t="str">
            <v>HOU0374</v>
          </cell>
        </row>
        <row r="8989">
          <cell r="F8989" t="str">
            <v>YH396-05V(RE)</v>
          </cell>
          <cell r="G8989" t="str">
            <v>HOUSING</v>
          </cell>
          <cell r="H8989" t="str">
            <v>HOU0373</v>
          </cell>
        </row>
        <row r="8990">
          <cell r="F8990" t="str">
            <v>MG631130</v>
          </cell>
          <cell r="G8990" t="str">
            <v>HOUSING</v>
          </cell>
          <cell r="H8990" t="str">
            <v>HOU0372</v>
          </cell>
        </row>
        <row r="8991">
          <cell r="F8991" t="str">
            <v>MG634108</v>
          </cell>
          <cell r="G8991" t="str">
            <v>HOUSING</v>
          </cell>
          <cell r="H8991" t="str">
            <v>HOU0371</v>
          </cell>
        </row>
        <row r="8992">
          <cell r="F8992" t="str">
            <v>MG610815R</v>
          </cell>
          <cell r="G8992" t="str">
            <v>HOUSING</v>
          </cell>
          <cell r="H8992" t="str">
            <v>HOU0370</v>
          </cell>
        </row>
        <row r="8993">
          <cell r="F8993" t="str">
            <v>PWBR 04VF-WGL1</v>
          </cell>
          <cell r="G8993" t="str">
            <v>HOUSING</v>
          </cell>
          <cell r="H8993" t="str">
            <v>HOU0369</v>
          </cell>
        </row>
        <row r="8994">
          <cell r="F8994" t="str">
            <v>PWBP 04V-WGL1</v>
          </cell>
          <cell r="G8994" t="str">
            <v>HOUSING</v>
          </cell>
          <cell r="H8994" t="str">
            <v>HOU0368</v>
          </cell>
        </row>
        <row r="8995">
          <cell r="F8995" t="str">
            <v>MG613212</v>
          </cell>
          <cell r="G8995" t="str">
            <v>HOUSING</v>
          </cell>
          <cell r="H8995" t="str">
            <v>HOU0366</v>
          </cell>
        </row>
        <row r="8996">
          <cell r="F8996" t="str">
            <v>MG610455R</v>
          </cell>
          <cell r="G8996" t="str">
            <v>HOUSING</v>
          </cell>
          <cell r="H8996" t="str">
            <v>HOU0364</v>
          </cell>
        </row>
        <row r="8997">
          <cell r="F8997" t="str">
            <v>25045HP-13</v>
          </cell>
          <cell r="G8997" t="str">
            <v>HOUSING</v>
          </cell>
          <cell r="H8997" t="str">
            <v>HOU0362</v>
          </cell>
        </row>
        <row r="8998">
          <cell r="F8998" t="str">
            <v>25045HP-12</v>
          </cell>
          <cell r="G8998" t="str">
            <v>HOUSING</v>
          </cell>
          <cell r="H8998" t="str">
            <v>HOU0361</v>
          </cell>
        </row>
        <row r="8999">
          <cell r="F8999" t="str">
            <v>MG613428-5</v>
          </cell>
          <cell r="G8999" t="str">
            <v>HOUSING</v>
          </cell>
          <cell r="H8999" t="str">
            <v>HOU0358</v>
          </cell>
        </row>
        <row r="9000">
          <cell r="F9000" t="str">
            <v>MG610815</v>
          </cell>
          <cell r="G9000" t="str">
            <v>HOUSING</v>
          </cell>
          <cell r="H9000" t="str">
            <v>HOU0357</v>
          </cell>
        </row>
        <row r="9001">
          <cell r="F9001" t="str">
            <v>MG610439</v>
          </cell>
          <cell r="G9001" t="str">
            <v>HOUSING</v>
          </cell>
          <cell r="H9001" t="str">
            <v>HOU0356</v>
          </cell>
        </row>
        <row r="9002">
          <cell r="F9002" t="str">
            <v>1-1743069-1</v>
          </cell>
          <cell r="G9002" t="str">
            <v>HOUSING</v>
          </cell>
          <cell r="H9002" t="str">
            <v>HOU0354</v>
          </cell>
        </row>
        <row r="9003">
          <cell r="F9003" t="str">
            <v>1743067-1</v>
          </cell>
          <cell r="G9003" t="str">
            <v>HOUSING</v>
          </cell>
          <cell r="H9003" t="str">
            <v>HOU0353</v>
          </cell>
        </row>
        <row r="9004">
          <cell r="F9004" t="str">
            <v>35150-0214</v>
          </cell>
          <cell r="G9004" t="str">
            <v>HOUSING</v>
          </cell>
          <cell r="H9004" t="str">
            <v>HOU0350</v>
          </cell>
        </row>
        <row r="9005">
          <cell r="F9005" t="str">
            <v>AMP1-1743102-1</v>
          </cell>
          <cell r="G9005" t="str">
            <v>HOUSING</v>
          </cell>
          <cell r="H9005" t="str">
            <v>HOU0344</v>
          </cell>
        </row>
        <row r="9006">
          <cell r="F9006" t="str">
            <v>MG633976</v>
          </cell>
          <cell r="G9006" t="str">
            <v>HOUSING</v>
          </cell>
          <cell r="H9006" t="str">
            <v>HOU0343</v>
          </cell>
        </row>
        <row r="9007">
          <cell r="F9007" t="str">
            <v>YLR-06V-3-WGL1-Y</v>
          </cell>
          <cell r="G9007" t="str">
            <v>HOUSING</v>
          </cell>
          <cell r="H9007" t="str">
            <v>HOU0342</v>
          </cell>
        </row>
        <row r="9008">
          <cell r="F9008" t="str">
            <v>179464-2</v>
          </cell>
          <cell r="G9008" t="str">
            <v>HOUSING</v>
          </cell>
          <cell r="H9008" t="str">
            <v>HOU0340</v>
          </cell>
        </row>
        <row r="9009">
          <cell r="F9009" t="str">
            <v>SMH250-06K</v>
          </cell>
          <cell r="G9009" t="str">
            <v>HOUSING</v>
          </cell>
          <cell r="H9009" t="str">
            <v>HOU0339</v>
          </cell>
        </row>
        <row r="9010">
          <cell r="F9010" t="str">
            <v>YLP-04V-WGL1-Y</v>
          </cell>
          <cell r="G9010" t="str">
            <v>HOUSING</v>
          </cell>
          <cell r="H9010" t="str">
            <v>HOU0332</v>
          </cell>
        </row>
        <row r="9011">
          <cell r="F9011" t="str">
            <v>MG630588</v>
          </cell>
          <cell r="G9011" t="str">
            <v>HOUSING</v>
          </cell>
          <cell r="H9011" t="str">
            <v>HOU0331</v>
          </cell>
        </row>
        <row r="9012">
          <cell r="F9012" t="str">
            <v>39353082(5557-08RL-210)</v>
          </cell>
          <cell r="G9012" t="str">
            <v>HOUSING</v>
          </cell>
          <cell r="H9012" t="str">
            <v>HOU0330</v>
          </cell>
        </row>
        <row r="9013">
          <cell r="F9013" t="str">
            <v>179465-1</v>
          </cell>
          <cell r="G9013" t="str">
            <v>HOUSING</v>
          </cell>
          <cell r="H9013" t="str">
            <v>HOU0326</v>
          </cell>
        </row>
        <row r="9014">
          <cell r="F9014" t="str">
            <v>SMH200-15</v>
          </cell>
          <cell r="G9014" t="str">
            <v>HOUSING</v>
          </cell>
          <cell r="H9014" t="str">
            <v>HOU0321</v>
          </cell>
        </row>
        <row r="9015">
          <cell r="F9015" t="str">
            <v>35180-4409</v>
          </cell>
          <cell r="G9015" t="str">
            <v>HOUSING</v>
          </cell>
          <cell r="H9015" t="str">
            <v>HOU0318</v>
          </cell>
        </row>
        <row r="9016">
          <cell r="F9016" t="str">
            <v>YW396-13V</v>
          </cell>
          <cell r="G9016" t="str">
            <v>HOUSING</v>
          </cell>
          <cell r="H9016" t="str">
            <v>HOU0315</v>
          </cell>
        </row>
        <row r="9017">
          <cell r="F9017" t="str">
            <v>YW396-11V</v>
          </cell>
          <cell r="G9017" t="str">
            <v>HOUSING</v>
          </cell>
          <cell r="H9017" t="str">
            <v>HOU0314</v>
          </cell>
        </row>
        <row r="9018">
          <cell r="F9018" t="str">
            <v>MG633976-1</v>
          </cell>
          <cell r="G9018" t="str">
            <v>HOUSING</v>
          </cell>
          <cell r="H9018" t="str">
            <v>HOU0311</v>
          </cell>
        </row>
        <row r="9019">
          <cell r="F9019" t="str">
            <v>35150-0219</v>
          </cell>
          <cell r="G9019" t="str">
            <v>HOUSING</v>
          </cell>
          <cell r="H9019" t="str">
            <v>HOU0310</v>
          </cell>
        </row>
        <row r="9020">
          <cell r="F9020" t="str">
            <v>25045HP-11</v>
          </cell>
          <cell r="G9020" t="str">
            <v>HOUSING</v>
          </cell>
          <cell r="H9020" t="str">
            <v>HOU0306</v>
          </cell>
        </row>
        <row r="9021">
          <cell r="F9021" t="str">
            <v>25045HP-08</v>
          </cell>
          <cell r="G9021" t="str">
            <v>HOUSING</v>
          </cell>
          <cell r="H9021" t="str">
            <v>HOU0305</v>
          </cell>
        </row>
        <row r="9022">
          <cell r="F9022" t="str">
            <v>SMH250-02(BLU)</v>
          </cell>
          <cell r="G9022" t="str">
            <v>HOUSING</v>
          </cell>
          <cell r="H9022" t="str">
            <v>HOU0304</v>
          </cell>
        </row>
        <row r="9023">
          <cell r="F9023" t="str">
            <v>SMH250-02</v>
          </cell>
          <cell r="G9023" t="str">
            <v>HOUSING</v>
          </cell>
          <cell r="H9023" t="str">
            <v>HOU0303</v>
          </cell>
        </row>
        <row r="9024">
          <cell r="F9024" t="str">
            <v>SMH250-02L(BLU)</v>
          </cell>
          <cell r="G9024" t="str">
            <v>HOUSING</v>
          </cell>
          <cell r="H9024" t="str">
            <v>HOU0302</v>
          </cell>
        </row>
        <row r="9025">
          <cell r="F9025" t="str">
            <v>SMH250-10L(YEL)</v>
          </cell>
          <cell r="G9025" t="str">
            <v>HOUSING</v>
          </cell>
          <cell r="H9025" t="str">
            <v>HOU0301</v>
          </cell>
        </row>
        <row r="9026">
          <cell r="F9026" t="str">
            <v>90019HS-03B</v>
          </cell>
          <cell r="G9026" t="str">
            <v>HOUSING</v>
          </cell>
          <cell r="H9026" t="str">
            <v>HOU0300</v>
          </cell>
        </row>
        <row r="9027">
          <cell r="F9027" t="str">
            <v>90019HS-03B(BK)</v>
          </cell>
          <cell r="G9027" t="str">
            <v>HOUSING</v>
          </cell>
          <cell r="H9027" t="str">
            <v>HOU0299</v>
          </cell>
        </row>
        <row r="9028">
          <cell r="F9028" t="str">
            <v>YDH236-01(GR)</v>
          </cell>
          <cell r="G9028" t="str">
            <v>HOUSING</v>
          </cell>
          <cell r="H9028" t="str">
            <v>HOU0298</v>
          </cell>
        </row>
        <row r="9029">
          <cell r="F9029" t="str">
            <v>YDH236-02(YE)</v>
          </cell>
          <cell r="G9029" t="str">
            <v>HOUSING</v>
          </cell>
          <cell r="H9029" t="str">
            <v>HOU0297</v>
          </cell>
        </row>
        <row r="9030">
          <cell r="F9030" t="str">
            <v>YDH236-02(W)</v>
          </cell>
          <cell r="G9030" t="str">
            <v>HOUSING</v>
          </cell>
          <cell r="H9030" t="str">
            <v>HOU0295</v>
          </cell>
        </row>
        <row r="9031">
          <cell r="F9031" t="str">
            <v>50016HS-02B</v>
          </cell>
          <cell r="G9031" t="str">
            <v>HOUSING</v>
          </cell>
          <cell r="H9031" t="str">
            <v>HOU0294</v>
          </cell>
        </row>
        <row r="9032">
          <cell r="F9032" t="str">
            <v>SMH250-05L(BLK)</v>
          </cell>
          <cell r="G9032" t="str">
            <v>HOUSING</v>
          </cell>
          <cell r="H9032" t="str">
            <v>HOU0293</v>
          </cell>
        </row>
        <row r="9033">
          <cell r="F9033" t="str">
            <v>35965-0200</v>
          </cell>
          <cell r="G9033" t="str">
            <v>HOUSING</v>
          </cell>
          <cell r="H9033" t="str">
            <v>HOU0292</v>
          </cell>
        </row>
        <row r="9034">
          <cell r="F9034" t="str">
            <v>MG610224-5</v>
          </cell>
          <cell r="G9034" t="str">
            <v>HOUSING</v>
          </cell>
          <cell r="H9034" t="str">
            <v>HOU0291</v>
          </cell>
        </row>
        <row r="9035">
          <cell r="F9035" t="str">
            <v>HLP-02V</v>
          </cell>
          <cell r="G9035" t="str">
            <v>HOUSING</v>
          </cell>
          <cell r="H9035" t="str">
            <v>HOU0290</v>
          </cell>
        </row>
        <row r="9036">
          <cell r="F9036" t="str">
            <v>SMH250-03</v>
          </cell>
          <cell r="G9036" t="str">
            <v>HOUSING</v>
          </cell>
          <cell r="H9036" t="str">
            <v>HOU0288</v>
          </cell>
        </row>
        <row r="9037">
          <cell r="F9037" t="str">
            <v>YW396-03V</v>
          </cell>
          <cell r="G9037" t="str">
            <v>HOUSING</v>
          </cell>
          <cell r="H9037" t="str">
            <v>HOU0283</v>
          </cell>
        </row>
        <row r="9038">
          <cell r="F9038" t="str">
            <v>179464-1</v>
          </cell>
          <cell r="G9038" t="str">
            <v>HOUSING</v>
          </cell>
          <cell r="H9038" t="str">
            <v>HOU0282</v>
          </cell>
        </row>
        <row r="9039">
          <cell r="F9039" t="str">
            <v>39012065(5557-06R-210)</v>
          </cell>
          <cell r="G9039" t="str">
            <v>HOUSING</v>
          </cell>
          <cell r="H9039" t="str">
            <v>HOU0281</v>
          </cell>
        </row>
        <row r="9040">
          <cell r="F9040" t="str">
            <v>39012120(5557-12R)</v>
          </cell>
          <cell r="G9040" t="str">
            <v>HOUSING</v>
          </cell>
          <cell r="H9040" t="str">
            <v>HOU0279</v>
          </cell>
        </row>
        <row r="9041">
          <cell r="F9041" t="str">
            <v>SMH200-04</v>
          </cell>
          <cell r="G9041" t="str">
            <v>HOUSING</v>
          </cell>
          <cell r="H9041" t="str">
            <v>HOU0276</v>
          </cell>
        </row>
        <row r="9042">
          <cell r="F9042" t="str">
            <v>AMP179182-1</v>
          </cell>
          <cell r="G9042" t="str">
            <v>HOUSING</v>
          </cell>
          <cell r="H9042" t="str">
            <v>HOU0274</v>
          </cell>
        </row>
        <row r="9043">
          <cell r="F9043" t="str">
            <v>SMH250-15L</v>
          </cell>
          <cell r="G9043" t="str">
            <v>HOUSING</v>
          </cell>
          <cell r="H9043" t="str">
            <v>HOU0273</v>
          </cell>
        </row>
        <row r="9044">
          <cell r="F9044" t="str">
            <v>SMH250-12L</v>
          </cell>
          <cell r="G9044" t="str">
            <v>HOUSING</v>
          </cell>
          <cell r="H9044" t="str">
            <v>HOU0272</v>
          </cell>
        </row>
        <row r="9045">
          <cell r="F9045" t="str">
            <v>SMW250-06</v>
          </cell>
          <cell r="G9045" t="str">
            <v>HOUSING</v>
          </cell>
          <cell r="H9045" t="str">
            <v>HOU0267</v>
          </cell>
        </row>
        <row r="9046">
          <cell r="F9046" t="str">
            <v>SMH200-12</v>
          </cell>
          <cell r="G9046" t="str">
            <v>HOUSING</v>
          </cell>
          <cell r="H9046" t="str">
            <v>HOU0263</v>
          </cell>
        </row>
        <row r="9047">
          <cell r="F9047" t="str">
            <v>SMP250-05</v>
          </cell>
          <cell r="G9047" t="str">
            <v>HOUSING</v>
          </cell>
          <cell r="H9047" t="str">
            <v>HOU0257</v>
          </cell>
        </row>
        <row r="9048">
          <cell r="F9048" t="str">
            <v>SMH200-06</v>
          </cell>
          <cell r="G9048" t="str">
            <v>HOUSING</v>
          </cell>
          <cell r="H9048" t="str">
            <v>HOU0256</v>
          </cell>
        </row>
        <row r="9049">
          <cell r="F9049" t="str">
            <v>SMH200-05</v>
          </cell>
          <cell r="G9049" t="str">
            <v>HOUSING</v>
          </cell>
          <cell r="H9049" t="str">
            <v>HOU0255</v>
          </cell>
        </row>
        <row r="9050">
          <cell r="F9050" t="str">
            <v>AMP1743103-1</v>
          </cell>
          <cell r="G9050" t="str">
            <v>HOUSING</v>
          </cell>
          <cell r="H9050" t="str">
            <v>HOU0252</v>
          </cell>
        </row>
        <row r="9051">
          <cell r="F9051" t="str">
            <v>AMP177898-1</v>
          </cell>
          <cell r="G9051" t="str">
            <v>HOUSING</v>
          </cell>
          <cell r="H9051" t="str">
            <v>HOU0251</v>
          </cell>
        </row>
        <row r="9052">
          <cell r="F9052" t="str">
            <v>SMH250-14L(RE)</v>
          </cell>
          <cell r="G9052" t="str">
            <v>HOUSING</v>
          </cell>
          <cell r="H9052" t="str">
            <v>HOU0250</v>
          </cell>
        </row>
        <row r="9053">
          <cell r="F9053" t="str">
            <v>SMH250-13L</v>
          </cell>
          <cell r="G9053" t="str">
            <v>HOUSING</v>
          </cell>
          <cell r="H9053" t="str">
            <v>HOU0249</v>
          </cell>
        </row>
        <row r="9054">
          <cell r="F9054" t="str">
            <v>SMH250-11L</v>
          </cell>
          <cell r="G9054" t="str">
            <v>HOUSING</v>
          </cell>
          <cell r="H9054" t="str">
            <v>HOU0248</v>
          </cell>
        </row>
        <row r="9055">
          <cell r="F9055" t="str">
            <v>SMH250-10L</v>
          </cell>
          <cell r="G9055" t="str">
            <v>HOUSING</v>
          </cell>
          <cell r="H9055" t="str">
            <v>HOU0247</v>
          </cell>
        </row>
        <row r="9056">
          <cell r="F9056" t="str">
            <v>SMH250-09L</v>
          </cell>
          <cell r="G9056" t="str">
            <v>HOUSING</v>
          </cell>
          <cell r="H9056" t="str">
            <v>HOU0246</v>
          </cell>
        </row>
        <row r="9057">
          <cell r="F9057" t="str">
            <v>SMH250-08L</v>
          </cell>
          <cell r="G9057" t="str">
            <v>HOUSING</v>
          </cell>
          <cell r="H9057" t="str">
            <v>HOU0245</v>
          </cell>
        </row>
        <row r="9058">
          <cell r="F9058" t="str">
            <v>SMH250-07L</v>
          </cell>
          <cell r="G9058" t="str">
            <v>HOUSING</v>
          </cell>
          <cell r="H9058" t="str">
            <v>HOU0244</v>
          </cell>
        </row>
        <row r="9059">
          <cell r="F9059" t="str">
            <v>SMH250-06L</v>
          </cell>
          <cell r="G9059" t="str">
            <v>HOUSING</v>
          </cell>
          <cell r="H9059" t="str">
            <v>HOU0243</v>
          </cell>
        </row>
        <row r="9060">
          <cell r="F9060" t="str">
            <v>SMH250-05L</v>
          </cell>
          <cell r="G9060" t="str">
            <v>HOUSING</v>
          </cell>
          <cell r="H9060" t="str">
            <v>HOU0242</v>
          </cell>
        </row>
        <row r="9061">
          <cell r="F9061" t="str">
            <v>SMH250-04L</v>
          </cell>
          <cell r="G9061" t="str">
            <v>HOUSING</v>
          </cell>
          <cell r="H9061" t="str">
            <v>HOU0241</v>
          </cell>
        </row>
        <row r="9062">
          <cell r="F9062" t="str">
            <v>SMH250-03L</v>
          </cell>
          <cell r="G9062" t="str">
            <v>HOUSING</v>
          </cell>
          <cell r="H9062" t="str">
            <v>HOU0240</v>
          </cell>
        </row>
        <row r="9063">
          <cell r="F9063" t="str">
            <v>SMH250-06L(BL)</v>
          </cell>
          <cell r="G9063" t="str">
            <v>HOUSING</v>
          </cell>
          <cell r="H9063" t="str">
            <v>HOU0239</v>
          </cell>
        </row>
        <row r="9064">
          <cell r="F9064" t="str">
            <v>35151-0214</v>
          </cell>
          <cell r="G9064" t="str">
            <v>HOUSING</v>
          </cell>
          <cell r="H9064" t="str">
            <v>HOU0235</v>
          </cell>
        </row>
        <row r="9065">
          <cell r="F9065" t="str">
            <v>35150-0202</v>
          </cell>
          <cell r="G9065" t="str">
            <v>HOUSING</v>
          </cell>
          <cell r="H9065" t="str">
            <v>HOU0231</v>
          </cell>
        </row>
        <row r="9066">
          <cell r="F9066" t="str">
            <v>SMH250-14L</v>
          </cell>
          <cell r="G9066" t="str">
            <v>HOUSING</v>
          </cell>
          <cell r="H9066" t="str">
            <v>HOU0229</v>
          </cell>
        </row>
        <row r="9067">
          <cell r="F9067" t="str">
            <v>YH396-09V</v>
          </cell>
          <cell r="G9067" t="str">
            <v>HOUSING</v>
          </cell>
          <cell r="H9067" t="str">
            <v>HOU0219</v>
          </cell>
        </row>
        <row r="9068">
          <cell r="F9068" t="str">
            <v>YH396-07V(BLU)</v>
          </cell>
          <cell r="G9068" t="str">
            <v>HOUSING</v>
          </cell>
          <cell r="H9068" t="str">
            <v>HOU0217</v>
          </cell>
        </row>
        <row r="9069">
          <cell r="F9069" t="str">
            <v>YH396-07V</v>
          </cell>
          <cell r="G9069" t="str">
            <v>HOUSING</v>
          </cell>
          <cell r="H9069" t="str">
            <v>HOU0216</v>
          </cell>
        </row>
        <row r="9070">
          <cell r="F9070" t="str">
            <v>YH396-05V(BL)</v>
          </cell>
          <cell r="G9070" t="str">
            <v>HOUSING</v>
          </cell>
          <cell r="H9070" t="str">
            <v>HOU0215</v>
          </cell>
        </row>
        <row r="9071">
          <cell r="F9071" t="str">
            <v>YH396-05V</v>
          </cell>
          <cell r="G9071" t="str">
            <v>HOUSING</v>
          </cell>
          <cell r="H9071" t="str">
            <v>HOU0214</v>
          </cell>
        </row>
        <row r="9072">
          <cell r="F9072" t="str">
            <v>YH396-04V</v>
          </cell>
          <cell r="G9072" t="str">
            <v>HOUSING</v>
          </cell>
          <cell r="H9072" t="str">
            <v>HOU0213</v>
          </cell>
        </row>
        <row r="9073">
          <cell r="F9073" t="str">
            <v>YH396-03V(YE)</v>
          </cell>
          <cell r="G9073" t="str">
            <v>HOUSING</v>
          </cell>
          <cell r="H9073" t="str">
            <v>HOU0212</v>
          </cell>
        </row>
        <row r="9074">
          <cell r="F9074" t="str">
            <v>YH396-03V(BL)</v>
          </cell>
          <cell r="G9074" t="str">
            <v>HOUSING</v>
          </cell>
          <cell r="H9074" t="str">
            <v>HOU0211</v>
          </cell>
        </row>
        <row r="9075">
          <cell r="F9075" t="str">
            <v>YH396-03V(RED)</v>
          </cell>
          <cell r="G9075" t="str">
            <v>HOUSING</v>
          </cell>
          <cell r="H9075" t="str">
            <v>HOU0210</v>
          </cell>
        </row>
        <row r="9076">
          <cell r="F9076" t="str">
            <v>YH396-03V</v>
          </cell>
          <cell r="G9076" t="str">
            <v>HOUSING</v>
          </cell>
          <cell r="H9076" t="str">
            <v>HOU0209</v>
          </cell>
        </row>
        <row r="9077">
          <cell r="F9077" t="str">
            <v>YBNH250-15</v>
          </cell>
          <cell r="G9077" t="str">
            <v>HOUSING</v>
          </cell>
          <cell r="H9077" t="str">
            <v>HOU0208</v>
          </cell>
        </row>
        <row r="9078">
          <cell r="F9078" t="str">
            <v>YBNH250-08</v>
          </cell>
          <cell r="G9078" t="str">
            <v>HOUSING</v>
          </cell>
          <cell r="H9078" t="str">
            <v>HOU0206</v>
          </cell>
        </row>
        <row r="9079">
          <cell r="F9079" t="str">
            <v>YBNH250-06</v>
          </cell>
          <cell r="G9079" t="str">
            <v>HOUSING</v>
          </cell>
          <cell r="H9079" t="str">
            <v>HOU0204</v>
          </cell>
        </row>
        <row r="9080">
          <cell r="F9080" t="str">
            <v>YBNH250-05</v>
          </cell>
          <cell r="G9080" t="str">
            <v>HOUSING</v>
          </cell>
          <cell r="H9080" t="str">
            <v>HOU0203</v>
          </cell>
        </row>
        <row r="9081">
          <cell r="F9081" t="str">
            <v>YBNH250-04</v>
          </cell>
          <cell r="G9081" t="str">
            <v>HOUSING</v>
          </cell>
          <cell r="H9081" t="str">
            <v>HOU0202</v>
          </cell>
        </row>
        <row r="9082">
          <cell r="F9082" t="str">
            <v>YBNH250-03</v>
          </cell>
          <cell r="G9082" t="str">
            <v>HOUSING</v>
          </cell>
          <cell r="H9082" t="str">
            <v>HOU0201</v>
          </cell>
        </row>
        <row r="9083">
          <cell r="F9083" t="str">
            <v>YBNH250-02</v>
          </cell>
          <cell r="G9083" t="str">
            <v>HOUSING</v>
          </cell>
          <cell r="H9083" t="str">
            <v>HOU0200</v>
          </cell>
        </row>
        <row r="9084">
          <cell r="F9084" t="str">
            <v>SMW250-08</v>
          </cell>
          <cell r="G9084" t="str">
            <v>HOUSING</v>
          </cell>
          <cell r="H9084" t="str">
            <v>HOU0197</v>
          </cell>
        </row>
        <row r="9085">
          <cell r="F9085" t="str">
            <v>SMW250-03</v>
          </cell>
          <cell r="G9085" t="str">
            <v>HOUSING</v>
          </cell>
          <cell r="H9085" t="str">
            <v>HOU0195</v>
          </cell>
        </row>
        <row r="9086">
          <cell r="F9086" t="str">
            <v>SMP250-03</v>
          </cell>
          <cell r="G9086" t="str">
            <v>HOUSING</v>
          </cell>
          <cell r="H9086" t="str">
            <v>HOU0193</v>
          </cell>
        </row>
        <row r="9087">
          <cell r="F9087" t="str">
            <v>SMH200-08</v>
          </cell>
          <cell r="G9087" t="str">
            <v>HOUSING</v>
          </cell>
          <cell r="H9087" t="str">
            <v>HOU0192</v>
          </cell>
        </row>
        <row r="9088">
          <cell r="F9088" t="str">
            <v>SMH250-10J</v>
          </cell>
          <cell r="G9088" t="str">
            <v>HOUSING</v>
          </cell>
          <cell r="H9088" t="str">
            <v>HOU0185</v>
          </cell>
        </row>
        <row r="9089">
          <cell r="F9089" t="str">
            <v>SMH250-05L(RE)</v>
          </cell>
          <cell r="G9089" t="str">
            <v>HOUSING</v>
          </cell>
          <cell r="H9089" t="str">
            <v>HOU0178</v>
          </cell>
        </row>
        <row r="9090">
          <cell r="F9090" t="str">
            <v>SMH250-04J</v>
          </cell>
          <cell r="G9090" t="str">
            <v>HOUSING</v>
          </cell>
          <cell r="H9090" t="str">
            <v>HOU0177</v>
          </cell>
        </row>
        <row r="9091">
          <cell r="F9091" t="str">
            <v>SMH250-03L(BL)</v>
          </cell>
          <cell r="G9091" t="str">
            <v>HOUSING</v>
          </cell>
          <cell r="H9091" t="str">
            <v>HOU0176</v>
          </cell>
        </row>
        <row r="9092">
          <cell r="F9092" t="str">
            <v>SMH250-03J</v>
          </cell>
          <cell r="G9092" t="str">
            <v>HOUSING</v>
          </cell>
          <cell r="H9092" t="str">
            <v>HOU0175</v>
          </cell>
        </row>
        <row r="9093">
          <cell r="F9093" t="str">
            <v>SMH250-02(YEL)</v>
          </cell>
          <cell r="G9093" t="str">
            <v>HOUSING</v>
          </cell>
          <cell r="H9093" t="str">
            <v>HOU0174</v>
          </cell>
        </row>
        <row r="9094">
          <cell r="F9094" t="str">
            <v>PHR-3(w)</v>
          </cell>
          <cell r="G9094" t="str">
            <v>HOUSING</v>
          </cell>
          <cell r="H9094" t="str">
            <v>HOU0171</v>
          </cell>
        </row>
        <row r="9095">
          <cell r="F9095" t="str">
            <v>MG630846</v>
          </cell>
          <cell r="G9095" t="str">
            <v>HOUSING</v>
          </cell>
          <cell r="H9095" t="str">
            <v>HOU0167</v>
          </cell>
        </row>
        <row r="9096">
          <cell r="F9096" t="str">
            <v>MG630839</v>
          </cell>
          <cell r="G9096" t="str">
            <v>HOUSING</v>
          </cell>
          <cell r="H9096" t="str">
            <v>HOU0166</v>
          </cell>
        </row>
        <row r="9097">
          <cell r="F9097" t="str">
            <v>MG630591</v>
          </cell>
          <cell r="G9097" t="str">
            <v>HOUSING</v>
          </cell>
          <cell r="H9097" t="str">
            <v>HOU0164</v>
          </cell>
        </row>
        <row r="9098">
          <cell r="F9098" t="str">
            <v>MG621223</v>
          </cell>
          <cell r="G9098" t="str">
            <v>HOUSING</v>
          </cell>
          <cell r="H9098" t="str">
            <v>HOU0163</v>
          </cell>
        </row>
        <row r="9099">
          <cell r="F9099" t="str">
            <v>MG621170</v>
          </cell>
          <cell r="G9099" t="str">
            <v>HOUSING</v>
          </cell>
          <cell r="H9099" t="str">
            <v>HOU0162</v>
          </cell>
        </row>
        <row r="9100">
          <cell r="F9100" t="str">
            <v>MG621167</v>
          </cell>
          <cell r="G9100" t="str">
            <v>HOUSING</v>
          </cell>
          <cell r="H9100" t="str">
            <v>HOU0161</v>
          </cell>
        </row>
        <row r="9101">
          <cell r="F9101" t="str">
            <v>MG620430</v>
          </cell>
          <cell r="G9101" t="str">
            <v>HOUSING</v>
          </cell>
          <cell r="H9101" t="str">
            <v>HOU0160</v>
          </cell>
        </row>
        <row r="9102">
          <cell r="F9102" t="str">
            <v>MG620428</v>
          </cell>
          <cell r="G9102" t="str">
            <v>HOUSING</v>
          </cell>
          <cell r="H9102" t="str">
            <v>HOU0159</v>
          </cell>
        </row>
        <row r="9103">
          <cell r="F9103" t="str">
            <v>MG620426</v>
          </cell>
          <cell r="G9103" t="str">
            <v>HOUSING</v>
          </cell>
          <cell r="H9103" t="str">
            <v>HOU0158</v>
          </cell>
        </row>
        <row r="9104">
          <cell r="F9104" t="str">
            <v>MG620235</v>
          </cell>
          <cell r="G9104" t="str">
            <v>HOUSING</v>
          </cell>
          <cell r="H9104" t="str">
            <v>HOU0157</v>
          </cell>
        </row>
        <row r="9105">
          <cell r="F9105" t="str">
            <v>MG620227</v>
          </cell>
          <cell r="G9105" t="str">
            <v>HOUSING</v>
          </cell>
          <cell r="H9105" t="str">
            <v>HOU0154</v>
          </cell>
        </row>
        <row r="9106">
          <cell r="F9106" t="str">
            <v>MG620223</v>
          </cell>
          <cell r="G9106" t="str">
            <v>HOUSING</v>
          </cell>
          <cell r="H9106" t="str">
            <v>HOU0153</v>
          </cell>
        </row>
        <row r="9107">
          <cell r="F9107" t="str">
            <v>MG620145</v>
          </cell>
          <cell r="G9107" t="str">
            <v>HOUSING</v>
          </cell>
          <cell r="H9107" t="str">
            <v>HOU0152</v>
          </cell>
        </row>
        <row r="9108">
          <cell r="F9108" t="str">
            <v>MG620137</v>
          </cell>
          <cell r="G9108" t="str">
            <v>HOUSING</v>
          </cell>
          <cell r="H9108" t="str">
            <v>HOU0151</v>
          </cell>
        </row>
        <row r="9109">
          <cell r="F9109" t="str">
            <v>MG620129</v>
          </cell>
          <cell r="G9109" t="str">
            <v>HOUSING</v>
          </cell>
          <cell r="H9109" t="str">
            <v>HOU0150</v>
          </cell>
        </row>
        <row r="9110">
          <cell r="F9110" t="str">
            <v>MG620025</v>
          </cell>
          <cell r="G9110" t="str">
            <v>HOUSING</v>
          </cell>
          <cell r="H9110" t="str">
            <v>HOU0149</v>
          </cell>
        </row>
        <row r="9111">
          <cell r="F9111" t="str">
            <v>MG612539</v>
          </cell>
          <cell r="G9111" t="str">
            <v>HOUSING</v>
          </cell>
          <cell r="H9111" t="str">
            <v>HOU0148</v>
          </cell>
        </row>
        <row r="9112">
          <cell r="F9112" t="str">
            <v>MG611166</v>
          </cell>
          <cell r="G9112" t="str">
            <v>HOUSING</v>
          </cell>
          <cell r="H9112" t="str">
            <v>HOU0146</v>
          </cell>
        </row>
        <row r="9113">
          <cell r="F9113" t="str">
            <v>MG610593</v>
          </cell>
          <cell r="G9113" t="str">
            <v>HOUSING</v>
          </cell>
          <cell r="H9113" t="str">
            <v>HOU0145</v>
          </cell>
        </row>
        <row r="9114">
          <cell r="F9114" t="str">
            <v>MG610565</v>
          </cell>
          <cell r="G9114" t="str">
            <v>HOUSING</v>
          </cell>
          <cell r="H9114" t="str">
            <v>HOU0143</v>
          </cell>
        </row>
        <row r="9115">
          <cell r="F9115" t="str">
            <v>MG610421</v>
          </cell>
          <cell r="G9115" t="str">
            <v>HOUSING</v>
          </cell>
          <cell r="H9115" t="str">
            <v>HOU0142</v>
          </cell>
        </row>
        <row r="9116">
          <cell r="F9116" t="str">
            <v>MG610420</v>
          </cell>
          <cell r="G9116" t="str">
            <v>HOUSING</v>
          </cell>
          <cell r="H9116" t="str">
            <v>HOU0141</v>
          </cell>
        </row>
        <row r="9117">
          <cell r="F9117" t="str">
            <v>MG610234</v>
          </cell>
          <cell r="G9117" t="str">
            <v>HOUSING</v>
          </cell>
          <cell r="H9117" t="str">
            <v>HOU0140</v>
          </cell>
        </row>
        <row r="9118">
          <cell r="F9118" t="str">
            <v>MG610232</v>
          </cell>
          <cell r="G9118" t="str">
            <v>HOUSING</v>
          </cell>
          <cell r="H9118" t="str">
            <v>HOU0139</v>
          </cell>
        </row>
        <row r="9119">
          <cell r="F9119" t="str">
            <v>MG610228</v>
          </cell>
          <cell r="G9119" t="str">
            <v>HOUSING</v>
          </cell>
          <cell r="H9119" t="str">
            <v>HOU0137</v>
          </cell>
        </row>
        <row r="9120">
          <cell r="F9120" t="str">
            <v>MG610226</v>
          </cell>
          <cell r="G9120" t="str">
            <v>HOUSING</v>
          </cell>
          <cell r="H9120" t="str">
            <v>HOU0136</v>
          </cell>
        </row>
        <row r="9121">
          <cell r="F9121" t="str">
            <v>MG610144</v>
          </cell>
          <cell r="G9121" t="str">
            <v>HOUSING</v>
          </cell>
          <cell r="H9121" t="str">
            <v>HOU0135</v>
          </cell>
        </row>
        <row r="9122">
          <cell r="F9122" t="str">
            <v>MG610128</v>
          </cell>
          <cell r="G9122" t="str">
            <v>HOUSING</v>
          </cell>
          <cell r="H9122" t="str">
            <v>HOU0134</v>
          </cell>
        </row>
        <row r="9123">
          <cell r="F9123" t="str">
            <v>MG610026</v>
          </cell>
          <cell r="G9123" t="str">
            <v>HOUSING</v>
          </cell>
          <cell r="H9123" t="str">
            <v>HOU0133</v>
          </cell>
        </row>
        <row r="9124">
          <cell r="F9124">
            <v>999010002</v>
          </cell>
          <cell r="G9124" t="str">
            <v>HOUSING</v>
          </cell>
          <cell r="H9124" t="str">
            <v>HOU0131</v>
          </cell>
        </row>
        <row r="9125">
          <cell r="F9125" t="str">
            <v>5559-4P</v>
          </cell>
          <cell r="G9125" t="str">
            <v>HOUSING</v>
          </cell>
          <cell r="H9125" t="str">
            <v>HOU0129</v>
          </cell>
        </row>
        <row r="9126">
          <cell r="F9126" t="str">
            <v>39012061(5559-06P)</v>
          </cell>
          <cell r="G9126" t="str">
            <v>HOUSING</v>
          </cell>
          <cell r="H9126" t="str">
            <v>HOU0123</v>
          </cell>
        </row>
        <row r="9127">
          <cell r="F9127" t="str">
            <v>5557-04R</v>
          </cell>
          <cell r="G9127" t="str">
            <v>HOUSING</v>
          </cell>
          <cell r="H9127" t="str">
            <v>HOU0122</v>
          </cell>
        </row>
        <row r="9128">
          <cell r="F9128" t="str">
            <v>5557-14R</v>
          </cell>
          <cell r="G9128" t="str">
            <v>HOUSING</v>
          </cell>
          <cell r="H9128" t="str">
            <v>HOU0119</v>
          </cell>
        </row>
        <row r="9129">
          <cell r="F9129" t="str">
            <v>5557-08R</v>
          </cell>
          <cell r="G9129" t="str">
            <v>HOUSING</v>
          </cell>
          <cell r="H9129" t="str">
            <v>HOU0116</v>
          </cell>
        </row>
        <row r="9130">
          <cell r="F9130" t="str">
            <v>SMH200-10</v>
          </cell>
          <cell r="G9130" t="str">
            <v>HOUSING</v>
          </cell>
          <cell r="H9130" t="str">
            <v>HOU0115</v>
          </cell>
        </row>
        <row r="9131">
          <cell r="F9131" t="str">
            <v>SMP250-05(BLU)</v>
          </cell>
          <cell r="G9131" t="str">
            <v>HOUSING</v>
          </cell>
          <cell r="H9131" t="str">
            <v>HOU0111</v>
          </cell>
        </row>
        <row r="9132">
          <cell r="F9132" t="str">
            <v>51021-0400</v>
          </cell>
          <cell r="G9132" t="str">
            <v>HOUSING</v>
          </cell>
          <cell r="H9132" t="str">
            <v>HOU0104</v>
          </cell>
        </row>
        <row r="9133">
          <cell r="F9133" t="str">
            <v>51004-1500</v>
          </cell>
          <cell r="G9133" t="str">
            <v>HOUSING</v>
          </cell>
          <cell r="H9133" t="str">
            <v>HOU0102</v>
          </cell>
        </row>
        <row r="9134">
          <cell r="F9134" t="str">
            <v>35818-0290</v>
          </cell>
          <cell r="G9134" t="str">
            <v>HOUSING</v>
          </cell>
          <cell r="H9134" t="str">
            <v>HOU0094</v>
          </cell>
        </row>
        <row r="9135">
          <cell r="F9135" t="str">
            <v>35189-0200</v>
          </cell>
          <cell r="G9135" t="str">
            <v>HOUSING</v>
          </cell>
          <cell r="H9135" t="str">
            <v>HOU0086</v>
          </cell>
        </row>
        <row r="9136">
          <cell r="F9136" t="str">
            <v>35184-0400</v>
          </cell>
          <cell r="G9136" t="str">
            <v>HOUSING</v>
          </cell>
          <cell r="H9136" t="str">
            <v>HOU0083</v>
          </cell>
        </row>
        <row r="9137">
          <cell r="F9137" t="str">
            <v>35184-0300</v>
          </cell>
          <cell r="G9137" t="str">
            <v>HOUSING</v>
          </cell>
          <cell r="H9137" t="str">
            <v>HOU0082</v>
          </cell>
        </row>
        <row r="9138">
          <cell r="F9138" t="str">
            <v>35184-0200</v>
          </cell>
          <cell r="G9138" t="str">
            <v>HOUSING</v>
          </cell>
          <cell r="H9138" t="str">
            <v>HOU0081</v>
          </cell>
        </row>
        <row r="9139">
          <cell r="F9139" t="str">
            <v>35180-0604</v>
          </cell>
          <cell r="G9139" t="str">
            <v>HOUSING</v>
          </cell>
          <cell r="H9139" t="str">
            <v>HOU0080</v>
          </cell>
        </row>
        <row r="9140">
          <cell r="F9140" t="str">
            <v>35180-0600</v>
          </cell>
          <cell r="G9140" t="str">
            <v>HOUSING</v>
          </cell>
          <cell r="H9140" t="str">
            <v>HOU0079</v>
          </cell>
        </row>
        <row r="9141">
          <cell r="F9141" t="str">
            <v>35180-0404</v>
          </cell>
          <cell r="G9141" t="str">
            <v>HOUSING</v>
          </cell>
          <cell r="H9141" t="str">
            <v>HOU0078</v>
          </cell>
        </row>
        <row r="9142">
          <cell r="F9142" t="str">
            <v>35180-0400</v>
          </cell>
          <cell r="G9142" t="str">
            <v>HOUSING</v>
          </cell>
          <cell r="H9142" t="str">
            <v>HOU0077</v>
          </cell>
        </row>
        <row r="9143">
          <cell r="F9143" t="str">
            <v>35179-0480</v>
          </cell>
          <cell r="G9143" t="str">
            <v>HOUSING</v>
          </cell>
          <cell r="H9143" t="str">
            <v>HOU0076</v>
          </cell>
        </row>
        <row r="9144">
          <cell r="F9144" t="str">
            <v>35155-0200</v>
          </cell>
          <cell r="G9144" t="str">
            <v>HOUSING</v>
          </cell>
          <cell r="H9144" t="str">
            <v>HOU0071</v>
          </cell>
        </row>
        <row r="9145">
          <cell r="F9145" t="str">
            <v>35151-0610</v>
          </cell>
          <cell r="G9145" t="str">
            <v>HOUSING</v>
          </cell>
          <cell r="H9145" t="str">
            <v>HOU0070</v>
          </cell>
        </row>
        <row r="9146">
          <cell r="F9146" t="str">
            <v>35151-0410</v>
          </cell>
          <cell r="G9146" t="str">
            <v>HOUSING</v>
          </cell>
          <cell r="H9146" t="str">
            <v>HOU0069</v>
          </cell>
        </row>
        <row r="9147">
          <cell r="F9147" t="str">
            <v>35151-0310</v>
          </cell>
          <cell r="G9147" t="str">
            <v>HOUSING</v>
          </cell>
          <cell r="H9147" t="str">
            <v>HOU0068</v>
          </cell>
        </row>
        <row r="9148">
          <cell r="F9148" t="str">
            <v>35151-0212</v>
          </cell>
          <cell r="G9148" t="str">
            <v>HOUSING</v>
          </cell>
          <cell r="H9148" t="str">
            <v>HOU0067</v>
          </cell>
        </row>
        <row r="9149">
          <cell r="F9149" t="str">
            <v>35151-0210</v>
          </cell>
          <cell r="G9149" t="str">
            <v>HOUSING</v>
          </cell>
          <cell r="H9149" t="str">
            <v>HOU0066</v>
          </cell>
        </row>
        <row r="9150">
          <cell r="F9150" t="str">
            <v>35151-0110</v>
          </cell>
          <cell r="G9150" t="str">
            <v>HOUSING</v>
          </cell>
          <cell r="H9150" t="str">
            <v>HOU0065</v>
          </cell>
        </row>
        <row r="9151">
          <cell r="F9151" t="str">
            <v>35150-0614</v>
          </cell>
          <cell r="G9151" t="str">
            <v>HOUSING</v>
          </cell>
          <cell r="H9151" t="str">
            <v>HOU0064</v>
          </cell>
        </row>
        <row r="9152">
          <cell r="F9152" t="str">
            <v>35150-0610</v>
          </cell>
          <cell r="G9152" t="str">
            <v>HOUSING</v>
          </cell>
          <cell r="H9152" t="str">
            <v>HOU0063</v>
          </cell>
        </row>
        <row r="9153">
          <cell r="F9153" t="str">
            <v>35150-0414</v>
          </cell>
          <cell r="G9153" t="str">
            <v>HOUSING</v>
          </cell>
          <cell r="H9153" t="str">
            <v>HOU0062</v>
          </cell>
        </row>
        <row r="9154">
          <cell r="F9154" t="str">
            <v>35150-0412</v>
          </cell>
          <cell r="G9154" t="str">
            <v>HOUSING</v>
          </cell>
          <cell r="H9154" t="str">
            <v>HOU0060</v>
          </cell>
        </row>
        <row r="9155">
          <cell r="F9155" t="str">
            <v>35150-0410</v>
          </cell>
          <cell r="G9155" t="str">
            <v>HOUSING</v>
          </cell>
          <cell r="H9155" t="str">
            <v>HOU0059</v>
          </cell>
        </row>
        <row r="9156">
          <cell r="F9156" t="str">
            <v>35150-0400</v>
          </cell>
          <cell r="G9156" t="str">
            <v>HOUSING</v>
          </cell>
          <cell r="H9156" t="str">
            <v>HOU0058</v>
          </cell>
        </row>
        <row r="9157">
          <cell r="F9157" t="str">
            <v>35150-0310</v>
          </cell>
          <cell r="G9157" t="str">
            <v>HOUSING</v>
          </cell>
          <cell r="H9157" t="str">
            <v>HOU0057</v>
          </cell>
        </row>
        <row r="9158">
          <cell r="F9158" t="str">
            <v>35150-0300</v>
          </cell>
          <cell r="G9158" t="str">
            <v>HOUSING</v>
          </cell>
          <cell r="H9158" t="str">
            <v>HOU0056</v>
          </cell>
        </row>
        <row r="9159">
          <cell r="F9159" t="str">
            <v>35150-0210</v>
          </cell>
          <cell r="G9159" t="str">
            <v>HOUSING</v>
          </cell>
          <cell r="H9159" t="str">
            <v>HOU0055</v>
          </cell>
        </row>
        <row r="9160">
          <cell r="F9160" t="str">
            <v>35150-0204</v>
          </cell>
          <cell r="G9160" t="str">
            <v>HOUSING</v>
          </cell>
          <cell r="H9160" t="str">
            <v>HOU0054</v>
          </cell>
        </row>
        <row r="9161">
          <cell r="F9161" t="str">
            <v>35150-0200</v>
          </cell>
          <cell r="G9161" t="str">
            <v>HOUSING</v>
          </cell>
          <cell r="H9161" t="str">
            <v>HOU0053</v>
          </cell>
        </row>
        <row r="9162">
          <cell r="F9162" t="str">
            <v>35150-0110</v>
          </cell>
          <cell r="G9162" t="str">
            <v>HOUSING</v>
          </cell>
          <cell r="H9162" t="str">
            <v>HOU0052</v>
          </cell>
        </row>
        <row r="9163">
          <cell r="F9163" t="str">
            <v>35150-0100</v>
          </cell>
          <cell r="G9163" t="str">
            <v>HOUSING</v>
          </cell>
          <cell r="H9163" t="str">
            <v>HOU0051</v>
          </cell>
        </row>
        <row r="9164">
          <cell r="F9164" t="str">
            <v>35112-0210</v>
          </cell>
          <cell r="G9164" t="str">
            <v>HOUSING</v>
          </cell>
          <cell r="H9164" t="str">
            <v>HOU0050</v>
          </cell>
        </row>
        <row r="9165">
          <cell r="F9165" t="str">
            <v>25045HP-14</v>
          </cell>
          <cell r="G9165" t="str">
            <v>HOUSING</v>
          </cell>
          <cell r="H9165" t="str">
            <v>HOU0047</v>
          </cell>
        </row>
        <row r="9166">
          <cell r="F9166" t="str">
            <v>25045HP-03</v>
          </cell>
          <cell r="G9166" t="str">
            <v>HOUSING</v>
          </cell>
          <cell r="H9166" t="str">
            <v>HOU0046</v>
          </cell>
        </row>
        <row r="9167">
          <cell r="F9167" t="str">
            <v>179463-1</v>
          </cell>
          <cell r="G9167" t="str">
            <v>HOUSING</v>
          </cell>
          <cell r="H9167" t="str">
            <v>HOU0044</v>
          </cell>
        </row>
        <row r="9168">
          <cell r="F9168" t="str">
            <v>171370-3(BPTCY-9610)</v>
          </cell>
          <cell r="G9168" t="str">
            <v>HOUSING</v>
          </cell>
          <cell r="H9168" t="str">
            <v>HOU0043</v>
          </cell>
        </row>
        <row r="9169">
          <cell r="F9169" t="str">
            <v>12505HS-10</v>
          </cell>
          <cell r="G9169" t="str">
            <v>HOUSING</v>
          </cell>
          <cell r="H9169" t="str">
            <v>HOU0042</v>
          </cell>
        </row>
        <row r="9170">
          <cell r="F9170" t="str">
            <v>XMR-04V</v>
          </cell>
          <cell r="G9170" t="str">
            <v>HOUSING</v>
          </cell>
          <cell r="H9170" t="str">
            <v>HOU0032</v>
          </cell>
        </row>
        <row r="9171">
          <cell r="F9171" t="str">
            <v>XMP-04V</v>
          </cell>
          <cell r="G9171" t="str">
            <v>HOUSING</v>
          </cell>
          <cell r="H9171" t="str">
            <v>HOU0031</v>
          </cell>
        </row>
        <row r="9172">
          <cell r="F9172" t="str">
            <v>XMP-18V</v>
          </cell>
          <cell r="G9172" t="str">
            <v>HOUSING</v>
          </cell>
          <cell r="H9172" t="str">
            <v>HOU0029</v>
          </cell>
        </row>
        <row r="9173">
          <cell r="F9173" t="str">
            <v>XMR-18V</v>
          </cell>
          <cell r="G9173" t="str">
            <v>HOUSING</v>
          </cell>
          <cell r="H9173" t="str">
            <v>HOU0028</v>
          </cell>
        </row>
        <row r="9174">
          <cell r="F9174" t="str">
            <v>XMP-11V</v>
          </cell>
          <cell r="G9174" t="str">
            <v>HOUSING</v>
          </cell>
          <cell r="H9174" t="str">
            <v>HOU0027</v>
          </cell>
        </row>
        <row r="9175">
          <cell r="F9175" t="str">
            <v>XMR-11V</v>
          </cell>
          <cell r="G9175" t="str">
            <v>HOUSING</v>
          </cell>
          <cell r="H9175" t="str">
            <v>HOU0026</v>
          </cell>
        </row>
        <row r="9176">
          <cell r="F9176" t="str">
            <v>XMR-06V</v>
          </cell>
          <cell r="G9176" t="str">
            <v>HOUSING</v>
          </cell>
          <cell r="H9176" t="str">
            <v>HOU0025</v>
          </cell>
        </row>
        <row r="9177">
          <cell r="F9177" t="str">
            <v>XMP-06V</v>
          </cell>
          <cell r="G9177" t="str">
            <v>HOUSING</v>
          </cell>
          <cell r="H9177" t="str">
            <v>HOU0024</v>
          </cell>
        </row>
        <row r="9178">
          <cell r="F9178" t="str">
            <v>XARP-13V</v>
          </cell>
          <cell r="G9178" t="str">
            <v>HOUSING</v>
          </cell>
          <cell r="H9178" t="str">
            <v>HOU0023</v>
          </cell>
        </row>
        <row r="9179">
          <cell r="F9179" t="str">
            <v>XARR-13V</v>
          </cell>
          <cell r="G9179" t="str">
            <v>HOUSING</v>
          </cell>
          <cell r="H9179" t="str">
            <v>HOU0022</v>
          </cell>
        </row>
        <row r="9180">
          <cell r="F9180" t="str">
            <v>XMP-12V</v>
          </cell>
          <cell r="G9180" t="str">
            <v>HOUSING</v>
          </cell>
          <cell r="H9180" t="str">
            <v>HOU0020</v>
          </cell>
        </row>
        <row r="9181">
          <cell r="F9181" t="str">
            <v>XMR-10V</v>
          </cell>
          <cell r="G9181" t="str">
            <v>HOUSING</v>
          </cell>
          <cell r="H9181" t="str">
            <v>HOU0019</v>
          </cell>
        </row>
        <row r="9182">
          <cell r="F9182" t="str">
            <v>XMR-09V</v>
          </cell>
          <cell r="G9182" t="str">
            <v>HOUSING</v>
          </cell>
          <cell r="H9182" t="str">
            <v>HOU0018</v>
          </cell>
        </row>
        <row r="9183">
          <cell r="F9183" t="str">
            <v>YLP-02V</v>
          </cell>
          <cell r="G9183" t="str">
            <v>HOUSING</v>
          </cell>
          <cell r="H9183" t="str">
            <v>HOU0016</v>
          </cell>
        </row>
        <row r="9184">
          <cell r="F9184" t="str">
            <v>YLP-06V</v>
          </cell>
          <cell r="G9184" t="str">
            <v>HOUSING</v>
          </cell>
          <cell r="H9184" t="str">
            <v>HOU0015</v>
          </cell>
        </row>
        <row r="9185">
          <cell r="F9185" t="str">
            <v>YLP-03V</v>
          </cell>
          <cell r="G9185" t="str">
            <v>HOUSING</v>
          </cell>
          <cell r="H9185" t="str">
            <v>HOU0014</v>
          </cell>
        </row>
        <row r="9186">
          <cell r="F9186" t="str">
            <v>YLP-04V</v>
          </cell>
          <cell r="G9186" t="str">
            <v>HOUSING</v>
          </cell>
          <cell r="H9186" t="str">
            <v>HOU0013</v>
          </cell>
        </row>
        <row r="9187">
          <cell r="F9187" t="str">
            <v>XMR-12V</v>
          </cell>
          <cell r="G9187" t="str">
            <v>HOUSING</v>
          </cell>
          <cell r="H9187" t="str">
            <v>HOU0012</v>
          </cell>
        </row>
        <row r="9188">
          <cell r="F9188" t="str">
            <v>YLR-04V</v>
          </cell>
          <cell r="G9188" t="str">
            <v>HOUSING</v>
          </cell>
          <cell r="H9188" t="str">
            <v>HOU0011</v>
          </cell>
        </row>
        <row r="9189">
          <cell r="F9189" t="str">
            <v>XMP-10V</v>
          </cell>
          <cell r="G9189" t="str">
            <v>HOUSING</v>
          </cell>
          <cell r="H9189" t="str">
            <v>HOU0009</v>
          </cell>
        </row>
        <row r="9190">
          <cell r="F9190" t="str">
            <v>XMP-09V</v>
          </cell>
          <cell r="G9190" t="str">
            <v>HOUSING</v>
          </cell>
          <cell r="H9190" t="str">
            <v>HOU0008</v>
          </cell>
        </row>
        <row r="9191">
          <cell r="F9191" t="str">
            <v>YLR-16V</v>
          </cell>
          <cell r="G9191" t="str">
            <v>HOUSING</v>
          </cell>
          <cell r="H9191" t="str">
            <v>HOU0007</v>
          </cell>
        </row>
        <row r="9192">
          <cell r="F9192" t="str">
            <v>XMR-02V</v>
          </cell>
          <cell r="G9192" t="str">
            <v>HOUSING</v>
          </cell>
          <cell r="H9192" t="str">
            <v>HOU0006</v>
          </cell>
        </row>
        <row r="9193">
          <cell r="F9193" t="str">
            <v>XMP-02V</v>
          </cell>
          <cell r="G9193" t="str">
            <v>HOUSING</v>
          </cell>
          <cell r="H9193" t="str">
            <v>HOU0005</v>
          </cell>
        </row>
        <row r="9194">
          <cell r="F9194" t="str">
            <v>YLP-06V-3-WGL1-Y</v>
          </cell>
          <cell r="G9194" t="str">
            <v>HOUSING</v>
          </cell>
          <cell r="H9194" t="str">
            <v>HOU0004</v>
          </cell>
        </row>
        <row r="9195">
          <cell r="F9195" t="str">
            <v>XARP-15V</v>
          </cell>
          <cell r="G9195" t="str">
            <v>HOUSING</v>
          </cell>
          <cell r="H9195" t="str">
            <v>HOU0003</v>
          </cell>
        </row>
        <row r="9196">
          <cell r="F9196" t="str">
            <v>XARR-15V</v>
          </cell>
          <cell r="G9196" t="str">
            <v>HOUSING</v>
          </cell>
          <cell r="H9196" t="str">
            <v>HOU0002</v>
          </cell>
        </row>
        <row r="9197">
          <cell r="F9197" t="str">
            <v>YLR-02V</v>
          </cell>
          <cell r="G9197" t="str">
            <v>HOUSING</v>
          </cell>
          <cell r="H9197" t="str">
            <v>HOU0001</v>
          </cell>
        </row>
        <row r="9198">
          <cell r="F9198" t="str">
            <v>33472-1201</v>
          </cell>
          <cell r="G9198" t="str">
            <v>LOW VOLTAGE HOUSING</v>
          </cell>
          <cell r="H9198" t="str">
            <v>HMK1215006B1</v>
          </cell>
        </row>
        <row r="9199">
          <cell r="F9199" t="str">
            <v>49093-0221</v>
          </cell>
          <cell r="G9199" t="str">
            <v>HOUSING</v>
          </cell>
          <cell r="H9199" t="str">
            <v>HMK02092W6B0</v>
          </cell>
        </row>
        <row r="9200">
          <cell r="F9200" t="str">
            <v>HKC78-88312</v>
          </cell>
          <cell r="G9200" t="str">
            <v>LOW VOLTAGE HOUSING</v>
          </cell>
          <cell r="H9200" t="str">
            <v>HKY78LIF01W0</v>
          </cell>
        </row>
        <row r="9201">
          <cell r="F9201" t="str">
            <v>HKC69-69327</v>
          </cell>
          <cell r="G9201" t="str">
            <v>LOW VOLTAGE HOUSING</v>
          </cell>
          <cell r="H9201" t="str">
            <v>HKY69LIF02L0</v>
          </cell>
        </row>
        <row r="9202">
          <cell r="F9202" t="str">
            <v>HKC37-69323</v>
          </cell>
          <cell r="G9202" t="str">
            <v>LOW VOLTAGE HOUSING</v>
          </cell>
          <cell r="H9202" t="str">
            <v>HKY37LIF12R0</v>
          </cell>
        </row>
        <row r="9203">
          <cell r="F9203" t="str">
            <v>HKC35-66522</v>
          </cell>
          <cell r="G9203" t="str">
            <v>LOW VOLTAGE HOUSING</v>
          </cell>
          <cell r="H9203" t="str">
            <v>HKY35HYB02W0</v>
          </cell>
        </row>
        <row r="9204">
          <cell r="F9204" t="str">
            <v>5011-0073</v>
          </cell>
          <cell r="G9204" t="str">
            <v>LOW VOLTAGE HOUSING</v>
          </cell>
          <cell r="H9204" t="str">
            <v>HKY1002502W0</v>
          </cell>
        </row>
        <row r="9205">
          <cell r="F9205" t="str">
            <v>HKC06-12288</v>
          </cell>
          <cell r="G9205" t="str">
            <v>LOW VOLTAGE HOUSING</v>
          </cell>
          <cell r="H9205" t="str">
            <v>HKY0805046GR</v>
          </cell>
        </row>
        <row r="9206">
          <cell r="F9206" t="str">
            <v>HKC05-12221</v>
          </cell>
          <cell r="G9206" t="str">
            <v>LOW VOLTAGE HOUSING</v>
          </cell>
          <cell r="H9206" t="str">
            <v>HKY0805036B0</v>
          </cell>
        </row>
        <row r="9207">
          <cell r="F9207" t="str">
            <v>HKC05-12248</v>
          </cell>
          <cell r="G9207" t="str">
            <v>LOW VOLTAGE HOUSING</v>
          </cell>
          <cell r="H9207" t="str">
            <v>HKY0805026GR</v>
          </cell>
        </row>
        <row r="9208">
          <cell r="F9208" t="str">
            <v>HKC06-12261</v>
          </cell>
          <cell r="G9208" t="str">
            <v>LOW VOLTAGE HOUSING</v>
          </cell>
          <cell r="H9208" t="str">
            <v>HKY0805026B1</v>
          </cell>
        </row>
        <row r="9209">
          <cell r="F9209" t="str">
            <v>HKC06-12221</v>
          </cell>
          <cell r="G9209" t="str">
            <v>LOW VOLTAGE HOUSING</v>
          </cell>
          <cell r="H9209" t="str">
            <v>HKY0805026B0</v>
          </cell>
        </row>
        <row r="9210">
          <cell r="F9210" t="str">
            <v>HKC06-12248</v>
          </cell>
          <cell r="G9210" t="str">
            <v>LOW VOLTAGE HOUSING</v>
          </cell>
          <cell r="H9210" t="str">
            <v>HKY0805016GR</v>
          </cell>
        </row>
        <row r="9211">
          <cell r="F9211" t="str">
            <v>HKC08-12201</v>
          </cell>
          <cell r="G9211" t="str">
            <v>LOW VOLTAGE HOUSING</v>
          </cell>
          <cell r="H9211" t="str">
            <v>HKY0805016B0</v>
          </cell>
        </row>
        <row r="9212">
          <cell r="F9212" t="str">
            <v>HKC04-12738</v>
          </cell>
          <cell r="G9212" t="str">
            <v>LOW VOLTAGE HOUSING</v>
          </cell>
          <cell r="H9212" t="str">
            <v>HKY06025B5LG</v>
          </cell>
        </row>
        <row r="9213">
          <cell r="F9213" t="str">
            <v>HKC06-12731</v>
          </cell>
          <cell r="G9213" t="str">
            <v>LOW VOLTAGE HOUSING</v>
          </cell>
          <cell r="H9213" t="str">
            <v>HKY06025B5B0</v>
          </cell>
        </row>
        <row r="9214">
          <cell r="F9214" t="str">
            <v>HKC04-12718</v>
          </cell>
          <cell r="G9214" t="str">
            <v>LOW VOLTAGE HOUSING</v>
          </cell>
          <cell r="H9214" t="str">
            <v>HKY06025A5LG</v>
          </cell>
        </row>
        <row r="9215">
          <cell r="F9215" t="str">
            <v>HKC06-12711</v>
          </cell>
          <cell r="G9215" t="str">
            <v>LOW VOLTAGE HOUSING</v>
          </cell>
          <cell r="H9215" t="str">
            <v>HKY06025A5B0</v>
          </cell>
        </row>
        <row r="9216">
          <cell r="F9216" t="str">
            <v>HKC04-12728</v>
          </cell>
          <cell r="G9216" t="str">
            <v>LOW VOLTAGE HOUSING</v>
          </cell>
          <cell r="H9216" t="str">
            <v>HKY0602506LG</v>
          </cell>
        </row>
        <row r="9217">
          <cell r="F9217" t="str">
            <v>HKC06-12721</v>
          </cell>
          <cell r="G9217" t="str">
            <v>LOW VOLTAGE HOUSING</v>
          </cell>
          <cell r="H9217" t="str">
            <v>HKY0602506B0</v>
          </cell>
        </row>
        <row r="9218">
          <cell r="F9218" t="str">
            <v>HP746-52021</v>
          </cell>
          <cell r="G9218" t="str">
            <v>LOW VOLTAGE HOUSING</v>
          </cell>
          <cell r="H9218" t="str">
            <v>HKU52HYB02B0</v>
          </cell>
        </row>
        <row r="9219">
          <cell r="F9219" t="str">
            <v>HP641-36020</v>
          </cell>
          <cell r="G9219" t="str">
            <v>LOW VOLTAGE HOUSING</v>
          </cell>
          <cell r="H9219" t="str">
            <v>HKU3606115B0</v>
          </cell>
        </row>
        <row r="9220">
          <cell r="F9220" t="str">
            <v>HP515-16021</v>
          </cell>
          <cell r="G9220" t="str">
            <v>HOUSING</v>
          </cell>
          <cell r="H9220" t="str">
            <v>HKU1625116B0</v>
          </cell>
        </row>
        <row r="9221">
          <cell r="F9221" t="str">
            <v>HP511-16020</v>
          </cell>
          <cell r="G9221" t="str">
            <v>LOW VOLTAGE HOUSING</v>
          </cell>
          <cell r="H9221" t="str">
            <v>HKU1625115B0</v>
          </cell>
        </row>
        <row r="9222">
          <cell r="F9222" t="str">
            <v>GL541-14020</v>
          </cell>
          <cell r="G9222" t="str">
            <v>LOW VOLTAGE HOUSING</v>
          </cell>
          <cell r="H9222" t="str">
            <v>HKU1425615B0</v>
          </cell>
        </row>
        <row r="9223">
          <cell r="F9223" t="str">
            <v>GL301-14022</v>
          </cell>
          <cell r="G9223" t="str">
            <v>LOW VOLTAGE HOUSING</v>
          </cell>
          <cell r="H9223" t="str">
            <v>HKU1425066B1</v>
          </cell>
        </row>
        <row r="9224">
          <cell r="F9224" t="str">
            <v>HP285-12021</v>
          </cell>
          <cell r="G9224" t="str">
            <v>LOW VOLTAGE HOUSING</v>
          </cell>
          <cell r="H9224" t="str">
            <v>HKU12TWP06B0</v>
          </cell>
        </row>
        <row r="9225">
          <cell r="F9225" t="str">
            <v>HP405-12021</v>
          </cell>
          <cell r="G9225" t="str">
            <v>LOW VOLTAGE HOUSING</v>
          </cell>
          <cell r="H9225" t="str">
            <v>HKU12AWPW6B0</v>
          </cell>
        </row>
        <row r="9226">
          <cell r="F9226" t="str">
            <v>HP515-12021</v>
          </cell>
          <cell r="G9226" t="str">
            <v>LOW VOLTAGE HOUSING</v>
          </cell>
          <cell r="H9226" t="str">
            <v>HKU1225116B0</v>
          </cell>
        </row>
        <row r="9227">
          <cell r="F9227" t="str">
            <v>HP405-10021</v>
          </cell>
          <cell r="G9227" t="str">
            <v>LOW VOLTAGE HOUSING</v>
          </cell>
          <cell r="H9227" t="str">
            <v>HKU10AWPW6B0</v>
          </cell>
        </row>
        <row r="9228">
          <cell r="F9228" t="str">
            <v>HP066-08021</v>
          </cell>
          <cell r="G9228" t="str">
            <v>LOW VOLTAGE HOUSING</v>
          </cell>
          <cell r="H9228" t="str">
            <v>HKU08XWP06B0</v>
          </cell>
        </row>
        <row r="9229">
          <cell r="F9229" t="str">
            <v>HP285-08021</v>
          </cell>
          <cell r="G9229" t="str">
            <v>LOW VOLTAGE HOUSING</v>
          </cell>
          <cell r="H9229" t="str">
            <v>HKU08TWP06B0</v>
          </cell>
        </row>
        <row r="9230">
          <cell r="F9230" t="str">
            <v>HP281-08020</v>
          </cell>
          <cell r="G9230" t="str">
            <v>LOW VOLTAGE HOUSING</v>
          </cell>
          <cell r="H9230" t="str">
            <v>HKU08TWP05B0</v>
          </cell>
        </row>
        <row r="9231">
          <cell r="F9231" t="str">
            <v>3537-7791</v>
          </cell>
          <cell r="G9231" t="str">
            <v>LOW VOLTAGE HOUSING</v>
          </cell>
          <cell r="H9231" t="str">
            <v>HKU06TWPJ6R0</v>
          </cell>
        </row>
        <row r="9232">
          <cell r="F9232" t="str">
            <v>3537-7795</v>
          </cell>
          <cell r="G9232" t="str">
            <v>LOW VOLTAGE HOUSING</v>
          </cell>
          <cell r="H9232" t="str">
            <v>HKU06TWPJ6L0</v>
          </cell>
        </row>
        <row r="9233">
          <cell r="F9233" t="str">
            <v>3537-7787</v>
          </cell>
          <cell r="G9233" t="str">
            <v>LOW VOLTAGE HOUSING</v>
          </cell>
          <cell r="H9233" t="str">
            <v>HKU06TWPJ6BR</v>
          </cell>
        </row>
        <row r="9234">
          <cell r="F9234" t="str">
            <v>3535-0644</v>
          </cell>
          <cell r="G9234" t="str">
            <v>LOW VOLTAGE HOUSING</v>
          </cell>
          <cell r="H9234" t="str">
            <v>HKU06TWPJ6B0</v>
          </cell>
        </row>
        <row r="9235">
          <cell r="F9235" t="str">
            <v>HP285-06021</v>
          </cell>
          <cell r="G9235" t="str">
            <v>LOW VOLTAGE HOUSING</v>
          </cell>
          <cell r="H9235" t="str">
            <v>HKU06TWP26B0</v>
          </cell>
        </row>
        <row r="9236">
          <cell r="F9236" t="str">
            <v>HKU06NMWP6B0</v>
          </cell>
          <cell r="G9236" t="str">
            <v>LOW VOLTAGE HOUSING</v>
          </cell>
          <cell r="H9236" t="str">
            <v>HKU06NMWP6B0</v>
          </cell>
        </row>
        <row r="9237">
          <cell r="F9237" t="str">
            <v>PB621-06020</v>
          </cell>
          <cell r="G9237" t="str">
            <v>HOUSING</v>
          </cell>
          <cell r="H9237" t="str">
            <v>HKU06NMWP5B0</v>
          </cell>
        </row>
        <row r="9238">
          <cell r="F9238" t="str">
            <v>PB621-06720</v>
          </cell>
          <cell r="G9238" t="str">
            <v>LOW VOLTAGE HOUSING</v>
          </cell>
          <cell r="H9238" t="str">
            <v>HKU06NMW15GR</v>
          </cell>
        </row>
        <row r="9239">
          <cell r="F9239" t="str">
            <v>PB041-04020</v>
          </cell>
          <cell r="G9239" t="str">
            <v>HOUSING</v>
          </cell>
          <cell r="H9239" t="str">
            <v>HKU04WWP05B0</v>
          </cell>
        </row>
        <row r="9240">
          <cell r="F9240" t="str">
            <v>PB621-04020</v>
          </cell>
          <cell r="G9240" t="str">
            <v>HOUSING</v>
          </cell>
          <cell r="H9240" t="str">
            <v>HKU04NMWP5B0</v>
          </cell>
        </row>
        <row r="9241">
          <cell r="F9241" t="str">
            <v>PB625-03027</v>
          </cell>
          <cell r="G9241" t="str">
            <v>LOW VOLTAGE HOUSING</v>
          </cell>
          <cell r="H9241" t="str">
            <v>HKU03NMWP6B0</v>
          </cell>
        </row>
        <row r="9242">
          <cell r="F9242" t="str">
            <v>HP288-02021</v>
          </cell>
          <cell r="G9242" t="str">
            <v>LOW VOLTAGE HOUSING</v>
          </cell>
          <cell r="H9242" t="str">
            <v>HKU02TWPC6B0</v>
          </cell>
        </row>
        <row r="9243">
          <cell r="F9243" t="str">
            <v>HP285-02021</v>
          </cell>
          <cell r="G9243" t="str">
            <v>LOW VOLTAGE HOUSING</v>
          </cell>
          <cell r="H9243" t="str">
            <v>HKU02TWP06B0</v>
          </cell>
        </row>
        <row r="9244">
          <cell r="F9244" t="str">
            <v>HP281-02020</v>
          </cell>
          <cell r="G9244" t="str">
            <v>LOW VOLTAGE HOUSING</v>
          </cell>
          <cell r="H9244" t="str">
            <v>HKU02TWP05B0</v>
          </cell>
        </row>
        <row r="9245">
          <cell r="F9245" t="str">
            <v>PB625-02647</v>
          </cell>
          <cell r="G9245" t="str">
            <v>LOW VOLTAGE HOUSING</v>
          </cell>
          <cell r="H9245" t="str">
            <v>HKU02NMWP6L0</v>
          </cell>
        </row>
        <row r="9246">
          <cell r="F9246" t="str">
            <v>PB625-02027</v>
          </cell>
          <cell r="G9246" t="str">
            <v>LOW VOLTAGE HOUSING</v>
          </cell>
          <cell r="H9246" t="str">
            <v>HKU02NMWP6B0</v>
          </cell>
        </row>
        <row r="9247">
          <cell r="F9247" t="str">
            <v>PB621-02020</v>
          </cell>
          <cell r="G9247" t="str">
            <v>LOW VOLTAGE HOUSING</v>
          </cell>
          <cell r="H9247" t="str">
            <v>HKU02NMWP5B0</v>
          </cell>
        </row>
        <row r="9248">
          <cell r="F9248" t="str">
            <v>HK485-02010</v>
          </cell>
          <cell r="G9248" t="str">
            <v>LOW VOLTAGE HOUSING</v>
          </cell>
          <cell r="H9248" t="str">
            <v>HKU02NICS2W0</v>
          </cell>
        </row>
        <row r="9249">
          <cell r="F9249" t="str">
            <v>HK488-02040</v>
          </cell>
          <cell r="G9249" t="str">
            <v>LOW VOLTAGE HOUSING</v>
          </cell>
          <cell r="H9249" t="str">
            <v>HKU02NICS2L0</v>
          </cell>
        </row>
        <row r="9250">
          <cell r="F9250" t="str">
            <v>HK487-02120</v>
          </cell>
          <cell r="G9250" t="str">
            <v>LOW VOLTAGE HOUSING</v>
          </cell>
          <cell r="H9250" t="str">
            <v>HKU02NICS2GR</v>
          </cell>
        </row>
        <row r="9251">
          <cell r="F9251" t="str">
            <v>HK905-02050</v>
          </cell>
          <cell r="G9251" t="str">
            <v>LOW VOLTAGE HOUSING</v>
          </cell>
          <cell r="H9251" t="str">
            <v>HKU02NICS2BR</v>
          </cell>
        </row>
        <row r="9252">
          <cell r="F9252" t="str">
            <v>HK261-02010</v>
          </cell>
          <cell r="G9252" t="str">
            <v>LOW VOLTAGE HOUSING</v>
          </cell>
          <cell r="H9252" t="str">
            <v>HKU02NICO1W0</v>
          </cell>
        </row>
        <row r="9253">
          <cell r="F9253" t="str">
            <v>HK486-02020</v>
          </cell>
          <cell r="G9253" t="str">
            <v>LOW VOLTAGE HOUSING</v>
          </cell>
          <cell r="H9253" t="str">
            <v>HKU02NICB2B0</v>
          </cell>
        </row>
        <row r="9254">
          <cell r="F9254" t="str">
            <v>HK266-02020</v>
          </cell>
          <cell r="G9254" t="str">
            <v>LOW VOLTAGE HOUSING</v>
          </cell>
          <cell r="H9254" t="str">
            <v>HKU02NIC12B0</v>
          </cell>
        </row>
        <row r="9255">
          <cell r="F9255" t="str">
            <v>HK265-02010</v>
          </cell>
          <cell r="G9255" t="str">
            <v>LOW VOLTAGE HOUSING</v>
          </cell>
          <cell r="H9255" t="str">
            <v>HKU02NIC02W0</v>
          </cell>
        </row>
        <row r="9256">
          <cell r="F9256" t="str">
            <v>PU465-02627</v>
          </cell>
          <cell r="G9256" t="str">
            <v>LOW VOLTAGE HOUSING</v>
          </cell>
          <cell r="H9256" t="str">
            <v>HKU02NDWP6B0</v>
          </cell>
        </row>
        <row r="9257">
          <cell r="F9257" t="str">
            <v>HK326-02010</v>
          </cell>
          <cell r="G9257" t="str">
            <v>LOW VOLTAGE HOUSING</v>
          </cell>
          <cell r="H9257" t="str">
            <v>HKU02MMC02W0</v>
          </cell>
        </row>
        <row r="9258">
          <cell r="F9258" t="str">
            <v>HK327-02020</v>
          </cell>
          <cell r="G9258" t="str">
            <v>LOW VOLTAGE HOUSING</v>
          </cell>
          <cell r="H9258" t="str">
            <v>HKU02MMC02B0</v>
          </cell>
        </row>
        <row r="9259">
          <cell r="F9259" t="str">
            <v>PH845-02010</v>
          </cell>
          <cell r="G9259" t="str">
            <v>LOW VOLTAGE HOUSING</v>
          </cell>
          <cell r="H9259" t="str">
            <v>HKU02CDR02W0</v>
          </cell>
        </row>
        <row r="9260">
          <cell r="F9260" t="str">
            <v>PH841-02010</v>
          </cell>
          <cell r="G9260" t="str">
            <v>LOW VOLTAGE HOUSING</v>
          </cell>
          <cell r="H9260" t="str">
            <v>HKU02CDR01W0</v>
          </cell>
        </row>
        <row r="9261">
          <cell r="F9261" t="str">
            <v>PB625-01027-1</v>
          </cell>
          <cell r="G9261" t="str">
            <v>LOW VOLTAGE HOUSING</v>
          </cell>
          <cell r="H9261" t="str">
            <v>HKU01NMWP6B0</v>
          </cell>
        </row>
        <row r="9262">
          <cell r="F9262" t="str">
            <v>657002-5</v>
          </cell>
          <cell r="G9262" t="str">
            <v>LOW VOLTAGE HOUSING</v>
          </cell>
          <cell r="H9262" t="str">
            <v>HKT59HYB02B0</v>
          </cell>
        </row>
        <row r="9263">
          <cell r="F9263">
            <v>656800</v>
          </cell>
          <cell r="G9263" t="str">
            <v>LOW VOLTAGE HOUSING</v>
          </cell>
          <cell r="H9263" t="str">
            <v>HKT58HYBA2W0</v>
          </cell>
        </row>
        <row r="9264">
          <cell r="F9264" t="str">
            <v>MG646295-2</v>
          </cell>
          <cell r="G9264" t="str">
            <v>HOUSING</v>
          </cell>
          <cell r="H9264" t="str">
            <v>HKT54HYBR1L0</v>
          </cell>
        </row>
        <row r="9265">
          <cell r="F9265" t="str">
            <v>MG646294-41</v>
          </cell>
          <cell r="G9265" t="str">
            <v>LOW VOLTAGE HOUSING</v>
          </cell>
          <cell r="H9265" t="str">
            <v>HKT54HYBL1LG</v>
          </cell>
        </row>
        <row r="9266">
          <cell r="F9266" t="str">
            <v>MG646482-5</v>
          </cell>
          <cell r="G9266" t="str">
            <v>LOW VOLTAGE HOUSING</v>
          </cell>
          <cell r="H9266" t="str">
            <v>HKT3606115B1</v>
          </cell>
        </row>
        <row r="9267">
          <cell r="F9267" t="str">
            <v>MG656922-5</v>
          </cell>
          <cell r="G9267" t="str">
            <v>LOW VOLTAGE HOUSING</v>
          </cell>
          <cell r="H9267" t="str">
            <v>HKT3325066B0</v>
          </cell>
        </row>
        <row r="9268">
          <cell r="F9268" t="str">
            <v>646299-5</v>
          </cell>
          <cell r="G9268" t="str">
            <v>LOW VOLTAGE HOUSING</v>
          </cell>
          <cell r="H9268" t="str">
            <v>HKT26HYB05B0</v>
          </cell>
        </row>
        <row r="9269">
          <cell r="F9269" t="str">
            <v>MG656846</v>
          </cell>
          <cell r="G9269" t="str">
            <v>LOW VOLTAGE HOUSING</v>
          </cell>
          <cell r="H9269" t="str">
            <v>HKT22HYB22W0</v>
          </cell>
        </row>
        <row r="9270">
          <cell r="F9270">
            <v>656784</v>
          </cell>
          <cell r="G9270" t="str">
            <v>LOW VOLTAGE HOUSING</v>
          </cell>
          <cell r="H9270" t="str">
            <v>HKT2226102W0</v>
          </cell>
        </row>
        <row r="9271">
          <cell r="F9271" t="str">
            <v>MG656839</v>
          </cell>
          <cell r="G9271" t="str">
            <v>LOW VOLTAGE HOUSING</v>
          </cell>
          <cell r="H9271" t="str">
            <v>HKT2125F02W0</v>
          </cell>
        </row>
        <row r="9272">
          <cell r="F9272" t="str">
            <v>MG656998-5</v>
          </cell>
          <cell r="G9272" t="str">
            <v>LOW VOLTAGE HOUSING</v>
          </cell>
          <cell r="H9272" t="str">
            <v>HKT1825256B0</v>
          </cell>
        </row>
        <row r="9273">
          <cell r="F9273" t="str">
            <v>MG646357-5</v>
          </cell>
          <cell r="G9273" t="str">
            <v>LOW VOLTAGE HOUSING</v>
          </cell>
          <cell r="H9273" t="str">
            <v>HKT1825065B0</v>
          </cell>
        </row>
        <row r="9274">
          <cell r="F9274" t="str">
            <v>MG655829</v>
          </cell>
          <cell r="G9274" t="str">
            <v>LOW VOLTAGE HOUSING</v>
          </cell>
          <cell r="H9274" t="str">
            <v>HKT1806002W0</v>
          </cell>
        </row>
        <row r="9275">
          <cell r="F9275" t="str">
            <v>657065-5</v>
          </cell>
          <cell r="G9275" t="str">
            <v>LOW VOLTAGE HOUSING</v>
          </cell>
          <cell r="H9275" t="str">
            <v>HKT16HYB06B0</v>
          </cell>
        </row>
        <row r="9276">
          <cell r="F9276" t="str">
            <v>656934-5</v>
          </cell>
          <cell r="G9276" t="str">
            <v>LOW VOLTAGE HOUSING</v>
          </cell>
          <cell r="H9276" t="str">
            <v>HKT1602522B0</v>
          </cell>
        </row>
        <row r="9277">
          <cell r="F9277" t="str">
            <v>657133-5</v>
          </cell>
          <cell r="G9277" t="str">
            <v>LOW VOLTAGE HOUSING</v>
          </cell>
          <cell r="H9277" t="str">
            <v>HKT1425116B0</v>
          </cell>
        </row>
        <row r="9278">
          <cell r="F9278" t="str">
            <v>MG656841</v>
          </cell>
          <cell r="G9278" t="str">
            <v>LOW VOLTAGE HOUSING</v>
          </cell>
          <cell r="H9278" t="str">
            <v>HKT1325F02W0</v>
          </cell>
        </row>
        <row r="9279">
          <cell r="F9279" t="str">
            <v>MG645991</v>
          </cell>
          <cell r="G9279" t="str">
            <v>LOW VOLTAGE HOUSING</v>
          </cell>
          <cell r="H9279" t="str">
            <v>HKT1325F01W0</v>
          </cell>
        </row>
        <row r="9280">
          <cell r="F9280">
            <v>655613</v>
          </cell>
          <cell r="G9280" t="str">
            <v>LOW VOLTAGE HOUSING</v>
          </cell>
          <cell r="H9280" t="str">
            <v>HKT12N0602W0</v>
          </cell>
        </row>
        <row r="9281">
          <cell r="F9281" t="str">
            <v>657231-5</v>
          </cell>
          <cell r="G9281" t="str">
            <v>LOW VOLTAGE HOUSING</v>
          </cell>
          <cell r="H9281" t="str">
            <v>HKT12C0602B0</v>
          </cell>
        </row>
        <row r="9282">
          <cell r="F9282">
            <v>655828</v>
          </cell>
          <cell r="G9282" t="str">
            <v>LOW VOLTAGE HOUSING</v>
          </cell>
          <cell r="H9282" t="str">
            <v>HKT1206002W0</v>
          </cell>
        </row>
        <row r="9283">
          <cell r="F9283" t="str">
            <v>MG656913</v>
          </cell>
          <cell r="G9283" t="str">
            <v>LOW VOLTAGE HOUSING</v>
          </cell>
          <cell r="H9283" t="str">
            <v>HKT1202522W1</v>
          </cell>
        </row>
        <row r="9284">
          <cell r="F9284">
            <v>655131</v>
          </cell>
          <cell r="G9284" t="str">
            <v>LOW VOLTAGE HOUSING</v>
          </cell>
          <cell r="H9284" t="str">
            <v>HKT1202502W0</v>
          </cell>
        </row>
        <row r="9285">
          <cell r="F9285" t="str">
            <v>MG656844-4</v>
          </cell>
          <cell r="G9285" t="str">
            <v>LOW VOLTAGE HOUSING</v>
          </cell>
          <cell r="H9285" t="str">
            <v>HKT12020C2GR</v>
          </cell>
        </row>
        <row r="9286">
          <cell r="F9286" t="str">
            <v>MG656971-5</v>
          </cell>
          <cell r="G9286" t="str">
            <v>LOW VOLTAGE HOUSING</v>
          </cell>
          <cell r="H9286" t="str">
            <v>HKT1202002B0</v>
          </cell>
        </row>
        <row r="9287">
          <cell r="F9287" t="str">
            <v>MG656842-5</v>
          </cell>
          <cell r="G9287" t="str">
            <v>LOW VOLTAGE HOUSING</v>
          </cell>
          <cell r="H9287" t="str">
            <v>HKT1125F06B0</v>
          </cell>
        </row>
        <row r="9288">
          <cell r="F9288">
            <v>655608</v>
          </cell>
          <cell r="G9288" t="str">
            <v>LOW VOLTAGE HOUSING</v>
          </cell>
          <cell r="H9288" t="str">
            <v>HKT10N0602W0</v>
          </cell>
        </row>
        <row r="9289">
          <cell r="F9289" t="str">
            <v>MG656902-5</v>
          </cell>
          <cell r="G9289" t="str">
            <v>LOW VOLTAGE HOUSING</v>
          </cell>
          <cell r="H9289" t="str">
            <v>HKT10C0606B0</v>
          </cell>
        </row>
        <row r="9290">
          <cell r="F9290" t="str">
            <v>MG612234</v>
          </cell>
          <cell r="G9290" t="str">
            <v>LOW VOLTAGE HOUSING</v>
          </cell>
          <cell r="H9290" t="str">
            <v>HKT1009032W0</v>
          </cell>
        </row>
        <row r="9291">
          <cell r="F9291" t="str">
            <v>MG644803-5</v>
          </cell>
          <cell r="G9291" t="str">
            <v>LOW VOLTAGE HOUSING</v>
          </cell>
          <cell r="H9291" t="str">
            <v>HKT08WP046B0</v>
          </cell>
        </row>
        <row r="9292">
          <cell r="F9292" t="str">
            <v>MG646043-5</v>
          </cell>
          <cell r="G9292" t="str">
            <v>LOW VOLTAGE HOUSING</v>
          </cell>
          <cell r="H9292" t="str">
            <v>HKT08C0255B0</v>
          </cell>
        </row>
        <row r="9293">
          <cell r="F9293" t="str">
            <v>MG652633</v>
          </cell>
          <cell r="G9293" t="str">
            <v>LOW VOLTAGE HOUSING</v>
          </cell>
          <cell r="H9293" t="str">
            <v>HKT0891AA2W0</v>
          </cell>
        </row>
        <row r="9294">
          <cell r="F9294" t="str">
            <v>MG651050</v>
          </cell>
          <cell r="G9294" t="str">
            <v>LOW VOLTAGE HOUSING</v>
          </cell>
          <cell r="H9294" t="str">
            <v>HKT0809022W0</v>
          </cell>
        </row>
        <row r="9295">
          <cell r="F9295" t="str">
            <v>MG654863-41</v>
          </cell>
          <cell r="G9295" t="str">
            <v>LOW VOLTAGE HOUSING</v>
          </cell>
          <cell r="H9295" t="str">
            <v>HKT08064B2LG</v>
          </cell>
        </row>
        <row r="9296">
          <cell r="F9296" t="str">
            <v>654243-5</v>
          </cell>
          <cell r="G9296" t="str">
            <v>LOW VOLTAGE HOUSING</v>
          </cell>
          <cell r="H9296" t="str">
            <v>HKT08064A2B0</v>
          </cell>
        </row>
        <row r="9297">
          <cell r="F9297">
            <v>655827</v>
          </cell>
          <cell r="G9297" t="str">
            <v>LOW VOLTAGE HOUSING</v>
          </cell>
          <cell r="H9297" t="str">
            <v>HKT0806002W0</v>
          </cell>
        </row>
        <row r="9298">
          <cell r="F9298" t="str">
            <v>656779-5</v>
          </cell>
          <cell r="G9298" t="str">
            <v>LOW VOLTAGE HOUSING</v>
          </cell>
          <cell r="H9298" t="str">
            <v>HKT0725FA6B0</v>
          </cell>
        </row>
        <row r="9299">
          <cell r="F9299" t="str">
            <v>MG645785-40</v>
          </cell>
          <cell r="G9299" t="str">
            <v>LOW VOLTAGE HOUSING</v>
          </cell>
          <cell r="H9299" t="str">
            <v>HKT0706376DG</v>
          </cell>
        </row>
        <row r="9300">
          <cell r="F9300" t="str">
            <v>MG641627-5</v>
          </cell>
          <cell r="G9300" t="str">
            <v>HOUSING</v>
          </cell>
          <cell r="H9300" t="str">
            <v>HKT06SSD06B0</v>
          </cell>
        </row>
        <row r="9301">
          <cell r="F9301" t="str">
            <v>643284-5</v>
          </cell>
          <cell r="G9301" t="str">
            <v>LOW VOLTAGE HOUSING</v>
          </cell>
          <cell r="H9301" t="str">
            <v>HKT06RH006B0</v>
          </cell>
        </row>
        <row r="9302">
          <cell r="F9302" t="str">
            <v>MG651439</v>
          </cell>
          <cell r="G9302" t="str">
            <v>LOW VOLTAGE HOUSING</v>
          </cell>
          <cell r="H9302" t="str">
            <v>HKT0691A02W0</v>
          </cell>
        </row>
        <row r="9303">
          <cell r="F9303" t="str">
            <v>MG612228</v>
          </cell>
          <cell r="G9303" t="str">
            <v>LOW VOLTAGE HOUSING</v>
          </cell>
          <cell r="H9303" t="str">
            <v>HKT0609032W0</v>
          </cell>
        </row>
        <row r="9304">
          <cell r="F9304">
            <v>655574</v>
          </cell>
          <cell r="G9304" t="str">
            <v>HOUSING</v>
          </cell>
          <cell r="H9304" t="str">
            <v>HKT0606002W0</v>
          </cell>
        </row>
        <row r="9305">
          <cell r="F9305" t="str">
            <v>612612-40</v>
          </cell>
          <cell r="G9305" t="str">
            <v>LOW VOLTAGE HOUSING</v>
          </cell>
          <cell r="H9305" t="str">
            <v>HKT0604WP6GR</v>
          </cell>
        </row>
        <row r="9306">
          <cell r="F9306" t="str">
            <v>MG610331-5</v>
          </cell>
          <cell r="G9306" t="str">
            <v>LOW VOLTAGE HOUSING</v>
          </cell>
          <cell r="H9306" t="str">
            <v>HKT04SWP06B0</v>
          </cell>
        </row>
        <row r="9307">
          <cell r="F9307" t="str">
            <v>MG640333-5</v>
          </cell>
          <cell r="G9307" t="str">
            <v>LOW VOLTAGE HOUSING</v>
          </cell>
          <cell r="H9307" t="str">
            <v>HKT04SWP05B0</v>
          </cell>
        </row>
        <row r="9308">
          <cell r="F9308">
            <v>610366</v>
          </cell>
          <cell r="G9308" t="str">
            <v>LOW VOLTAGE HOUSING</v>
          </cell>
          <cell r="H9308" t="str">
            <v>HKT04SP042W0</v>
          </cell>
        </row>
        <row r="9309">
          <cell r="F9309">
            <v>651038</v>
          </cell>
          <cell r="G9309" t="str">
            <v>LOW VOLTAGE HOUSING</v>
          </cell>
          <cell r="H9309" t="str">
            <v>HKT0409022W0</v>
          </cell>
        </row>
        <row r="9310">
          <cell r="F9310">
            <v>610396</v>
          </cell>
          <cell r="G9310" t="str">
            <v>LOW VOLTAGE HOUSING</v>
          </cell>
          <cell r="H9310" t="str">
            <v>HKT0407002W0</v>
          </cell>
        </row>
        <row r="9311">
          <cell r="F9311">
            <v>611275</v>
          </cell>
          <cell r="G9311" t="str">
            <v>LOW VOLTAGE HOUSING</v>
          </cell>
          <cell r="H9311" t="str">
            <v>HKT0406002W0</v>
          </cell>
        </row>
        <row r="9312">
          <cell r="F9312" t="str">
            <v>MG656923</v>
          </cell>
          <cell r="G9312" t="str">
            <v>LOW VOLTAGE HOUSING</v>
          </cell>
          <cell r="H9312" t="str">
            <v>HKT0402522W0</v>
          </cell>
        </row>
        <row r="9313">
          <cell r="F9313" t="str">
            <v>MG641362</v>
          </cell>
          <cell r="G9313" t="str">
            <v>LOW VOLTAGE HOUSING</v>
          </cell>
          <cell r="H9313" t="str">
            <v>HKT03092W6W0</v>
          </cell>
        </row>
        <row r="9314">
          <cell r="F9314" t="str">
            <v>641362-4</v>
          </cell>
          <cell r="G9314" t="str">
            <v>LOW VOLTAGE HOUSING</v>
          </cell>
          <cell r="H9314" t="str">
            <v>HKT03092W6GR</v>
          </cell>
        </row>
        <row r="9315">
          <cell r="F9315" t="str">
            <v>MG612034</v>
          </cell>
          <cell r="G9315" t="str">
            <v>LOW VOLTAGE HOUSING</v>
          </cell>
          <cell r="H9315" t="str">
            <v>HKT0309032W0</v>
          </cell>
        </row>
        <row r="9316">
          <cell r="F9316" t="str">
            <v>MG651032</v>
          </cell>
          <cell r="G9316" t="str">
            <v>LOW VOLTAGE HOUSING</v>
          </cell>
          <cell r="H9316" t="str">
            <v>HKT0309022W0</v>
          </cell>
        </row>
        <row r="9317">
          <cell r="F9317" t="str">
            <v>MG657015-5</v>
          </cell>
          <cell r="G9317" t="str">
            <v>LOW VOLTAGE HOUSING</v>
          </cell>
          <cell r="H9317" t="str">
            <v>HKT0306006B0</v>
          </cell>
        </row>
        <row r="9318">
          <cell r="F9318" t="str">
            <v>642605-5</v>
          </cell>
          <cell r="G9318" t="str">
            <v>LOW VOLTAGE HOUSING</v>
          </cell>
          <cell r="H9318" t="str">
            <v>HKT0304WP6B0</v>
          </cell>
        </row>
        <row r="9319">
          <cell r="F9319" t="str">
            <v>MG610320-5</v>
          </cell>
          <cell r="G9319" t="str">
            <v>LOW VOLTAGE HOUSING</v>
          </cell>
          <cell r="H9319" t="str">
            <v>HKT02SWP06B0</v>
          </cell>
        </row>
        <row r="9320">
          <cell r="F9320" t="str">
            <v>MG640707</v>
          </cell>
          <cell r="G9320" t="str">
            <v>LOW VOLTAGE HOUSING</v>
          </cell>
          <cell r="H9320" t="str">
            <v>HKT02SSD06W0</v>
          </cell>
        </row>
        <row r="9321">
          <cell r="F9321" t="str">
            <v>640707-5</v>
          </cell>
          <cell r="G9321" t="str">
            <v>LOW VOLTAGE HOUSING</v>
          </cell>
          <cell r="H9321" t="str">
            <v>HKT02SSD06B0</v>
          </cell>
        </row>
        <row r="9322">
          <cell r="F9322" t="str">
            <v>656894-5</v>
          </cell>
          <cell r="G9322" t="str">
            <v>LOW VOLTAGE HOUSING</v>
          </cell>
          <cell r="H9322" t="str">
            <v>HKT02C0256B0</v>
          </cell>
        </row>
        <row r="9323">
          <cell r="F9323" t="str">
            <v>611271-7</v>
          </cell>
          <cell r="G9323" t="str">
            <v>LOW VOLTAGE HOUSING</v>
          </cell>
          <cell r="H9323" t="str">
            <v>HKT0262C02BR</v>
          </cell>
        </row>
        <row r="9324">
          <cell r="F9324" t="str">
            <v>MG652934-5</v>
          </cell>
          <cell r="G9324" t="str">
            <v>LOW VOLTAGE HOUSING</v>
          </cell>
          <cell r="H9324" t="str">
            <v>HKT0231WP5B0</v>
          </cell>
        </row>
        <row r="9325">
          <cell r="F9325" t="str">
            <v>MG653494-5</v>
          </cell>
          <cell r="G9325" t="str">
            <v>LOW VOLTAGE HOUSING</v>
          </cell>
          <cell r="H9325" t="str">
            <v>HKT0209WP6B0</v>
          </cell>
        </row>
        <row r="9326">
          <cell r="F9326" t="str">
            <v>MG643477-5</v>
          </cell>
          <cell r="G9326" t="str">
            <v>HOUSING</v>
          </cell>
          <cell r="H9326" t="str">
            <v>HKT0209026B0</v>
          </cell>
        </row>
        <row r="9327">
          <cell r="F9327" t="str">
            <v>MG656859-3</v>
          </cell>
          <cell r="G9327" t="str">
            <v>LOW VOLTAGE HOUSING</v>
          </cell>
          <cell r="H9327" t="str">
            <v>HKT02060W6Y0</v>
          </cell>
        </row>
        <row r="9328">
          <cell r="F9328" t="str">
            <v>MG657038-2</v>
          </cell>
          <cell r="G9328" t="str">
            <v>LOW VOLTAGE HOUSING</v>
          </cell>
          <cell r="H9328" t="str">
            <v>HKT02060W6L0</v>
          </cell>
        </row>
        <row r="9329">
          <cell r="F9329" t="str">
            <v>MG657073-4</v>
          </cell>
          <cell r="G9329" t="str">
            <v>LOW VOLTAGE HOUSING</v>
          </cell>
          <cell r="H9329" t="str">
            <v>HKT0205006GR</v>
          </cell>
        </row>
        <row r="9330">
          <cell r="F9330" t="str">
            <v>MG651586</v>
          </cell>
          <cell r="G9330" t="str">
            <v>LOW VOLTAGE HOUSING</v>
          </cell>
          <cell r="H9330" t="str">
            <v>HKT0205002W0</v>
          </cell>
        </row>
        <row r="9331">
          <cell r="F9331" t="str">
            <v>MG644146-5</v>
          </cell>
          <cell r="G9331" t="str">
            <v>LOW VOLTAGE HOUSING</v>
          </cell>
          <cell r="H9331" t="str">
            <v>HKT0204006B0</v>
          </cell>
        </row>
        <row r="9332">
          <cell r="F9332" t="str">
            <v>MG653762</v>
          </cell>
          <cell r="G9332" t="str">
            <v>LOW VOLTAGE HOUSING</v>
          </cell>
          <cell r="H9332" t="str">
            <v>HKT01T3752W0</v>
          </cell>
        </row>
        <row r="9333">
          <cell r="F9333" t="str">
            <v>MG613689-5</v>
          </cell>
          <cell r="G9333" t="str">
            <v>LOW VOLTAGE HOUSING</v>
          </cell>
          <cell r="H9333" t="str">
            <v>HKT0158L02B1</v>
          </cell>
        </row>
        <row r="9334">
          <cell r="F9334" t="str">
            <v>MG613801-5</v>
          </cell>
          <cell r="G9334" t="str">
            <v>LOW VOLTAGE HOUSING</v>
          </cell>
          <cell r="H9334" t="str">
            <v>HKT01375W6B0</v>
          </cell>
        </row>
        <row r="9335">
          <cell r="F9335" t="str">
            <v>MG643800-5</v>
          </cell>
          <cell r="G9335" t="str">
            <v>LOW VOLTAGE HOUSING</v>
          </cell>
          <cell r="H9335" t="str">
            <v>HKT01375W5B0</v>
          </cell>
        </row>
        <row r="9336">
          <cell r="F9336">
            <v>614449</v>
          </cell>
          <cell r="G9336" t="str">
            <v>LOW VOLTAGE HOUSING</v>
          </cell>
          <cell r="H9336" t="str">
            <v>HKT01375L2W0</v>
          </cell>
        </row>
        <row r="9337">
          <cell r="F9337" t="str">
            <v>MG656837-5</v>
          </cell>
          <cell r="G9337" t="str">
            <v>LOW VOLTAGE HOUSING</v>
          </cell>
          <cell r="H9337" t="str">
            <v>HKT0137506B0</v>
          </cell>
        </row>
        <row r="9338">
          <cell r="F9338" t="str">
            <v>625460-5</v>
          </cell>
          <cell r="G9338" t="str">
            <v>LOW VOLTAGE HOUSING</v>
          </cell>
          <cell r="H9338" t="str">
            <v>HKT0137505B0</v>
          </cell>
        </row>
        <row r="9339">
          <cell r="F9339" t="str">
            <v>MG640944-5</v>
          </cell>
          <cell r="G9339" t="str">
            <v>LOW VOLTAGE HOUSING</v>
          </cell>
          <cell r="H9339" t="str">
            <v>HKT0131226B0</v>
          </cell>
        </row>
        <row r="9340">
          <cell r="F9340" t="str">
            <v>650943-5</v>
          </cell>
          <cell r="G9340" t="str">
            <v>LOW VOLTAGE HOUSING</v>
          </cell>
          <cell r="H9340" t="str">
            <v>HKT0131225B0</v>
          </cell>
        </row>
        <row r="9341">
          <cell r="F9341">
            <v>10099940</v>
          </cell>
          <cell r="G9341" t="str">
            <v>LOW VOLTAGE HOUSING</v>
          </cell>
          <cell r="H9341" t="str">
            <v>HKS12ML126B0</v>
          </cell>
        </row>
        <row r="9342">
          <cell r="F9342" t="str">
            <v>74JIA-RB-2H-K</v>
          </cell>
          <cell r="G9342" t="str">
            <v>HOUSING</v>
          </cell>
          <cell r="H9342" t="str">
            <v>HJS74JIAH2B0</v>
          </cell>
        </row>
        <row r="9343">
          <cell r="F9343" t="str">
            <v>MSAZRB-03-1A-K</v>
          </cell>
          <cell r="G9343" t="str">
            <v>LOW VOLTAGE HOUSING</v>
          </cell>
          <cell r="H9343" t="str">
            <v>HJS03MSAZ6B0</v>
          </cell>
        </row>
        <row r="9344">
          <cell r="F9344" t="str">
            <v>MSAIRB-02-6NA-Y</v>
          </cell>
          <cell r="G9344" t="str">
            <v>LOW VOLTAGE HOUSING</v>
          </cell>
          <cell r="H9344" t="str">
            <v>HJS02MSA26BR</v>
          </cell>
        </row>
        <row r="9345">
          <cell r="F9345" t="str">
            <v>6441-0030-2-000</v>
          </cell>
          <cell r="G9345" t="str">
            <v>LOW VOLTAGE HOUSING</v>
          </cell>
          <cell r="H9345" t="str">
            <v>HHR65HYB02B0</v>
          </cell>
        </row>
        <row r="9346">
          <cell r="F9346" t="str">
            <v>6441-0055-1-000</v>
          </cell>
          <cell r="G9346" t="str">
            <v>LOW VOLTAGE HOUSING</v>
          </cell>
          <cell r="H9346" t="str">
            <v>HHR42HYB02W0</v>
          </cell>
        </row>
        <row r="9347">
          <cell r="F9347" t="str">
            <v>CL6439-0010-6</v>
          </cell>
          <cell r="G9347" t="str">
            <v>LOW VOLTAGE HOUSING</v>
          </cell>
          <cell r="H9347" t="str">
            <v>HHR28HYB02W0</v>
          </cell>
        </row>
        <row r="9348">
          <cell r="F9348" t="str">
            <v>6441-0037-1-000</v>
          </cell>
          <cell r="G9348" t="str">
            <v>LOW VOLTAGE HOUSING</v>
          </cell>
          <cell r="H9348" t="str">
            <v>HHR23025F2W0</v>
          </cell>
        </row>
        <row r="9349">
          <cell r="F9349" t="str">
            <v>CL6441-0002-2-000</v>
          </cell>
          <cell r="G9349" t="str">
            <v>LOW VOLTAGE HOUSING</v>
          </cell>
          <cell r="H9349" t="str">
            <v>HHR22HYB02B0</v>
          </cell>
        </row>
        <row r="9350">
          <cell r="F9350" t="str">
            <v>CL6405-0049-4-050</v>
          </cell>
          <cell r="G9350" t="str">
            <v>LOW VOLTAGE HOUSING</v>
          </cell>
          <cell r="H9350" t="str">
            <v>HHR14025J6WF</v>
          </cell>
        </row>
        <row r="9351">
          <cell r="F9351" t="str">
            <v>CL6405-0049-4-040</v>
          </cell>
          <cell r="G9351" t="str">
            <v>LOW VOLTAGE HOUSING</v>
          </cell>
          <cell r="H9351" t="str">
            <v>HHR14025J6WE</v>
          </cell>
        </row>
        <row r="9352">
          <cell r="F9352" t="str">
            <v>CL6405-0049-4-020</v>
          </cell>
          <cell r="G9352" t="str">
            <v>LOW VOLTAGE HOUSING</v>
          </cell>
          <cell r="H9352" t="str">
            <v>HHR14025J6WC</v>
          </cell>
        </row>
        <row r="9353">
          <cell r="F9353" t="str">
            <v>CL6405-0049-4-010</v>
          </cell>
          <cell r="G9353" t="str">
            <v>LOW VOLTAGE HOUSING</v>
          </cell>
          <cell r="H9353" t="str">
            <v>HHR14025J6WB</v>
          </cell>
        </row>
        <row r="9354">
          <cell r="F9354" t="str">
            <v>CL6405-0049-4-000</v>
          </cell>
          <cell r="G9354" t="str">
            <v>LOW VOLTAGE HOUSING</v>
          </cell>
          <cell r="H9354" t="str">
            <v>HHR14025J6WA</v>
          </cell>
        </row>
        <row r="9355">
          <cell r="F9355" t="str">
            <v>CL6405-0035-0-010</v>
          </cell>
          <cell r="G9355" t="str">
            <v>LOW VOLTAGE HOUSING</v>
          </cell>
          <cell r="H9355" t="str">
            <v>HHR06025J6WB</v>
          </cell>
        </row>
        <row r="9356">
          <cell r="F9356" t="str">
            <v>CL6405-0035-0-000</v>
          </cell>
          <cell r="G9356" t="str">
            <v>LOW VOLTAGE HOUSING</v>
          </cell>
          <cell r="H9356" t="str">
            <v>HHR06025J6WA</v>
          </cell>
        </row>
        <row r="9357">
          <cell r="F9357" t="str">
            <v>CL6405-0036-2</v>
          </cell>
          <cell r="G9357" t="str">
            <v>HOUSING CAP</v>
          </cell>
          <cell r="H9357" t="str">
            <v>HHR06025J5B0</v>
          </cell>
        </row>
        <row r="9358">
          <cell r="F9358" t="str">
            <v>6442-0062-1-000</v>
          </cell>
          <cell r="G9358" t="str">
            <v>LOW VOLTAGE HOUSING</v>
          </cell>
          <cell r="H9358" t="str">
            <v>HHR06025F1W0</v>
          </cell>
        </row>
        <row r="9359">
          <cell r="F9359" t="str">
            <v>805-122-541</v>
          </cell>
          <cell r="G9359" t="str">
            <v>LOW VOLTAGE HOUSING</v>
          </cell>
          <cell r="H9359" t="str">
            <v>HHI04MC126B0</v>
          </cell>
        </row>
        <row r="9360">
          <cell r="F9360" t="str">
            <v>F804500</v>
          </cell>
          <cell r="G9360" t="str">
            <v>LOW VOLTAGE HOUSING</v>
          </cell>
          <cell r="H9360" t="str">
            <v>HFC0801506B0</v>
          </cell>
        </row>
        <row r="9361">
          <cell r="F9361" t="str">
            <v>902970-00</v>
          </cell>
          <cell r="G9361" t="str">
            <v>LOW VOLTAGE HOUSING</v>
          </cell>
          <cell r="H9361" t="str">
            <v>HFC06SNSR02B0</v>
          </cell>
        </row>
        <row r="9362">
          <cell r="F9362" t="str">
            <v>903081-00</v>
          </cell>
          <cell r="G9362" t="str">
            <v>LOW VOLTAGE HOUSING</v>
          </cell>
          <cell r="H9362" t="str">
            <v>HFC0615282B2</v>
          </cell>
        </row>
        <row r="9363">
          <cell r="F9363" t="str">
            <v>F935000</v>
          </cell>
          <cell r="G9363" t="str">
            <v>LOW VOLTAGE HOUSING</v>
          </cell>
          <cell r="H9363" t="str">
            <v>HFC0601506B0</v>
          </cell>
        </row>
        <row r="9364">
          <cell r="F9364" t="str">
            <v>F904500</v>
          </cell>
          <cell r="G9364" t="str">
            <v>LOW VOLTAGE HOUSING</v>
          </cell>
          <cell r="H9364" t="str">
            <v>HFC0401506B0</v>
          </cell>
        </row>
        <row r="9365">
          <cell r="F9365" t="str">
            <v>F663010</v>
          </cell>
          <cell r="G9365" t="str">
            <v>LOW VOLTAGE HOUSING</v>
          </cell>
          <cell r="H9365" t="str">
            <v>HFC02110W8B0</v>
          </cell>
        </row>
        <row r="9366">
          <cell r="F9366" t="str">
            <v>3564-0288</v>
          </cell>
          <cell r="G9366" t="str">
            <v>LOW VOLTAGE HOUSING</v>
          </cell>
          <cell r="H9366" t="str">
            <v>HDP1464286B0</v>
          </cell>
        </row>
        <row r="9367">
          <cell r="F9367" t="str">
            <v>3570-5188</v>
          </cell>
          <cell r="G9367" t="str">
            <v>LOW VOLTAGE HOUSING</v>
          </cell>
          <cell r="H9367" t="str">
            <v>HDP12OCS06B0</v>
          </cell>
        </row>
        <row r="9368">
          <cell r="F9368" t="str">
            <v>1367-8639</v>
          </cell>
          <cell r="G9368" t="str">
            <v>LOW VOLTAGE HOUSING</v>
          </cell>
          <cell r="H9368" t="str">
            <v>HDP12HVTW6B1</v>
          </cell>
        </row>
        <row r="9369">
          <cell r="F9369" t="str">
            <v>1367-8638</v>
          </cell>
          <cell r="G9369" t="str">
            <v>LOW VOLTAGE HOUSING</v>
          </cell>
          <cell r="H9369" t="str">
            <v>HDP12HVTW6B0</v>
          </cell>
        </row>
        <row r="9370">
          <cell r="F9370" t="str">
            <v>3338-7205</v>
          </cell>
          <cell r="G9370" t="str">
            <v>LOW VOLTAGE HOUSING</v>
          </cell>
          <cell r="H9370" t="str">
            <v>HDP1128956GR</v>
          </cell>
        </row>
        <row r="9371">
          <cell r="F9371" t="str">
            <v>3334-1417</v>
          </cell>
          <cell r="G9371" t="str">
            <v>LOW VOLTAGE HOUSING</v>
          </cell>
          <cell r="H9371" t="str">
            <v>HDP0815006B1</v>
          </cell>
        </row>
        <row r="9372">
          <cell r="F9372" t="str">
            <v>3517-3511</v>
          </cell>
          <cell r="G9372" t="str">
            <v>LOW VOLTAGE HOUSING</v>
          </cell>
          <cell r="H9372" t="str">
            <v>HDP06DC156A0</v>
          </cell>
        </row>
        <row r="9373">
          <cell r="F9373" t="str">
            <v>3329-3527</v>
          </cell>
          <cell r="G9373" t="str">
            <v>LOW VOLTAGE HOUSING</v>
          </cell>
          <cell r="H9373" t="str">
            <v>HDP0615636B0</v>
          </cell>
        </row>
        <row r="9374">
          <cell r="F9374" t="str">
            <v>3564-5447</v>
          </cell>
          <cell r="G9374" t="str">
            <v>LOW VOLTAGE HOUSING</v>
          </cell>
          <cell r="H9374" t="str">
            <v>HDP06064E6B1</v>
          </cell>
        </row>
        <row r="9375">
          <cell r="F9375" t="str">
            <v>3325-3940</v>
          </cell>
          <cell r="G9375" t="str">
            <v>LOW VOLTAGE HOUSING</v>
          </cell>
          <cell r="H9375" t="str">
            <v>HDP0501506B0</v>
          </cell>
        </row>
        <row r="9376">
          <cell r="F9376" t="str">
            <v>3509-2764</v>
          </cell>
          <cell r="G9376" t="str">
            <v>LOW VOLTAGE HOUSING</v>
          </cell>
          <cell r="H9376" t="str">
            <v>HDP0448956B1</v>
          </cell>
        </row>
        <row r="9377">
          <cell r="F9377" t="str">
            <v>3321-8537</v>
          </cell>
          <cell r="G9377" t="str">
            <v>LOW VOLTAGE HOUSING</v>
          </cell>
          <cell r="H9377" t="str">
            <v>HDP04050W6B0</v>
          </cell>
        </row>
        <row r="9378">
          <cell r="F9378" t="str">
            <v>3515-5284</v>
          </cell>
          <cell r="G9378" t="str">
            <v>HIGH VOLTAGE HOUSING</v>
          </cell>
          <cell r="H9378" t="str">
            <v>HDP0363006B0</v>
          </cell>
        </row>
        <row r="9379">
          <cell r="F9379" t="str">
            <v>3324-2576</v>
          </cell>
          <cell r="G9379" t="str">
            <v>LOW VOLTAGE HOUSING</v>
          </cell>
          <cell r="H9379" t="str">
            <v>HDP0312006B1</v>
          </cell>
        </row>
        <row r="9380">
          <cell r="F9380" t="str">
            <v>3331-8609</v>
          </cell>
          <cell r="G9380" t="str">
            <v>LOW VOLTAGE HOUSING</v>
          </cell>
          <cell r="H9380" t="str">
            <v>HDP02APE26B2</v>
          </cell>
        </row>
        <row r="9381">
          <cell r="F9381" t="str">
            <v>3340-1223</v>
          </cell>
          <cell r="G9381" t="str">
            <v>HOUSING</v>
          </cell>
          <cell r="H9381" t="str">
            <v>HDP02APE06B5</v>
          </cell>
        </row>
        <row r="9382">
          <cell r="F9382" t="str">
            <v>3340-1221</v>
          </cell>
          <cell r="G9382" t="str">
            <v>LOW VOLTAGE HOUSING</v>
          </cell>
          <cell r="H9382" t="str">
            <v>HDP02APE06B1</v>
          </cell>
        </row>
        <row r="9383">
          <cell r="F9383" t="str">
            <v>3340-1217</v>
          </cell>
          <cell r="G9383" t="str">
            <v>LOW VOLTAGE HOUSING</v>
          </cell>
          <cell r="H9383" t="str">
            <v>HDP02APE06B0</v>
          </cell>
        </row>
        <row r="9384">
          <cell r="F9384" t="str">
            <v>3505-0101</v>
          </cell>
          <cell r="G9384" t="str">
            <v>LOW VOLTAGE HOUSING</v>
          </cell>
          <cell r="H9384" t="str">
            <v>HDP0212006B0</v>
          </cell>
        </row>
        <row r="9385">
          <cell r="F9385" t="str">
            <v>YUCU1-052</v>
          </cell>
          <cell r="G9385" t="str">
            <v>CONDENSOR</v>
          </cell>
          <cell r="H9385" t="str">
            <v>HDE01COND0B0</v>
          </cell>
        </row>
        <row r="9386">
          <cell r="F9386" t="str">
            <v>1-928-405-522</v>
          </cell>
          <cell r="G9386" t="str">
            <v>LOW VOLTAGE HOUSING</v>
          </cell>
          <cell r="H9386" t="str">
            <v>HBS022WAY5L0</v>
          </cell>
        </row>
        <row r="9387">
          <cell r="F9387" t="str">
            <v>2384094-2</v>
          </cell>
          <cell r="G9387" t="str">
            <v>LOW VOLTAGE HOUSING</v>
          </cell>
          <cell r="H9387" t="str">
            <v>HAPA8HYB01B0</v>
          </cell>
        </row>
        <row r="9388">
          <cell r="F9388" t="str">
            <v>1-1897301-2</v>
          </cell>
          <cell r="G9388" t="str">
            <v>LOW VOLTAGE HOUSING</v>
          </cell>
          <cell r="H9388" t="str">
            <v>HAP94PCU08B2</v>
          </cell>
        </row>
        <row r="9389">
          <cell r="F9389" t="str">
            <v>1897301-2</v>
          </cell>
          <cell r="G9389" t="str">
            <v>LOW VOLTAGE HOUSING</v>
          </cell>
          <cell r="H9389" t="str">
            <v>HAP94PCU08B1</v>
          </cell>
        </row>
        <row r="9390">
          <cell r="F9390" t="str">
            <v>2389766-1</v>
          </cell>
          <cell r="G9390" t="str">
            <v>LOW VOLTAGE HOUSING</v>
          </cell>
          <cell r="H9390" t="str">
            <v>HAP66HYB02W0</v>
          </cell>
        </row>
        <row r="9391">
          <cell r="F9391" t="str">
            <v>2369797-2</v>
          </cell>
          <cell r="G9391" t="str">
            <v>LOW VOLTAGE HOUSING</v>
          </cell>
          <cell r="H9391" t="str">
            <v>HAP59HYB02B0</v>
          </cell>
        </row>
        <row r="9392">
          <cell r="F9392" t="str">
            <v>2350338-1</v>
          </cell>
          <cell r="G9392" t="str">
            <v>LOW VOLTAGE HOUSING</v>
          </cell>
          <cell r="H9392" t="str">
            <v>HAP51HYB22W0</v>
          </cell>
        </row>
        <row r="9393">
          <cell r="F9393" t="str">
            <v>2109340-2</v>
          </cell>
          <cell r="G9393" t="str">
            <v>LOW VOLTAGE HOUSING</v>
          </cell>
          <cell r="H9393" t="str">
            <v>HAP50HYB32B0</v>
          </cell>
        </row>
        <row r="9394">
          <cell r="F9394" t="str">
            <v>2317063-2</v>
          </cell>
          <cell r="G9394" t="str">
            <v>HOUSING</v>
          </cell>
          <cell r="H9394" t="str">
            <v>HAP46HYBW6B0</v>
          </cell>
        </row>
        <row r="9395">
          <cell r="F9395" t="str">
            <v>1473252-4</v>
          </cell>
          <cell r="G9395" t="str">
            <v>LOW VOLTAGE HOUSING</v>
          </cell>
          <cell r="H9395" t="str">
            <v>HAP40HYB06B0</v>
          </cell>
        </row>
        <row r="9396">
          <cell r="F9396" t="str">
            <v>2-2219210-1</v>
          </cell>
          <cell r="G9396" t="str">
            <v>LOW VOLTAGE HOUSING</v>
          </cell>
          <cell r="H9396" t="str">
            <v>HAP38HYB06B0</v>
          </cell>
        </row>
        <row r="9397">
          <cell r="F9397" t="str">
            <v>2332995-2</v>
          </cell>
          <cell r="G9397" t="str">
            <v>LOW VOLTAGE HOUSING</v>
          </cell>
          <cell r="H9397" t="str">
            <v>HAP27TCU06B0</v>
          </cell>
        </row>
        <row r="9398">
          <cell r="F9398" t="str">
            <v>2109520-1</v>
          </cell>
          <cell r="G9398" t="str">
            <v>LOW VOLTAGE HOUSING</v>
          </cell>
          <cell r="H9398" t="str">
            <v>HAP25HYB02W0</v>
          </cell>
        </row>
        <row r="9399">
          <cell r="F9399" t="str">
            <v>2109272-1</v>
          </cell>
          <cell r="G9399" t="str">
            <v>LOW VOLTAGE HOUSING</v>
          </cell>
          <cell r="H9399" t="str">
            <v>HAP22HYB32W0</v>
          </cell>
        </row>
        <row r="9400">
          <cell r="F9400" t="str">
            <v>2370474-1</v>
          </cell>
          <cell r="G9400" t="str">
            <v>LOW VOLTAGE HOUSING</v>
          </cell>
          <cell r="H9400" t="str">
            <v>HAP22HYB02W0</v>
          </cell>
        </row>
        <row r="9401">
          <cell r="F9401" t="str">
            <v>1897688-2</v>
          </cell>
          <cell r="G9401" t="str">
            <v>LOW VOLTAGE HOUSING</v>
          </cell>
          <cell r="H9401" t="str">
            <v>HAP18MCP16B0</v>
          </cell>
        </row>
        <row r="9402">
          <cell r="F9402" t="str">
            <v>1743354-2</v>
          </cell>
          <cell r="G9402" t="str">
            <v>LOW VOLTAGE HOUSING</v>
          </cell>
          <cell r="H9402" t="str">
            <v>HAP16JPMI7B0</v>
          </cell>
        </row>
        <row r="9403">
          <cell r="F9403" t="str">
            <v>936471-1</v>
          </cell>
          <cell r="G9403" t="str">
            <v>LOW VOLTAGE HOUSING</v>
          </cell>
          <cell r="H9403" t="str">
            <v>HAP1604032W0</v>
          </cell>
        </row>
        <row r="9404">
          <cell r="F9404" t="str">
            <v>2373977-1</v>
          </cell>
          <cell r="G9404" t="str">
            <v>LOW VOLTAGE HOUSING</v>
          </cell>
          <cell r="H9404" t="str">
            <v>HAP14064J6W0</v>
          </cell>
        </row>
        <row r="9405">
          <cell r="F9405" t="str">
            <v>2373977-3</v>
          </cell>
          <cell r="G9405" t="str">
            <v>LOW VOLTAGE HOUSING</v>
          </cell>
          <cell r="H9405" t="str">
            <v>HAP14064J6GR</v>
          </cell>
        </row>
        <row r="9406">
          <cell r="F9406" t="str">
            <v>2373977-6</v>
          </cell>
          <cell r="G9406" t="str">
            <v>LOW VOLTAGE HOUSING</v>
          </cell>
          <cell r="H9406" t="str">
            <v>HAP14064J6G0</v>
          </cell>
        </row>
        <row r="9407">
          <cell r="F9407" t="str">
            <v>2373977-4</v>
          </cell>
          <cell r="G9407" t="str">
            <v>LOW VOLTAGE HOUSING</v>
          </cell>
          <cell r="H9407" t="str">
            <v>HAP14064J6BR</v>
          </cell>
        </row>
        <row r="9408">
          <cell r="F9408" t="str">
            <v>2373977-2</v>
          </cell>
          <cell r="G9408" t="str">
            <v>LOW VOLTAGE HOUSING</v>
          </cell>
          <cell r="H9408" t="str">
            <v>HAP14064J6B0</v>
          </cell>
        </row>
        <row r="9409">
          <cell r="F9409" t="str">
            <v>368540-1</v>
          </cell>
          <cell r="G9409" t="str">
            <v>LOW VOLTAGE HOUSING</v>
          </cell>
          <cell r="H9409" t="str">
            <v>HAP0807002W0</v>
          </cell>
        </row>
        <row r="9410">
          <cell r="F9410" t="str">
            <v>936289-5</v>
          </cell>
          <cell r="G9410" t="str">
            <v>LOW VOLTAGE HOUSING</v>
          </cell>
          <cell r="H9410" t="str">
            <v>HAP06MQS04W0</v>
          </cell>
        </row>
        <row r="9411">
          <cell r="F9411" t="str">
            <v>2366217-2</v>
          </cell>
          <cell r="G9411" t="str">
            <v>HOUSING</v>
          </cell>
          <cell r="H9411" t="str">
            <v>HAP0602516B0</v>
          </cell>
        </row>
        <row r="9412">
          <cell r="F9412" t="str">
            <v>2316653-2</v>
          </cell>
          <cell r="G9412" t="str">
            <v>LOW VOLTAGE HOUSING</v>
          </cell>
          <cell r="H9412" t="str">
            <v>HAP05MC286B0</v>
          </cell>
        </row>
        <row r="9413">
          <cell r="F9413" t="str">
            <v>1897711-2</v>
          </cell>
          <cell r="G9413" t="str">
            <v>LOW VOLTAGE HOUSING</v>
          </cell>
          <cell r="H9413" t="str">
            <v>HAP04MQS04B1</v>
          </cell>
        </row>
        <row r="9414">
          <cell r="F9414" t="str">
            <v>2299956-1</v>
          </cell>
          <cell r="G9414" t="str">
            <v>LOW VOLTAGE HOUSING</v>
          </cell>
          <cell r="H9414" t="str">
            <v>HAP04MC632W0</v>
          </cell>
        </row>
        <row r="9415">
          <cell r="F9415" t="str">
            <v>2337737-1</v>
          </cell>
          <cell r="G9415" t="str">
            <v>LOW VOLTAGE HOUSING</v>
          </cell>
          <cell r="H9415" t="str">
            <v>HAP04025M2B0</v>
          </cell>
        </row>
        <row r="9416">
          <cell r="F9416" t="str">
            <v>1743271-3</v>
          </cell>
          <cell r="G9416" t="str">
            <v>LOW VOLTAGE HOUSING</v>
          </cell>
          <cell r="H9416" t="str">
            <v>HAP03SPT08GR</v>
          </cell>
        </row>
        <row r="9417">
          <cell r="F9417" t="str">
            <v>1-1718346-3</v>
          </cell>
          <cell r="G9417" t="str">
            <v>LOW VOLTAGE HOUSING</v>
          </cell>
          <cell r="H9417" t="str">
            <v>HAP03MQSA2IV</v>
          </cell>
        </row>
        <row r="9418">
          <cell r="F9418" t="str">
            <v>1743164-1</v>
          </cell>
          <cell r="G9418" t="str">
            <v>LOW VOLTAGE HOUSING</v>
          </cell>
          <cell r="H9418" t="str">
            <v>HAP03MQS32W0</v>
          </cell>
        </row>
        <row r="9419">
          <cell r="F9419" t="str">
            <v>368161-1</v>
          </cell>
          <cell r="G9419" t="str">
            <v>LOW VOLTAGE HOUSING</v>
          </cell>
          <cell r="H9419" t="str">
            <v>HAP03DWP06W0</v>
          </cell>
        </row>
        <row r="9420">
          <cell r="F9420" t="str">
            <v>1743427-1</v>
          </cell>
          <cell r="G9420" t="str">
            <v>HOUSING</v>
          </cell>
          <cell r="H9420" t="str">
            <v>HAP0320876B1</v>
          </cell>
        </row>
        <row r="9421">
          <cell r="F9421" t="str">
            <v>282087-1</v>
          </cell>
          <cell r="G9421" t="str">
            <v>HOUSING</v>
          </cell>
          <cell r="H9421" t="str">
            <v>HAP032087600</v>
          </cell>
        </row>
        <row r="9422">
          <cell r="F9422" t="str">
            <v>172864-2</v>
          </cell>
          <cell r="G9422" t="str">
            <v>LOW VOLTAGE HOUSING</v>
          </cell>
          <cell r="H9422" t="str">
            <v>HAP02PLMD2B0</v>
          </cell>
        </row>
        <row r="9423">
          <cell r="F9423" t="str">
            <v>174352-2</v>
          </cell>
          <cell r="G9423" t="str">
            <v>LOW VOLTAGE HOUSING</v>
          </cell>
          <cell r="H9423" t="str">
            <v>HAP02MSWD6B1</v>
          </cell>
        </row>
        <row r="9424">
          <cell r="F9424" t="str">
            <v>1-967644-1</v>
          </cell>
          <cell r="G9424" t="str">
            <v>LOW VOLTAGE HOUSING</v>
          </cell>
          <cell r="H9424" t="str">
            <v>HAP02MQS06B1</v>
          </cell>
        </row>
        <row r="9425">
          <cell r="F9425" t="str">
            <v>1-1564542-1</v>
          </cell>
          <cell r="G9425" t="str">
            <v>LOW VOLTAGE HOUSING</v>
          </cell>
          <cell r="H9425" t="str">
            <v>HAP02MCPW6B0</v>
          </cell>
        </row>
        <row r="9426">
          <cell r="F9426" t="str">
            <v>2371783-1</v>
          </cell>
          <cell r="G9426" t="str">
            <v>LOW VOLTAGE HOUSING</v>
          </cell>
          <cell r="H9426" t="str">
            <v>HAP02MCON6B0</v>
          </cell>
        </row>
        <row r="9427">
          <cell r="F9427" t="str">
            <v>1897214-1</v>
          </cell>
          <cell r="G9427" t="str">
            <v>LOW VOLTAGE HOUSING</v>
          </cell>
          <cell r="H9427" t="str">
            <v>HAP02MC636B0</v>
          </cell>
        </row>
        <row r="9428">
          <cell r="F9428" t="str">
            <v>368354-5</v>
          </cell>
          <cell r="G9428" t="str">
            <v>LOW VOLTAGE HOUSING</v>
          </cell>
          <cell r="H9428" t="str">
            <v>HAP02JPT08GR</v>
          </cell>
        </row>
        <row r="9429">
          <cell r="F9429" t="str">
            <v>85284-1</v>
          </cell>
          <cell r="G9429" t="str">
            <v>LOW VOLTAGE HOUSING</v>
          </cell>
          <cell r="H9429" t="str">
            <v>HAP0207001W2</v>
          </cell>
        </row>
        <row r="9430">
          <cell r="F9430" t="str">
            <v>172320-4</v>
          </cell>
          <cell r="G9430" t="str">
            <v>LOW VOLTAGE HOUSING</v>
          </cell>
          <cell r="H9430" t="str">
            <v>HAP01PLM32G0</v>
          </cell>
        </row>
        <row r="9431">
          <cell r="F9431" t="str">
            <v>172320-2</v>
          </cell>
          <cell r="G9431" t="str">
            <v>LOW VOLTAGE HOUSING</v>
          </cell>
          <cell r="H9431" t="str">
            <v>HAP01PLM32B0</v>
          </cell>
        </row>
        <row r="9432">
          <cell r="F9432" t="str">
            <v>171809-2</v>
          </cell>
          <cell r="G9432" t="str">
            <v>LOW VOLTAGE HOUSING</v>
          </cell>
          <cell r="H9432" t="str">
            <v>HAP01PLM22B0</v>
          </cell>
        </row>
        <row r="9433">
          <cell r="F9433" t="str">
            <v>듀플렉스 하네스 와이어</v>
          </cell>
          <cell r="G9433" t="str">
            <v>하네스 와이어</v>
          </cell>
          <cell r="H9433" t="str">
            <v>H1010000161-SL</v>
          </cell>
        </row>
        <row r="9434">
          <cell r="F9434" t="str">
            <v>듀플렉스 하네스 와이어</v>
          </cell>
          <cell r="G9434" t="str">
            <v>하네스 와이어</v>
          </cell>
          <cell r="H9434" t="str">
            <v>H1010000161-NEW</v>
          </cell>
        </row>
        <row r="9435">
          <cell r="F9435" t="str">
            <v>GROMMET-TAS-01</v>
          </cell>
          <cell r="G9435" t="str">
            <v>W/SNSR GROMMET</v>
          </cell>
          <cell r="H9435" t="str">
            <v>G06-0402</v>
          </cell>
        </row>
        <row r="9436">
          <cell r="F9436" t="str">
            <v>91981-GX600-1</v>
          </cell>
          <cell r="G9436" t="str">
            <v>GROMMET</v>
          </cell>
          <cell r="H9436" t="str">
            <v>G04-05T4</v>
          </cell>
        </row>
        <row r="9437">
          <cell r="F9437" t="str">
            <v>91981-BE070-1</v>
          </cell>
          <cell r="G9437" t="str">
            <v>GROMMET</v>
          </cell>
          <cell r="H9437" t="str">
            <v>G04-05T1</v>
          </cell>
        </row>
        <row r="9438">
          <cell r="F9438" t="str">
            <v>91981-BE060-1</v>
          </cell>
          <cell r="G9438" t="str">
            <v>GROMMET</v>
          </cell>
          <cell r="H9438" t="str">
            <v>G04-05S9</v>
          </cell>
        </row>
        <row r="9439">
          <cell r="F9439" t="str">
            <v>91981-BE050-1</v>
          </cell>
          <cell r="G9439" t="str">
            <v>GROMMET</v>
          </cell>
          <cell r="H9439" t="str">
            <v>G04-05S1</v>
          </cell>
        </row>
        <row r="9440">
          <cell r="F9440" t="str">
            <v>91981-DB010</v>
          </cell>
          <cell r="G9440" t="str">
            <v>GROMMET</v>
          </cell>
          <cell r="H9440" t="str">
            <v>G04-05R6</v>
          </cell>
        </row>
        <row r="9441">
          <cell r="F9441" t="str">
            <v>91981-BE030-1</v>
          </cell>
          <cell r="G9441" t="str">
            <v>GROMMET</v>
          </cell>
          <cell r="H9441" t="str">
            <v>G04-05R5</v>
          </cell>
        </row>
        <row r="9442">
          <cell r="F9442" t="str">
            <v>91981-BE020-1</v>
          </cell>
          <cell r="G9442" t="str">
            <v>GROMMET</v>
          </cell>
          <cell r="H9442" t="str">
            <v>G04-05R4</v>
          </cell>
        </row>
        <row r="9443">
          <cell r="F9443" t="str">
            <v>91981-O6100-1</v>
          </cell>
          <cell r="G9443" t="str">
            <v>GROMMET</v>
          </cell>
          <cell r="H9443" t="str">
            <v>G04-05P6</v>
          </cell>
        </row>
        <row r="9444">
          <cell r="F9444" t="str">
            <v>91981-P1020-1</v>
          </cell>
          <cell r="G9444" t="str">
            <v>GROMMET</v>
          </cell>
          <cell r="H9444" t="str">
            <v>G04-05P5</v>
          </cell>
        </row>
        <row r="9445">
          <cell r="F9445" t="str">
            <v>91981-AT050-1</v>
          </cell>
          <cell r="G9445" t="str">
            <v>DOOR GROMMET</v>
          </cell>
          <cell r="H9445" t="str">
            <v>G04-05P3</v>
          </cell>
        </row>
        <row r="9446">
          <cell r="F9446" t="str">
            <v>91981-AT040-1</v>
          </cell>
          <cell r="G9446" t="str">
            <v>T/GATE GROMMET</v>
          </cell>
          <cell r="H9446" t="str">
            <v>G04-05P2</v>
          </cell>
        </row>
        <row r="9447">
          <cell r="F9447" t="str">
            <v>91981-AT030-1</v>
          </cell>
          <cell r="G9447" t="str">
            <v>DOOR GROMMET</v>
          </cell>
          <cell r="H9447" t="str">
            <v>G04-05P1</v>
          </cell>
        </row>
        <row r="9448">
          <cell r="F9448" t="str">
            <v>91981-AT020-1</v>
          </cell>
          <cell r="G9448" t="str">
            <v>DOOR GROMMET</v>
          </cell>
          <cell r="H9448" t="str">
            <v>G04-05N9</v>
          </cell>
        </row>
        <row r="9449">
          <cell r="F9449" t="str">
            <v>91981-P2010-1</v>
          </cell>
          <cell r="G9449" t="str">
            <v>GROMMET</v>
          </cell>
          <cell r="H9449" t="str">
            <v>G04-05L3</v>
          </cell>
        </row>
        <row r="9450">
          <cell r="F9450" t="str">
            <v>91981-P2020-1</v>
          </cell>
          <cell r="G9450" t="str">
            <v>GROMMET</v>
          </cell>
          <cell r="H9450" t="str">
            <v>G04-05L2</v>
          </cell>
        </row>
        <row r="9451">
          <cell r="F9451" t="str">
            <v>91981-G3030-1</v>
          </cell>
          <cell r="G9451" t="str">
            <v>GROMMET</v>
          </cell>
          <cell r="H9451" t="str">
            <v>G04-05H1</v>
          </cell>
        </row>
        <row r="9452">
          <cell r="F9452" t="str">
            <v>91981-G5010-1</v>
          </cell>
          <cell r="G9452" t="str">
            <v>GROMMET</v>
          </cell>
          <cell r="H9452" t="str">
            <v>G04-05F1</v>
          </cell>
        </row>
        <row r="9453">
          <cell r="F9453" t="str">
            <v>DMG13-00103</v>
          </cell>
          <cell r="G9453" t="str">
            <v>GROMMET</v>
          </cell>
          <cell r="H9453" t="str">
            <v>G04-05D1</v>
          </cell>
        </row>
        <row r="9454">
          <cell r="F9454" t="str">
            <v>GTJ04-05021</v>
          </cell>
          <cell r="G9454" t="str">
            <v>GROMMET</v>
          </cell>
          <cell r="H9454" t="str">
            <v>G04-05BC</v>
          </cell>
        </row>
        <row r="9455">
          <cell r="F9455" t="str">
            <v>91981-2B010</v>
          </cell>
          <cell r="G9455" t="str">
            <v>GROMMET</v>
          </cell>
          <cell r="H9455" t="str">
            <v>G04-0567</v>
          </cell>
        </row>
        <row r="9456">
          <cell r="F9456" t="str">
            <v>91981-26030</v>
          </cell>
          <cell r="G9456" t="str">
            <v>W/SNSR GROMMET</v>
          </cell>
          <cell r="H9456" t="str">
            <v>G03-0507</v>
          </cell>
        </row>
        <row r="9457">
          <cell r="F9457" t="str">
            <v>91981-A7200</v>
          </cell>
          <cell r="G9457" t="str">
            <v>DOOR GROMMET</v>
          </cell>
          <cell r="H9457" t="str">
            <v>G01-05R9</v>
          </cell>
        </row>
        <row r="9458">
          <cell r="F9458" t="str">
            <v>91981-3X040</v>
          </cell>
          <cell r="G9458" t="str">
            <v>W/SNSR GROMMET</v>
          </cell>
          <cell r="H9458" t="str">
            <v>G01-05J9</v>
          </cell>
        </row>
        <row r="9459">
          <cell r="F9459" t="str">
            <v>91982-3S000</v>
          </cell>
          <cell r="G9459" t="str">
            <v>DOOR GROMMET</v>
          </cell>
          <cell r="H9459" t="str">
            <v>G01-05G3</v>
          </cell>
        </row>
        <row r="9460">
          <cell r="F9460" t="str">
            <v>EPDM(H-140 V-30 T-1)</v>
          </cell>
          <cell r="G9460" t="str">
            <v>EPDM</v>
          </cell>
          <cell r="H9460" t="str">
            <v>G01-05CB</v>
          </cell>
        </row>
        <row r="9461">
          <cell r="F9461" t="str">
            <v>EPDM(100*30mm T=10)</v>
          </cell>
          <cell r="G9461" t="str">
            <v>EPDM</v>
          </cell>
          <cell r="H9461" t="str">
            <v>G01-05BG</v>
          </cell>
        </row>
        <row r="9462">
          <cell r="F9462" t="str">
            <v>EPDM 100x120x15T</v>
          </cell>
          <cell r="G9462" t="str">
            <v>EPDM</v>
          </cell>
          <cell r="H9462" t="str">
            <v>G01-05291</v>
          </cell>
        </row>
        <row r="9463">
          <cell r="F9463" t="str">
            <v>EPDM 100x150x5T</v>
          </cell>
          <cell r="G9463" t="str">
            <v>EPDM</v>
          </cell>
          <cell r="H9463" t="str">
            <v>G01-05290</v>
          </cell>
        </row>
        <row r="9464">
          <cell r="F9464" t="str">
            <v>91981-P6210-1</v>
          </cell>
          <cell r="G9464" t="str">
            <v>DASH GROMMET</v>
          </cell>
          <cell r="H9464" t="str">
            <v>G01-05255</v>
          </cell>
        </row>
        <row r="9465">
          <cell r="F9465" t="str">
            <v>91981-E2300-1</v>
          </cell>
          <cell r="G9465" t="str">
            <v>GROMMET-WIPER MTR</v>
          </cell>
          <cell r="H9465" t="str">
            <v>G01-05250</v>
          </cell>
        </row>
        <row r="9466">
          <cell r="F9466" t="str">
            <v>91981-N9090</v>
          </cell>
          <cell r="G9466" t="str">
            <v>GROMMET</v>
          </cell>
          <cell r="H9466" t="str">
            <v>G01-05240</v>
          </cell>
        </row>
        <row r="9467">
          <cell r="F9467" t="str">
            <v>91981-N9051</v>
          </cell>
          <cell r="G9467" t="str">
            <v>GROMMET ETC</v>
          </cell>
          <cell r="H9467" t="str">
            <v>G01-05155</v>
          </cell>
        </row>
        <row r="9468">
          <cell r="F9468" t="str">
            <v>SPONGE EPDM(60X180M)</v>
          </cell>
          <cell r="G9468" t="str">
            <v>GROMMET ETC</v>
          </cell>
          <cell r="H9468" t="str">
            <v>G01-05123</v>
          </cell>
        </row>
        <row r="9469">
          <cell r="F9469" t="str">
            <v>91981-G9030-1</v>
          </cell>
          <cell r="G9469" t="str">
            <v>GROMMET ETC</v>
          </cell>
          <cell r="H9469" t="str">
            <v>G01-05104</v>
          </cell>
        </row>
        <row r="9470">
          <cell r="F9470" t="str">
            <v>CM3615BG</v>
          </cell>
          <cell r="G9470" t="str">
            <v>FERRITE CORE</v>
          </cell>
          <cell r="H9470" t="str">
            <v>FRC0103</v>
          </cell>
        </row>
        <row r="9471">
          <cell r="F9471" t="str">
            <v>CS4027W</v>
          </cell>
          <cell r="G9471" t="str">
            <v>FERRITE CORE</v>
          </cell>
          <cell r="H9471" t="str">
            <v>FRC0102</v>
          </cell>
        </row>
        <row r="9472">
          <cell r="F9472" t="str">
            <v>TR22-14-6.5 G8A</v>
          </cell>
          <cell r="G9472" t="str">
            <v>FERRITE CORE</v>
          </cell>
          <cell r="H9472" t="str">
            <v>FRC0101</v>
          </cell>
        </row>
        <row r="9473">
          <cell r="F9473" t="str">
            <v>28B1225-100</v>
          </cell>
          <cell r="G9473" t="str">
            <v>FERRITE CORE</v>
          </cell>
          <cell r="H9473" t="str">
            <v>FRC0100</v>
          </cell>
        </row>
        <row r="9474">
          <cell r="F9474" t="str">
            <v>RING34(M) K100</v>
          </cell>
          <cell r="G9474" t="str">
            <v>FERRITE CORE</v>
          </cell>
          <cell r="H9474" t="str">
            <v>FRC0099</v>
          </cell>
        </row>
        <row r="9475">
          <cell r="F9475" t="str">
            <v>OR68-44-15 COATING</v>
          </cell>
          <cell r="G9475" t="str">
            <v>FERRITE CORE</v>
          </cell>
          <cell r="H9475" t="str">
            <v>FRC0098</v>
          </cell>
        </row>
        <row r="9476">
          <cell r="F9476" t="str">
            <v>SR34Y1</v>
          </cell>
          <cell r="G9476" t="str">
            <v>FERRITE CORE</v>
          </cell>
          <cell r="H9476" t="str">
            <v>FRC0097</v>
          </cell>
        </row>
        <row r="9477">
          <cell r="F9477" t="str">
            <v>TR25-15-12 G5B(BLU)</v>
          </cell>
          <cell r="G9477" t="str">
            <v>FERRITE CORE</v>
          </cell>
          <cell r="H9477" t="str">
            <v>FRC0096</v>
          </cell>
        </row>
        <row r="9478">
          <cell r="F9478" t="str">
            <v>TR19-13-11 G5B</v>
          </cell>
          <cell r="G9478" t="str">
            <v>FERRITE CORE</v>
          </cell>
          <cell r="H9478" t="str">
            <v>FRC0095</v>
          </cell>
        </row>
        <row r="9479">
          <cell r="F9479" t="str">
            <v>RING 25-15-12</v>
          </cell>
          <cell r="G9479" t="str">
            <v>FERRITE CORE</v>
          </cell>
          <cell r="H9479" t="str">
            <v>FRC0094</v>
          </cell>
        </row>
        <row r="9480">
          <cell r="F9480" t="str">
            <v>RING28-13 GRAY</v>
          </cell>
          <cell r="G9480" t="str">
            <v>FERRITE CORE</v>
          </cell>
          <cell r="H9480" t="str">
            <v>FRC0093</v>
          </cell>
        </row>
        <row r="9481">
          <cell r="F9481" t="str">
            <v>RING 23.5 GRAY</v>
          </cell>
          <cell r="G9481" t="str">
            <v>FERRITE CORE</v>
          </cell>
          <cell r="H9481" t="str">
            <v>FRC0092</v>
          </cell>
        </row>
        <row r="9482">
          <cell r="F9482" t="str">
            <v>RING 34 C/T RED</v>
          </cell>
          <cell r="G9482" t="str">
            <v>FERRITE CORE</v>
          </cell>
          <cell r="H9482" t="str">
            <v>FRC0091</v>
          </cell>
        </row>
        <row r="9483">
          <cell r="F9483" t="str">
            <v>TR19-12.5-9.6 (G5A)</v>
          </cell>
          <cell r="G9483" t="str">
            <v>FERRITE CORE</v>
          </cell>
          <cell r="H9483" t="str">
            <v>FRC0090</v>
          </cell>
        </row>
        <row r="9484">
          <cell r="F9484" t="str">
            <v>TR48-30-15 G8A S/BLU</v>
          </cell>
          <cell r="G9484" t="str">
            <v>FERRITE CORE</v>
          </cell>
          <cell r="H9484" t="str">
            <v>FRC0089</v>
          </cell>
        </row>
        <row r="9485">
          <cell r="F9485" t="str">
            <v>TR48-30-15 G11A</v>
          </cell>
          <cell r="G9485" t="str">
            <v>FERRITE CORE</v>
          </cell>
          <cell r="H9485" t="str">
            <v>FRC0088</v>
          </cell>
        </row>
        <row r="9486">
          <cell r="F9486" t="str">
            <v>KT106-52-GG(C27-B11)</v>
          </cell>
          <cell r="G9486" t="str">
            <v>POWDER CORE</v>
          </cell>
          <cell r="H9486" t="str">
            <v>FRC0087</v>
          </cell>
        </row>
        <row r="9487">
          <cell r="F9487" t="str">
            <v>RING 34 C/T GRAY(6200A90001S)</v>
          </cell>
          <cell r="G9487" t="str">
            <v>FERRITE CORE</v>
          </cell>
          <cell r="H9487" t="str">
            <v>FRC0086</v>
          </cell>
        </row>
        <row r="9488">
          <cell r="F9488" t="str">
            <v>OP14(C)</v>
          </cell>
          <cell r="G9488" t="str">
            <v>FERRITE CORE</v>
          </cell>
          <cell r="H9488" t="str">
            <v>FRC0085</v>
          </cell>
        </row>
        <row r="9489">
          <cell r="F9489" t="str">
            <v>TR29-18-15 G5A (RED)</v>
          </cell>
          <cell r="G9489" t="str">
            <v>FERRITE CORE</v>
          </cell>
          <cell r="H9489" t="str">
            <v>FRC0083</v>
          </cell>
        </row>
        <row r="9490">
          <cell r="F9490" t="str">
            <v>RING18C-T-GRY</v>
          </cell>
          <cell r="G9490" t="str">
            <v>FERRITE CORE</v>
          </cell>
          <cell r="H9490" t="str">
            <v>FRC0082</v>
          </cell>
        </row>
        <row r="9491">
          <cell r="F9491" t="str">
            <v>TR22-14-13 G10A</v>
          </cell>
          <cell r="G9491" t="str">
            <v>FERRITE CORE</v>
          </cell>
          <cell r="H9491" t="str">
            <v>FRC0081</v>
          </cell>
        </row>
        <row r="9492">
          <cell r="F9492" t="str">
            <v>OR25X12-15HS(SM-100)</v>
          </cell>
          <cell r="G9492" t="str">
            <v>FERRITE CORE</v>
          </cell>
          <cell r="H9492" t="str">
            <v>FRC0080</v>
          </cell>
        </row>
        <row r="9493">
          <cell r="F9493" t="str">
            <v>OR34X12-20H</v>
          </cell>
          <cell r="G9493" t="str">
            <v>FERRITE CORE</v>
          </cell>
          <cell r="H9493" t="str">
            <v>FRC0078</v>
          </cell>
        </row>
        <row r="9494">
          <cell r="F9494" t="str">
            <v>RING 28-10</v>
          </cell>
          <cell r="G9494" t="str">
            <v>FERRITE CORE</v>
          </cell>
          <cell r="H9494" t="str">
            <v>FRC0077</v>
          </cell>
        </row>
        <row r="9495">
          <cell r="F9495" t="str">
            <v>SMR-100(OR36X15-23H)</v>
          </cell>
          <cell r="G9495" t="str">
            <v>FERRITE CORE</v>
          </cell>
          <cell r="H9495" t="str">
            <v>FRC0076</v>
          </cell>
        </row>
        <row r="9496">
          <cell r="F9496" t="str">
            <v>OP1825B M</v>
          </cell>
          <cell r="G9496" t="str">
            <v>FERRITE CORE</v>
          </cell>
          <cell r="H9496" t="str">
            <v>FRC0075</v>
          </cell>
        </row>
        <row r="9497">
          <cell r="F9497" t="str">
            <v>OP1828M</v>
          </cell>
          <cell r="G9497" t="str">
            <v>FERRITE CORE</v>
          </cell>
          <cell r="H9497" t="str">
            <v>FRC0074</v>
          </cell>
        </row>
        <row r="9498">
          <cell r="F9498" t="str">
            <v>TR42X26X14 G8A CT GRAY</v>
          </cell>
          <cell r="G9498" t="str">
            <v>FERRITE CORE</v>
          </cell>
          <cell r="H9498" t="str">
            <v>FRC0073</v>
          </cell>
        </row>
        <row r="9499">
          <cell r="F9499" t="str">
            <v>OP9.5-20</v>
          </cell>
          <cell r="G9499" t="str">
            <v>FERRITE CORE</v>
          </cell>
          <cell r="H9499" t="str">
            <v>FRC0072</v>
          </cell>
        </row>
        <row r="9500">
          <cell r="F9500" t="str">
            <v>OP6.35-15.6</v>
          </cell>
          <cell r="G9500" t="str">
            <v>FERRITE CORE</v>
          </cell>
          <cell r="H9500" t="str">
            <v>FRC0071</v>
          </cell>
        </row>
        <row r="9501">
          <cell r="F9501" t="str">
            <v>OP12-20(12X5.2X20)</v>
          </cell>
          <cell r="G9501" t="str">
            <v>FERRITE CORE</v>
          </cell>
          <cell r="H9501" t="str">
            <v>FRC0070</v>
          </cell>
        </row>
        <row r="9502">
          <cell r="F9502" t="str">
            <v>RH1423(14.3X8.2X23.5)</v>
          </cell>
          <cell r="G9502" t="str">
            <v>FERRITE CORE</v>
          </cell>
          <cell r="H9502" t="str">
            <v>FRC0068</v>
          </cell>
        </row>
        <row r="9503">
          <cell r="F9503" t="str">
            <v>SMR-45(OR31X15-20H)</v>
          </cell>
          <cell r="G9503" t="str">
            <v>FERRITE CORE</v>
          </cell>
          <cell r="H9503" t="str">
            <v>FRC0067</v>
          </cell>
        </row>
        <row r="9504">
          <cell r="F9504" t="str">
            <v>OR29X15X19H</v>
          </cell>
          <cell r="G9504" t="str">
            <v>FERRITE CORE</v>
          </cell>
          <cell r="H9504" t="str">
            <v>FRC0066</v>
          </cell>
        </row>
        <row r="9505">
          <cell r="F9505" t="str">
            <v>TR14-9-5 G8A</v>
          </cell>
          <cell r="G9505" t="str">
            <v>FERRITE CORE</v>
          </cell>
          <cell r="H9505" t="str">
            <v>FRC0064</v>
          </cell>
        </row>
        <row r="9506">
          <cell r="F9506" t="str">
            <v>TR36-23-15 G11A (GRN)</v>
          </cell>
          <cell r="G9506" t="str">
            <v>FERRITE CORE</v>
          </cell>
          <cell r="H9506" t="str">
            <v>FRC0063</v>
          </cell>
        </row>
        <row r="9507">
          <cell r="F9507" t="str">
            <v>OP18A</v>
          </cell>
          <cell r="G9507" t="str">
            <v>FERRITE CORE</v>
          </cell>
          <cell r="H9507" t="str">
            <v>FRC0062</v>
          </cell>
        </row>
        <row r="9508">
          <cell r="F9508" t="str">
            <v>OR19X11X13H</v>
          </cell>
          <cell r="G9508" t="str">
            <v>FERRITE CORE</v>
          </cell>
          <cell r="H9508" t="str">
            <v>FRC0061</v>
          </cell>
        </row>
        <row r="9509">
          <cell r="F9509" t="str">
            <v>BNF-0930</v>
          </cell>
          <cell r="G9509" t="str">
            <v>FERRITE CORE</v>
          </cell>
          <cell r="H9509" t="str">
            <v>FRC0060</v>
          </cell>
        </row>
        <row r="9510">
          <cell r="F9510" t="str">
            <v>TR36-23-10 G10A</v>
          </cell>
          <cell r="G9510" t="str">
            <v>FERRITE CORE</v>
          </cell>
          <cell r="H9510" t="str">
            <v>FRC0059</v>
          </cell>
        </row>
        <row r="9511">
          <cell r="F9511" t="str">
            <v>TR25-15-20</v>
          </cell>
          <cell r="G9511" t="str">
            <v>FERRITE CORE</v>
          </cell>
          <cell r="H9511" t="str">
            <v>FRC0058</v>
          </cell>
        </row>
        <row r="9512">
          <cell r="F9512" t="str">
            <v>OR48-30-15 (S/BLU)</v>
          </cell>
          <cell r="G9512" t="str">
            <v>FERRITE CORE</v>
          </cell>
          <cell r="H9512" t="str">
            <v>FRC0057</v>
          </cell>
        </row>
        <row r="9513">
          <cell r="F9513" t="str">
            <v>OP14A</v>
          </cell>
          <cell r="G9513" t="str">
            <v>FERRITE CORE</v>
          </cell>
          <cell r="H9513" t="str">
            <v>FRC0056</v>
          </cell>
        </row>
        <row r="9514">
          <cell r="F9514" t="str">
            <v>TR36-23-15 G8A (GRY)</v>
          </cell>
          <cell r="G9514" t="str">
            <v>FERRITE CORE</v>
          </cell>
          <cell r="H9514" t="str">
            <v>FRC0055</v>
          </cell>
        </row>
        <row r="9515">
          <cell r="F9515" t="str">
            <v>TR29-18-15 G8A</v>
          </cell>
          <cell r="G9515" t="str">
            <v>FERRITE CORE</v>
          </cell>
          <cell r="H9515" t="str">
            <v>FRC0053</v>
          </cell>
        </row>
        <row r="9516">
          <cell r="F9516" t="str">
            <v>TR36-23-15 G5A (COATING)</v>
          </cell>
          <cell r="G9516" t="str">
            <v>FERRITE CORE</v>
          </cell>
          <cell r="H9516" t="str">
            <v>FRC0052</v>
          </cell>
        </row>
        <row r="9517">
          <cell r="F9517" t="str">
            <v>RING 34</v>
          </cell>
          <cell r="G9517" t="str">
            <v>FERRITE CORE</v>
          </cell>
          <cell r="H9517" t="str">
            <v>FRC0051</v>
          </cell>
        </row>
        <row r="9518">
          <cell r="F9518" t="str">
            <v>TR68-44-15 G5B</v>
          </cell>
          <cell r="G9518" t="str">
            <v>FERRITE CORE</v>
          </cell>
          <cell r="H9518" t="str">
            <v>FRC0047</v>
          </cell>
        </row>
        <row r="9519">
          <cell r="F9519" t="str">
            <v>TR48-30-15 G8A</v>
          </cell>
          <cell r="G9519" t="str">
            <v>FERRITE CORE</v>
          </cell>
          <cell r="H9519" t="str">
            <v>FRC0046</v>
          </cell>
        </row>
        <row r="9520">
          <cell r="F9520" t="str">
            <v>TR36-23-15 G5A(RED)</v>
          </cell>
          <cell r="G9520" t="str">
            <v>FERRITE CORE</v>
          </cell>
          <cell r="H9520" t="str">
            <v>FRC0045</v>
          </cell>
        </row>
        <row r="9521">
          <cell r="F9521" t="str">
            <v>TR36-23-15 G5A</v>
          </cell>
          <cell r="G9521" t="str">
            <v>FERRITE CORE</v>
          </cell>
          <cell r="H9521" t="str">
            <v>FRC0044</v>
          </cell>
        </row>
        <row r="9522">
          <cell r="F9522" t="str">
            <v>TR34-15-12</v>
          </cell>
          <cell r="G9522" t="str">
            <v>FERRITE CORE</v>
          </cell>
          <cell r="H9522" t="str">
            <v>FRC0043</v>
          </cell>
        </row>
        <row r="9523">
          <cell r="F9523" t="str">
            <v>TR29-19-15 G8A(RED)</v>
          </cell>
          <cell r="G9523" t="str">
            <v>FERRITE CORE</v>
          </cell>
          <cell r="H9523" t="str">
            <v>FRC0042</v>
          </cell>
        </row>
        <row r="9524">
          <cell r="F9524" t="str">
            <v>TR29-19-15 G8A</v>
          </cell>
          <cell r="G9524" t="str">
            <v>FERRITE CORE</v>
          </cell>
          <cell r="H9524" t="str">
            <v>FRC0041</v>
          </cell>
        </row>
        <row r="9525">
          <cell r="F9525" t="str">
            <v>TR25-15-12 G5A</v>
          </cell>
          <cell r="G9525" t="str">
            <v>FERRITE CORE</v>
          </cell>
          <cell r="H9525" t="str">
            <v>FRC0040</v>
          </cell>
        </row>
        <row r="9526">
          <cell r="F9526" t="str">
            <v>TR19-13-11 G8A</v>
          </cell>
          <cell r="G9526" t="str">
            <v>FERRITE CORE</v>
          </cell>
          <cell r="H9526" t="str">
            <v>FRC0039</v>
          </cell>
        </row>
        <row r="9527">
          <cell r="F9527" t="str">
            <v>OR68X15X44H</v>
          </cell>
          <cell r="G9527" t="str">
            <v>FERRITE CORE</v>
          </cell>
          <cell r="H9527" t="str">
            <v>FRC0038</v>
          </cell>
        </row>
        <row r="9528">
          <cell r="F9528" t="str">
            <v>HM5A T 3112</v>
          </cell>
          <cell r="G9528" t="str">
            <v>TOROID CORE</v>
          </cell>
          <cell r="H9528" t="str">
            <v>FRC0037</v>
          </cell>
        </row>
        <row r="9529">
          <cell r="F9529" t="str">
            <v>OR31X16</v>
          </cell>
          <cell r="G9529" t="str">
            <v>FERRITE CORE</v>
          </cell>
          <cell r="H9529" t="str">
            <v>FRC0036</v>
          </cell>
        </row>
        <row r="9530">
          <cell r="F9530" t="str">
            <v>TR25-15-12 (G5B)</v>
          </cell>
          <cell r="G9530" t="str">
            <v>FERRITE CORE</v>
          </cell>
          <cell r="H9530" t="str">
            <v>FRC0035</v>
          </cell>
        </row>
        <row r="9531">
          <cell r="F9531" t="str">
            <v>T2812</v>
          </cell>
          <cell r="G9531" t="str">
            <v>FERRITE CORE</v>
          </cell>
          <cell r="H9531" t="str">
            <v>FRC0033</v>
          </cell>
        </row>
        <row r="9532">
          <cell r="F9532" t="str">
            <v>TR29-18-15(G5A)</v>
          </cell>
          <cell r="G9532" t="str">
            <v>FERRITE CORE</v>
          </cell>
          <cell r="H9532" t="str">
            <v>FRC0032</v>
          </cell>
        </row>
        <row r="9533">
          <cell r="F9533" t="str">
            <v>OP 18D</v>
          </cell>
          <cell r="G9533" t="str">
            <v>FERRITE CORE</v>
          </cell>
          <cell r="H9533" t="str">
            <v>FRC0031</v>
          </cell>
        </row>
        <row r="9534">
          <cell r="F9534" t="str">
            <v>BNF-12GR</v>
          </cell>
          <cell r="G9534" t="str">
            <v>FERRITE CORE</v>
          </cell>
          <cell r="H9534" t="str">
            <v>FRC0030</v>
          </cell>
        </row>
        <row r="9535">
          <cell r="F9535" t="str">
            <v>RING 23.5</v>
          </cell>
          <cell r="G9535" t="str">
            <v>FERRITE CORE</v>
          </cell>
          <cell r="H9535" t="str">
            <v>FRC0029</v>
          </cell>
        </row>
        <row r="9536">
          <cell r="F9536" t="str">
            <v>T3115(HM5A)</v>
          </cell>
          <cell r="G9536" t="str">
            <v>FERRITE CORE</v>
          </cell>
          <cell r="H9536" t="str">
            <v>FRC0028</v>
          </cell>
        </row>
        <row r="9537">
          <cell r="F9537" t="str">
            <v>BNF 27</v>
          </cell>
          <cell r="G9537" t="str">
            <v>FERRITE CORE</v>
          </cell>
          <cell r="H9537" t="str">
            <v>FRC0026</v>
          </cell>
        </row>
        <row r="9538">
          <cell r="F9538" t="str">
            <v>TR25-15-12 G10A</v>
          </cell>
          <cell r="G9538" t="str">
            <v>FERRITE CORE</v>
          </cell>
          <cell r="H9538" t="str">
            <v>FRC0025</v>
          </cell>
        </row>
        <row r="9539">
          <cell r="F9539" t="str">
            <v>TR31-20-15 G10A</v>
          </cell>
          <cell r="G9539" t="str">
            <v>FERRITE CORE</v>
          </cell>
          <cell r="H9539" t="str">
            <v>FRC0024</v>
          </cell>
        </row>
        <row r="9540">
          <cell r="F9540" t="str">
            <v>TR25-15-13 G10A</v>
          </cell>
          <cell r="G9540" t="str">
            <v>FERRITE CORE</v>
          </cell>
          <cell r="H9540" t="str">
            <v>FRC0023</v>
          </cell>
        </row>
        <row r="9541">
          <cell r="F9541" t="str">
            <v>TR36X23X15(G10)</v>
          </cell>
          <cell r="G9541" t="str">
            <v>FERRITE CORE</v>
          </cell>
          <cell r="H9541" t="str">
            <v>FRC0022</v>
          </cell>
        </row>
        <row r="9542">
          <cell r="F9542" t="str">
            <v>TR29-18-15(G10A)</v>
          </cell>
          <cell r="G9542" t="str">
            <v>FERRITE CORE</v>
          </cell>
          <cell r="H9542" t="str">
            <v>FRC0021</v>
          </cell>
        </row>
        <row r="9543">
          <cell r="F9543" t="str">
            <v>TR19-13-6</v>
          </cell>
          <cell r="G9543" t="str">
            <v>FERRITE CORE</v>
          </cell>
          <cell r="H9543" t="str">
            <v>FRC0015</v>
          </cell>
        </row>
        <row r="9544">
          <cell r="F9544" t="str">
            <v>OP28</v>
          </cell>
          <cell r="G9544" t="str">
            <v>FERRITE CORE</v>
          </cell>
          <cell r="H9544" t="str">
            <v>FRC0011</v>
          </cell>
        </row>
        <row r="9545">
          <cell r="F9545" t="str">
            <v>OP18C</v>
          </cell>
          <cell r="G9545" t="str">
            <v>FERRITE CORE</v>
          </cell>
          <cell r="H9545" t="str">
            <v>FRC0008</v>
          </cell>
        </row>
        <row r="9546">
          <cell r="F9546" t="str">
            <v>BNF-18</v>
          </cell>
          <cell r="G9546" t="str">
            <v>FERRITE CORE</v>
          </cell>
          <cell r="H9546" t="str">
            <v>FRC0007</v>
          </cell>
        </row>
        <row r="9547">
          <cell r="F9547" t="str">
            <v>OP18B</v>
          </cell>
          <cell r="G9547" t="str">
            <v>FERRITE CORE</v>
          </cell>
          <cell r="H9547" t="str">
            <v>FRC0005</v>
          </cell>
        </row>
        <row r="9548">
          <cell r="F9548" t="str">
            <v>TR22-14-13 G8A</v>
          </cell>
          <cell r="G9548" t="str">
            <v>FERRITE CORE</v>
          </cell>
          <cell r="H9548" t="str">
            <v>FRC0002</v>
          </cell>
        </row>
        <row r="9549">
          <cell r="F9549" t="str">
            <v>RING28-13</v>
          </cell>
          <cell r="G9549" t="str">
            <v>FERRITE CORE</v>
          </cell>
          <cell r="H9549" t="str">
            <v>FRC0001</v>
          </cell>
        </row>
        <row r="9550">
          <cell r="F9550" t="str">
            <v>L/P MICRO FUSE 15A</v>
          </cell>
          <cell r="G9550" t="str">
            <v>MICRO FUSE</v>
          </cell>
          <cell r="H9550" t="str">
            <v>F27-0150</v>
          </cell>
        </row>
        <row r="9551">
          <cell r="F9551" t="str">
            <v>1175-0012</v>
          </cell>
          <cell r="G9551" t="str">
            <v>MICRO FUSE</v>
          </cell>
          <cell r="H9551" t="str">
            <v>F27-0100</v>
          </cell>
        </row>
        <row r="9552">
          <cell r="F9552" t="str">
            <v>0327020.YX2S-WH</v>
          </cell>
          <cell r="G9552" t="str">
            <v>MICRO FUSE</v>
          </cell>
          <cell r="H9552" t="str">
            <v>F26-0200</v>
          </cell>
        </row>
        <row r="9553">
          <cell r="F9553" t="str">
            <v>0327015.YX2S</v>
          </cell>
          <cell r="G9553" t="str">
            <v>MICRO FUSE</v>
          </cell>
          <cell r="H9553" t="str">
            <v>F26-0150</v>
          </cell>
        </row>
        <row r="9554">
          <cell r="F9554" t="str">
            <v>0327010.YX2S</v>
          </cell>
          <cell r="G9554" t="str">
            <v>MICRO FUSE</v>
          </cell>
          <cell r="H9554" t="str">
            <v>F26-0100</v>
          </cell>
        </row>
        <row r="9555">
          <cell r="F9555" t="str">
            <v>3245-0000</v>
          </cell>
          <cell r="G9555" t="str">
            <v>SLOW BLOW FUSE</v>
          </cell>
          <cell r="H9555" t="str">
            <v>F25-0400</v>
          </cell>
        </row>
        <row r="9556">
          <cell r="F9556" t="str">
            <v>3235-0000</v>
          </cell>
          <cell r="G9556" t="str">
            <v>MICRO FUSE</v>
          </cell>
          <cell r="H9556" t="str">
            <v>F25-0300</v>
          </cell>
        </row>
        <row r="9557">
          <cell r="F9557" t="str">
            <v>3225-0000</v>
          </cell>
          <cell r="G9557" t="str">
            <v>SLOW BLOW FUSE</v>
          </cell>
          <cell r="H9557" t="str">
            <v>F25-0200</v>
          </cell>
        </row>
        <row r="9558">
          <cell r="F9558" t="str">
            <v>1177-0000</v>
          </cell>
          <cell r="G9558" t="str">
            <v>MICRO FUSE</v>
          </cell>
          <cell r="H9558" t="str">
            <v>F24-0200</v>
          </cell>
        </row>
        <row r="9559">
          <cell r="F9559">
            <v>1176</v>
          </cell>
          <cell r="G9559" t="str">
            <v>LOW PROFILE FUSE</v>
          </cell>
          <cell r="H9559" t="str">
            <v>F24-0150</v>
          </cell>
        </row>
        <row r="9560">
          <cell r="F9560">
            <v>1175</v>
          </cell>
          <cell r="G9560" t="str">
            <v>LOW PROFILE FUSE</v>
          </cell>
          <cell r="H9560" t="str">
            <v>F24-0100</v>
          </cell>
        </row>
        <row r="9561">
          <cell r="F9561" t="str">
            <v>3362-00x0</v>
          </cell>
          <cell r="G9561" t="str">
            <v>LOW PROFILE FUSE</v>
          </cell>
          <cell r="H9561" t="str">
            <v>F18-0600</v>
          </cell>
        </row>
        <row r="9562">
          <cell r="F9562" t="str">
            <v>3352-00x0</v>
          </cell>
          <cell r="G9562" t="str">
            <v>LOW PROFILE FUSE</v>
          </cell>
          <cell r="H9562" t="str">
            <v>F18-0500</v>
          </cell>
        </row>
        <row r="9563">
          <cell r="F9563">
            <v>3342</v>
          </cell>
          <cell r="G9563" t="str">
            <v>LOW PROFILE FUSE</v>
          </cell>
          <cell r="H9563" t="str">
            <v>F18-0400</v>
          </cell>
        </row>
        <row r="9564">
          <cell r="F9564" t="str">
            <v>3322-00x0</v>
          </cell>
          <cell r="G9564" t="str">
            <v>LOW PROFILE FUSE</v>
          </cell>
          <cell r="H9564" t="str">
            <v>F18-0200</v>
          </cell>
        </row>
        <row r="9565">
          <cell r="F9565" t="str">
            <v>JW1000AZ</v>
          </cell>
          <cell r="G9565" t="str">
            <v>MULTI FUSE</v>
          </cell>
          <cell r="H9565" t="str">
            <v>F17-0089</v>
          </cell>
        </row>
        <row r="9566">
          <cell r="F9566" t="str">
            <v>JW0700AZ</v>
          </cell>
          <cell r="G9566" t="str">
            <v>MULTI FUSE</v>
          </cell>
          <cell r="H9566" t="str">
            <v>F17-0087</v>
          </cell>
        </row>
        <row r="9567">
          <cell r="F9567">
            <v>665949</v>
          </cell>
          <cell r="G9567" t="str">
            <v>MULTI FUSE</v>
          </cell>
          <cell r="H9567" t="str">
            <v>F17-0057</v>
          </cell>
        </row>
        <row r="9568">
          <cell r="F9568">
            <v>665948</v>
          </cell>
          <cell r="G9568" t="str">
            <v>MULTI FUSE</v>
          </cell>
          <cell r="H9568" t="str">
            <v>F17-0056</v>
          </cell>
        </row>
        <row r="9569">
          <cell r="F9569" t="str">
            <v>유라 유상사급자재 소급</v>
          </cell>
          <cell r="G9569" t="str">
            <v>유라 유상사급자재 소급</v>
          </cell>
          <cell r="H9569" t="str">
            <v>ETC1</v>
          </cell>
        </row>
        <row r="9570">
          <cell r="F9570" t="str">
            <v>KM-702(ROBORT ARM)</v>
          </cell>
          <cell r="G9570" t="str">
            <v>실린더 로봇팔</v>
          </cell>
          <cell r="H9570" t="str">
            <v>EQ91003</v>
          </cell>
        </row>
        <row r="9571">
          <cell r="F9571" t="str">
            <v>61NR 250V 5A</v>
          </cell>
          <cell r="G9571" t="str">
            <v>FUSE</v>
          </cell>
          <cell r="H9571" t="str">
            <v>ELE439</v>
          </cell>
        </row>
        <row r="9572">
          <cell r="F9572" t="str">
            <v>10SQ SR-1H(M6)</v>
          </cell>
          <cell r="G9572" t="str">
            <v>TERMINAL BLOCK</v>
          </cell>
          <cell r="H9572" t="str">
            <v>ELE438</v>
          </cell>
        </row>
        <row r="9573">
          <cell r="F9573" t="str">
            <v>SPDA-24459Y</v>
          </cell>
          <cell r="G9573" t="str">
            <v>SHIELD CABLE</v>
          </cell>
          <cell r="H9573" t="str">
            <v>ELE437</v>
          </cell>
        </row>
        <row r="9574">
          <cell r="F9574" t="str">
            <v>SSM-16HR</v>
          </cell>
          <cell r="G9574" t="str">
            <v>MOTOR</v>
          </cell>
          <cell r="H9574" t="str">
            <v>ELE436</v>
          </cell>
        </row>
        <row r="9575">
          <cell r="F9575" t="str">
            <v>SSM-16H</v>
          </cell>
          <cell r="G9575" t="str">
            <v>MOTOR</v>
          </cell>
          <cell r="H9575" t="str">
            <v>ELE435</v>
          </cell>
        </row>
        <row r="9576">
          <cell r="F9576" t="str">
            <v>SJ19-03-041</v>
          </cell>
          <cell r="G9576" t="str">
            <v>CABLE (CAMERA 960mm, USB870mm)</v>
          </cell>
          <cell r="H9576" t="str">
            <v>ELE434</v>
          </cell>
        </row>
        <row r="9577">
          <cell r="F9577" t="str">
            <v>30014470A</v>
          </cell>
          <cell r="G9577" t="str">
            <v>FUSE</v>
          </cell>
          <cell r="H9577" t="str">
            <v>ELE433</v>
          </cell>
        </row>
        <row r="9578">
          <cell r="F9578" t="str">
            <v>61NR 250V 3A</v>
          </cell>
          <cell r="G9578" t="str">
            <v>FUSE</v>
          </cell>
          <cell r="H9578" t="str">
            <v>ELE432</v>
          </cell>
        </row>
        <row r="9579">
          <cell r="F9579" t="str">
            <v>VP-333-0D 5A 250V</v>
          </cell>
          <cell r="G9579" t="str">
            <v>MIRCRO S/W</v>
          </cell>
          <cell r="H9579" t="str">
            <v>ELE431</v>
          </cell>
        </row>
        <row r="9580">
          <cell r="F9580" t="str">
            <v>ST-22</v>
          </cell>
          <cell r="G9580" t="str">
            <v>THERMAL PROTECTOR</v>
          </cell>
          <cell r="H9580" t="str">
            <v>ELE430</v>
          </cell>
        </row>
        <row r="9581">
          <cell r="F9581" t="str">
            <v>65TS 250V 30A NO LEAD</v>
          </cell>
          <cell r="G9581" t="str">
            <v>FUSE</v>
          </cell>
          <cell r="H9581" t="str">
            <v>ELE428</v>
          </cell>
        </row>
        <row r="9582">
          <cell r="F9582" t="str">
            <v>1Mohm, 5%, 1W, METAL GLAZE RESISTOR</v>
          </cell>
          <cell r="G9582" t="str">
            <v>RESISTOR</v>
          </cell>
          <cell r="H9582" t="str">
            <v>ELE427</v>
          </cell>
        </row>
        <row r="9583">
          <cell r="F9583" t="str">
            <v>SJ22-03-010</v>
          </cell>
          <cell r="G9583" t="str">
            <v>SHIELD CABLE</v>
          </cell>
          <cell r="H9583" t="str">
            <v>ELE426</v>
          </cell>
        </row>
        <row r="9584">
          <cell r="F9584" t="str">
            <v>FUSE61TS250V 5A</v>
          </cell>
          <cell r="G9584" t="str">
            <v>FUSE</v>
          </cell>
          <cell r="H9584" t="str">
            <v>ELE425</v>
          </cell>
        </row>
        <row r="9585">
          <cell r="F9585" t="str">
            <v>DA63-08730A</v>
          </cell>
          <cell r="G9585" t="str">
            <v>GRMMET HINGE UP</v>
          </cell>
          <cell r="H9585" t="str">
            <v>ELE424</v>
          </cell>
        </row>
        <row r="9586">
          <cell r="F9586" t="str">
            <v>3/16 (WHT)</v>
          </cell>
          <cell r="G9586" t="str">
            <v>PIPE WATER LINE</v>
          </cell>
          <cell r="H9586" t="str">
            <v>ELE423</v>
          </cell>
        </row>
        <row r="9587">
          <cell r="F9587" t="str">
            <v>DFT-10A-10P</v>
          </cell>
          <cell r="G9587" t="str">
            <v>TERMINAL BLOCK</v>
          </cell>
          <cell r="H9587" t="str">
            <v>ELE422</v>
          </cell>
        </row>
        <row r="9588">
          <cell r="F9588" t="str">
            <v>DA96-01119D</v>
          </cell>
          <cell r="G9588" t="str">
            <v>LED</v>
          </cell>
          <cell r="H9588" t="str">
            <v>ELE421</v>
          </cell>
        </row>
        <row r="9589">
          <cell r="F9589" t="str">
            <v>DB37-00035A</v>
          </cell>
          <cell r="G9589" t="str">
            <v>TERMINAL BLOCK</v>
          </cell>
          <cell r="H9589" t="str">
            <v>ELE420</v>
          </cell>
        </row>
        <row r="9590">
          <cell r="F9590" t="str">
            <v>DB65-00185C</v>
          </cell>
          <cell r="G9590" t="str">
            <v>TERMINAL BLOCK</v>
          </cell>
          <cell r="H9590" t="str">
            <v>ELE419</v>
          </cell>
        </row>
        <row r="9591">
          <cell r="F9591" t="str">
            <v>DA47-00451G</v>
          </cell>
          <cell r="G9591" t="str">
            <v>HEATER</v>
          </cell>
          <cell r="H9591" t="str">
            <v>ELE417</v>
          </cell>
        </row>
        <row r="9592">
          <cell r="F9592" t="str">
            <v>2M5%2WMETALOXIDE</v>
          </cell>
          <cell r="G9592" t="str">
            <v>RESISTOR</v>
          </cell>
          <cell r="H9592" t="str">
            <v>ELE416</v>
          </cell>
        </row>
        <row r="9593">
          <cell r="F9593" t="str">
            <v>SJ21-03-001</v>
          </cell>
          <cell r="G9593" t="str">
            <v>CABLE (6P CAMERA CABLE 1420mm)</v>
          </cell>
          <cell r="H9593" t="str">
            <v>ELE415</v>
          </cell>
        </row>
        <row r="9594">
          <cell r="F9594" t="str">
            <v>SJ20-03-015</v>
          </cell>
          <cell r="G9594" t="str">
            <v>CABLE (CAMERA 960mm)</v>
          </cell>
          <cell r="H9594" t="str">
            <v>ELE414</v>
          </cell>
        </row>
        <row r="9595">
          <cell r="F9595" t="str">
            <v>SS-120A-2.0A-4.8A</v>
          </cell>
          <cell r="G9595" t="str">
            <v>AC INLET</v>
          </cell>
          <cell r="H9595" t="str">
            <v>ELE412</v>
          </cell>
        </row>
        <row r="9596">
          <cell r="F9596" t="str">
            <v>0326015 MXP(Little Fus)</v>
          </cell>
          <cell r="G9596" t="str">
            <v>FUSE</v>
          </cell>
          <cell r="H9596" t="str">
            <v>ELE411</v>
          </cell>
        </row>
        <row r="9597">
          <cell r="F9597" t="str">
            <v>17AM205A5</v>
          </cell>
          <cell r="G9597" t="str">
            <v>TERMOSTAT</v>
          </cell>
          <cell r="H9597" t="str">
            <v>ELE410</v>
          </cell>
        </row>
        <row r="9598">
          <cell r="F9598" t="str">
            <v>3402-001040</v>
          </cell>
          <cell r="G9598" t="str">
            <v>SWITCH ROCKER</v>
          </cell>
          <cell r="H9598" t="str">
            <v>ELE409</v>
          </cell>
        </row>
        <row r="9599">
          <cell r="F9599" t="str">
            <v>EA-4100</v>
          </cell>
          <cell r="G9599" t="str">
            <v>SILICORN</v>
          </cell>
          <cell r="H9599" t="str">
            <v>ELE408</v>
          </cell>
        </row>
        <row r="9600">
          <cell r="F9600" t="str">
            <v>59600-859</v>
          </cell>
          <cell r="G9600" t="str">
            <v>TMR SENSOR</v>
          </cell>
          <cell r="H9600" t="str">
            <v>ELE407</v>
          </cell>
        </row>
        <row r="9601">
          <cell r="F9601" t="str">
            <v>17AM029A5</v>
          </cell>
          <cell r="G9601" t="str">
            <v>TERMOSTAT</v>
          </cell>
          <cell r="H9601" t="str">
            <v>ELE405</v>
          </cell>
        </row>
        <row r="9602">
          <cell r="F9602" t="str">
            <v>DA32-00011K-2 YEL</v>
          </cell>
          <cell r="G9602" t="str">
            <v>DK SENSOR</v>
          </cell>
          <cell r="H9602" t="str">
            <v>ELE404</v>
          </cell>
        </row>
        <row r="9603">
          <cell r="F9603" t="str">
            <v>1948NA/S(S3) 450V</v>
          </cell>
          <cell r="G9603" t="str">
            <v>CONDENSER</v>
          </cell>
          <cell r="H9603" t="str">
            <v>ELE403</v>
          </cell>
        </row>
        <row r="9604">
          <cell r="F9604" t="str">
            <v>DF-91-029A</v>
          </cell>
          <cell r="G9604" t="str">
            <v>STOPPER DOOR</v>
          </cell>
          <cell r="H9604" t="str">
            <v>ELE401</v>
          </cell>
        </row>
        <row r="9605">
          <cell r="F9605" t="str">
            <v>SJ20-03-012</v>
          </cell>
          <cell r="G9605" t="str">
            <v>CABLE (MIC CABLE)</v>
          </cell>
          <cell r="H9605" t="str">
            <v>ELE400</v>
          </cell>
        </row>
        <row r="9606">
          <cell r="F9606" t="str">
            <v>SJ20-03-014</v>
          </cell>
          <cell r="G9606" t="str">
            <v>CABLE (USB, CAMERA CABLE)</v>
          </cell>
          <cell r="H9606" t="str">
            <v>ELE399</v>
          </cell>
        </row>
        <row r="9607">
          <cell r="F9607" t="str">
            <v>CUBE WINE PCB (2L 1.0T)</v>
          </cell>
          <cell r="G9607" t="str">
            <v>GUIDE PCB</v>
          </cell>
          <cell r="H9607" t="str">
            <v>ELE398</v>
          </cell>
        </row>
        <row r="9608">
          <cell r="F9608" t="str">
            <v>DA32-00011K-1 YEL</v>
          </cell>
          <cell r="G9608" t="str">
            <v>DK SENSOR</v>
          </cell>
          <cell r="H9608" t="str">
            <v>ELE397</v>
          </cell>
        </row>
        <row r="9609">
          <cell r="F9609" t="str">
            <v>MVLA15AR11</v>
          </cell>
          <cell r="G9609" t="str">
            <v>GEARD MOTOR</v>
          </cell>
          <cell r="H9609" t="str">
            <v>ELE396</v>
          </cell>
        </row>
        <row r="9610">
          <cell r="F9610" t="str">
            <v>SZM-V1-24FD-63</v>
          </cell>
          <cell r="G9610" t="str">
            <v>MICRO S/W</v>
          </cell>
          <cell r="H9610" t="str">
            <v>ELE395</v>
          </cell>
        </row>
        <row r="9611">
          <cell r="F9611" t="str">
            <v>SJ19-03-036</v>
          </cell>
          <cell r="G9611" t="str">
            <v>CABLE (6P CAMERA CABLE)</v>
          </cell>
          <cell r="H9611" t="str">
            <v>ELE394</v>
          </cell>
        </row>
        <row r="9612">
          <cell r="F9612" t="str">
            <v>DB61-06255A</v>
          </cell>
          <cell r="G9612" t="str">
            <v>HOLDER CABLE MOLDING</v>
          </cell>
          <cell r="H9612" t="str">
            <v>ELE393</v>
          </cell>
        </row>
        <row r="9613">
          <cell r="F9613" t="str">
            <v>SJ19-03-010</v>
          </cell>
          <cell r="G9613" t="str">
            <v>CABLE (CAMERA&amp;USB CABLE)</v>
          </cell>
          <cell r="H9613" t="str">
            <v>ELE392</v>
          </cell>
        </row>
        <row r="9614">
          <cell r="F9614" t="str">
            <v>SJ19-03-011</v>
          </cell>
          <cell r="G9614" t="str">
            <v>CABLE (6P CAMERA CABLE)</v>
          </cell>
          <cell r="H9614" t="str">
            <v>ELE391</v>
          </cell>
        </row>
        <row r="9615">
          <cell r="F9615" t="str">
            <v>DA67-03399A</v>
          </cell>
          <cell r="G9615" t="str">
            <v>CAP-TUBE</v>
          </cell>
          <cell r="H9615" t="str">
            <v>ELE390</v>
          </cell>
        </row>
        <row r="9616">
          <cell r="F9616" t="str">
            <v>DA47-00483A</v>
          </cell>
          <cell r="G9616" t="str">
            <v>LAMP HOLDER</v>
          </cell>
          <cell r="H9616" t="str">
            <v>ELE388</v>
          </cell>
        </row>
        <row r="9617">
          <cell r="F9617" t="str">
            <v>PCB (2L 1.0T)</v>
          </cell>
          <cell r="G9617" t="str">
            <v>GUIDE PCB</v>
          </cell>
          <cell r="H9617" t="str">
            <v>ELE385</v>
          </cell>
        </row>
        <row r="9618">
          <cell r="F9618" t="str">
            <v>D-9P(SOLDER)</v>
          </cell>
          <cell r="G9618" t="str">
            <v>CONN</v>
          </cell>
          <cell r="H9618" t="str">
            <v>ELE383</v>
          </cell>
        </row>
        <row r="9619">
          <cell r="F9619" t="str">
            <v>DC-038</v>
          </cell>
          <cell r="G9619" t="str">
            <v>DC-JACK</v>
          </cell>
          <cell r="H9619" t="str">
            <v>ELE382</v>
          </cell>
        </row>
        <row r="9620">
          <cell r="F9620" t="str">
            <v>SJ17-03-071</v>
          </cell>
          <cell r="G9620" t="str">
            <v>CABLE (6P CAMERA 1820mm)</v>
          </cell>
          <cell r="H9620" t="str">
            <v>ELE381</v>
          </cell>
        </row>
        <row r="9621">
          <cell r="F9621" t="str">
            <v>DJ39-00276A</v>
          </cell>
          <cell r="G9621" t="str">
            <v>WIRE HARNESS</v>
          </cell>
          <cell r="H9621" t="str">
            <v>ELE378</v>
          </cell>
        </row>
        <row r="9622">
          <cell r="F9622" t="str">
            <v>SJ17-03-018</v>
          </cell>
          <cell r="G9622" t="str">
            <v>CABLE(BUILT-IN WIFI 225mm)</v>
          </cell>
          <cell r="H9622" t="str">
            <v>ELE375</v>
          </cell>
        </row>
        <row r="9623">
          <cell r="F9623" t="str">
            <v>DJ41-00010A(SENSATA)</v>
          </cell>
          <cell r="G9623" t="str">
            <v>THERMOSTAT(90)</v>
          </cell>
          <cell r="H9623" t="str">
            <v>ELE368</v>
          </cell>
        </row>
        <row r="9624">
          <cell r="F9624" t="str">
            <v>0.6uH(4ØX25)</v>
          </cell>
          <cell r="G9624" t="str">
            <v>COIL INDUCTOR</v>
          </cell>
          <cell r="H9624" t="str">
            <v>ELE367</v>
          </cell>
        </row>
        <row r="9625">
          <cell r="F9625" t="str">
            <v>60148-0008600</v>
          </cell>
          <cell r="G9625" t="str">
            <v>SENSOR</v>
          </cell>
          <cell r="H9625" t="str">
            <v>ELE366</v>
          </cell>
        </row>
        <row r="9626">
          <cell r="F9626" t="str">
            <v>KW10-TIF150-74</v>
          </cell>
          <cell r="G9626" t="str">
            <v>MICRO S/W</v>
          </cell>
          <cell r="H9626" t="str">
            <v>ELE365</v>
          </cell>
        </row>
        <row r="9627">
          <cell r="F9627" t="str">
            <v>SJ17-03-003</v>
          </cell>
          <cell r="G9627" t="str">
            <v>CABLE(BUILT-IN WIFI 135mm)</v>
          </cell>
          <cell r="H9627" t="str">
            <v>ELE364</v>
          </cell>
        </row>
        <row r="9628">
          <cell r="F9628" t="str">
            <v>SJ16-08-543</v>
          </cell>
          <cell r="G9628" t="str">
            <v>CABLE(BUILT-IN WIFI 540mm)</v>
          </cell>
          <cell r="H9628" t="str">
            <v>ELE363</v>
          </cell>
        </row>
        <row r="9629">
          <cell r="F9629" t="str">
            <v>DA47-00256D-2</v>
          </cell>
          <cell r="G9629" t="str">
            <v>HEATER</v>
          </cell>
          <cell r="H9629" t="str">
            <v>ELE360</v>
          </cell>
        </row>
        <row r="9630">
          <cell r="F9630" t="str">
            <v>DDE 60128-0002415</v>
          </cell>
          <cell r="G9630" t="str">
            <v>HEATER</v>
          </cell>
          <cell r="H9630" t="str">
            <v>ELE358</v>
          </cell>
        </row>
        <row r="9631">
          <cell r="F9631" t="str">
            <v>DA81-06303A</v>
          </cell>
          <cell r="G9631" t="str">
            <v>NEW HASS MAGNET CABLE</v>
          </cell>
          <cell r="H9631" t="str">
            <v>ELE353</v>
          </cell>
        </row>
        <row r="9632">
          <cell r="F9632" t="str">
            <v>DA81-06299A</v>
          </cell>
          <cell r="G9632" t="str">
            <v>USB CABLE(DC to DC) 5Vout</v>
          </cell>
          <cell r="H9632" t="str">
            <v>ELE352</v>
          </cell>
        </row>
        <row r="9633">
          <cell r="F9633" t="str">
            <v>DA81-06296A</v>
          </cell>
          <cell r="G9633" t="str">
            <v>NEW HASS CONVERTER C,TY</v>
          </cell>
          <cell r="H9633" t="str">
            <v>ELE351</v>
          </cell>
        </row>
        <row r="9634">
          <cell r="F9634" t="str">
            <v>DA81-06295A</v>
          </cell>
          <cell r="G9634" t="str">
            <v>NEW HASS CONVERTER B,TY</v>
          </cell>
          <cell r="H9634" t="str">
            <v>ELE350</v>
          </cell>
        </row>
        <row r="9635">
          <cell r="F9635" t="str">
            <v>NEODIUM 10, 6Ø</v>
          </cell>
          <cell r="G9635" t="str">
            <v>Magnet</v>
          </cell>
          <cell r="H9635" t="str">
            <v>ELE349</v>
          </cell>
        </row>
        <row r="9636">
          <cell r="F9636" t="str">
            <v>SJ16-08-235</v>
          </cell>
          <cell r="G9636" t="str">
            <v>CABLE (USB PORT 820mm)</v>
          </cell>
          <cell r="H9636" t="str">
            <v>ELE345</v>
          </cell>
        </row>
        <row r="9637">
          <cell r="F9637" t="str">
            <v>SJ16-08-236</v>
          </cell>
          <cell r="G9637" t="str">
            <v>CABLE (6P CAMERA 750mm)</v>
          </cell>
          <cell r="H9637" t="str">
            <v>ELE344</v>
          </cell>
        </row>
        <row r="9638">
          <cell r="F9638" t="str">
            <v>DDE 3012826220</v>
          </cell>
          <cell r="G9638" t="str">
            <v>HEATER</v>
          </cell>
          <cell r="H9638" t="str">
            <v>ELE327</v>
          </cell>
        </row>
        <row r="9639">
          <cell r="F9639" t="str">
            <v>DDE 60128-0002413</v>
          </cell>
          <cell r="G9639" t="str">
            <v>HEATER</v>
          </cell>
          <cell r="H9639" t="str">
            <v>ELE326</v>
          </cell>
        </row>
        <row r="9640">
          <cell r="F9640" t="str">
            <v>DDE 60128-0002411</v>
          </cell>
          <cell r="G9640" t="str">
            <v>HEATER</v>
          </cell>
          <cell r="H9640" t="str">
            <v>ELE325</v>
          </cell>
        </row>
        <row r="9641">
          <cell r="F9641" t="str">
            <v>DA47-00256D</v>
          </cell>
          <cell r="G9641" t="str">
            <v>HEATER</v>
          </cell>
          <cell r="H9641" t="str">
            <v>ELE324</v>
          </cell>
        </row>
        <row r="9642">
          <cell r="F9642">
            <v>3017203900</v>
          </cell>
          <cell r="G9642" t="str">
            <v>FUSE TEMP CUT</v>
          </cell>
          <cell r="H9642" t="str">
            <v>ELE323</v>
          </cell>
        </row>
        <row r="9643">
          <cell r="F9643">
            <v>3014802511</v>
          </cell>
          <cell r="G9643" t="str">
            <v>SENSOR</v>
          </cell>
          <cell r="H9643" t="str">
            <v>ELE322</v>
          </cell>
        </row>
        <row r="9644">
          <cell r="F9644">
            <v>3014802611</v>
          </cell>
          <cell r="G9644" t="str">
            <v>SENSOR</v>
          </cell>
          <cell r="H9644" t="str">
            <v>ELE321</v>
          </cell>
        </row>
        <row r="9645">
          <cell r="F9645">
            <v>3014808700</v>
          </cell>
          <cell r="G9645" t="str">
            <v>SENSOR</v>
          </cell>
          <cell r="H9645" t="str">
            <v>ELE320</v>
          </cell>
        </row>
        <row r="9646">
          <cell r="F9646" t="str">
            <v>DDE 3012826210</v>
          </cell>
          <cell r="G9646" t="str">
            <v>HEATER</v>
          </cell>
          <cell r="H9646" t="str">
            <v>ELE319</v>
          </cell>
        </row>
        <row r="9647">
          <cell r="F9647" t="str">
            <v>DDE 3012811340</v>
          </cell>
          <cell r="G9647" t="str">
            <v>HEATER</v>
          </cell>
          <cell r="H9647" t="str">
            <v>ELE318</v>
          </cell>
        </row>
        <row r="9648">
          <cell r="F9648" t="str">
            <v>DDE 60128-0002409</v>
          </cell>
          <cell r="G9648" t="str">
            <v>HEATER</v>
          </cell>
          <cell r="H9648" t="str">
            <v>ELE317</v>
          </cell>
        </row>
        <row r="9649">
          <cell r="F9649" t="str">
            <v>DDE 3015920400</v>
          </cell>
          <cell r="G9649" t="str">
            <v>MOTOR</v>
          </cell>
          <cell r="H9649" t="str">
            <v>ELE316</v>
          </cell>
        </row>
        <row r="9650">
          <cell r="F9650" t="str">
            <v>DDE 3015920300</v>
          </cell>
          <cell r="G9650" t="str">
            <v>MOTOR</v>
          </cell>
          <cell r="H9650" t="str">
            <v>ELE315</v>
          </cell>
        </row>
        <row r="9651">
          <cell r="F9651" t="str">
            <v>DDE 3012811370</v>
          </cell>
          <cell r="G9651" t="str">
            <v>HEATER</v>
          </cell>
          <cell r="H9651" t="str">
            <v>ELE314</v>
          </cell>
        </row>
        <row r="9652">
          <cell r="F9652">
            <v>3014809310</v>
          </cell>
          <cell r="G9652" t="str">
            <v>SENSOR</v>
          </cell>
          <cell r="H9652" t="str">
            <v>ELE313</v>
          </cell>
        </row>
        <row r="9653">
          <cell r="F9653">
            <v>3014809410</v>
          </cell>
          <cell r="G9653" t="str">
            <v>SENSOR</v>
          </cell>
          <cell r="H9653" t="str">
            <v>ELE312</v>
          </cell>
        </row>
        <row r="9654">
          <cell r="F9654">
            <v>3014808500</v>
          </cell>
          <cell r="G9654" t="str">
            <v>SENSOR</v>
          </cell>
          <cell r="H9654" t="str">
            <v>ELE311</v>
          </cell>
        </row>
        <row r="9655">
          <cell r="F9655" t="str">
            <v>DDE 60128-0002412</v>
          </cell>
          <cell r="G9655" t="str">
            <v>HEATER</v>
          </cell>
          <cell r="H9655" t="str">
            <v>ELE310</v>
          </cell>
        </row>
        <row r="9656">
          <cell r="F9656" t="str">
            <v>DFT-10A-20P</v>
          </cell>
          <cell r="G9656" t="str">
            <v>TERMINAL BLOCK</v>
          </cell>
          <cell r="H9656" t="str">
            <v>ELE309</v>
          </cell>
        </row>
        <row r="9657">
          <cell r="F9657" t="str">
            <v>SJ15-08-406</v>
          </cell>
          <cell r="G9657" t="str">
            <v>CABLE (6P CAMERA 920mm)</v>
          </cell>
          <cell r="H9657" t="str">
            <v>ELE308</v>
          </cell>
        </row>
        <row r="9658">
          <cell r="F9658" t="str">
            <v>SJ15-08-522</v>
          </cell>
          <cell r="G9658" t="str">
            <v>CABLE (5P S-T HUB)</v>
          </cell>
          <cell r="H9658" t="str">
            <v>ELE307</v>
          </cell>
        </row>
        <row r="9659">
          <cell r="F9659" t="str">
            <v>SJ15-08-524</v>
          </cell>
          <cell r="G9659" t="str">
            <v>CABLE (USB PORT 980mm)</v>
          </cell>
          <cell r="H9659" t="str">
            <v>ELE306</v>
          </cell>
        </row>
        <row r="9660">
          <cell r="F9660" t="str">
            <v>SJ15-08-342</v>
          </cell>
          <cell r="G9660" t="str">
            <v>CABLE (4P SPEAKER)</v>
          </cell>
          <cell r="H9660" t="str">
            <v>ELE305</v>
          </cell>
        </row>
        <row r="9661">
          <cell r="F9661" t="str">
            <v>SJ15-08-404</v>
          </cell>
          <cell r="G9661" t="str">
            <v>CABLE (6P CAMERA 1100mm)</v>
          </cell>
          <cell r="H9661" t="str">
            <v>ELE304</v>
          </cell>
        </row>
        <row r="9662">
          <cell r="F9662" t="str">
            <v>DDE 3012811320</v>
          </cell>
          <cell r="G9662" t="str">
            <v>HEATER</v>
          </cell>
          <cell r="H9662" t="str">
            <v>ELE303</v>
          </cell>
        </row>
        <row r="9663">
          <cell r="F9663" t="str">
            <v>DDE 3012811311</v>
          </cell>
          <cell r="G9663" t="str">
            <v>HEATER</v>
          </cell>
          <cell r="H9663" t="str">
            <v>ELE302</v>
          </cell>
        </row>
        <row r="9664">
          <cell r="F9664">
            <v>3014800411</v>
          </cell>
          <cell r="G9664" t="str">
            <v>SENSOR</v>
          </cell>
          <cell r="H9664" t="str">
            <v>ELE301</v>
          </cell>
        </row>
        <row r="9665">
          <cell r="F9665">
            <v>3014802300</v>
          </cell>
          <cell r="G9665" t="str">
            <v>SENSOR</v>
          </cell>
          <cell r="H9665" t="str">
            <v>ELE300</v>
          </cell>
        </row>
        <row r="9666">
          <cell r="F9666">
            <v>3014812110</v>
          </cell>
          <cell r="G9666" t="str">
            <v>SENSOR</v>
          </cell>
          <cell r="H9666" t="str">
            <v>ELE299</v>
          </cell>
        </row>
        <row r="9667">
          <cell r="F9667">
            <v>3014812210</v>
          </cell>
          <cell r="G9667" t="str">
            <v>SENSOR</v>
          </cell>
          <cell r="H9667" t="str">
            <v>ELE298</v>
          </cell>
        </row>
        <row r="9668">
          <cell r="F9668" t="str">
            <v>DB65-00289C</v>
          </cell>
          <cell r="G9668" t="str">
            <v>TERMINAL BLOCK</v>
          </cell>
          <cell r="H9668" t="str">
            <v>ELE297</v>
          </cell>
        </row>
        <row r="9669">
          <cell r="F9669" t="str">
            <v>DB65-00289B</v>
          </cell>
          <cell r="G9669" t="str">
            <v>TERMINAL BLOCK</v>
          </cell>
          <cell r="H9669" t="str">
            <v>ELE296</v>
          </cell>
        </row>
        <row r="9670">
          <cell r="F9670">
            <v>3014812200</v>
          </cell>
          <cell r="G9670" t="str">
            <v>SENSOR</v>
          </cell>
          <cell r="H9670" t="str">
            <v>ELE294</v>
          </cell>
        </row>
        <row r="9671">
          <cell r="F9671">
            <v>3014810710</v>
          </cell>
          <cell r="G9671" t="str">
            <v>SENSOR</v>
          </cell>
          <cell r="H9671" t="str">
            <v>ELE293</v>
          </cell>
        </row>
        <row r="9672">
          <cell r="F9672">
            <v>3014809400</v>
          </cell>
          <cell r="G9672" t="str">
            <v>SENSOR</v>
          </cell>
          <cell r="H9672" t="str">
            <v>ELE292</v>
          </cell>
        </row>
        <row r="9673">
          <cell r="F9673">
            <v>3014809300</v>
          </cell>
          <cell r="G9673" t="str">
            <v>SENSOR</v>
          </cell>
          <cell r="H9673" t="str">
            <v>ELE291</v>
          </cell>
        </row>
        <row r="9674">
          <cell r="F9674">
            <v>3014812100</v>
          </cell>
          <cell r="G9674" t="str">
            <v>SENSOR</v>
          </cell>
          <cell r="H9674" t="str">
            <v>ELE290</v>
          </cell>
        </row>
        <row r="9675">
          <cell r="F9675">
            <v>3014810500</v>
          </cell>
          <cell r="G9675" t="str">
            <v>SENSOR</v>
          </cell>
          <cell r="H9675" t="str">
            <v>ELE289</v>
          </cell>
        </row>
        <row r="9676">
          <cell r="F9676" t="str">
            <v>DDE 3012811330</v>
          </cell>
          <cell r="G9676" t="str">
            <v>HEATER</v>
          </cell>
          <cell r="H9676" t="str">
            <v>ELE288</v>
          </cell>
        </row>
        <row r="9677">
          <cell r="F9677" t="str">
            <v>DDE 3012811350</v>
          </cell>
          <cell r="G9677" t="str">
            <v>HEATER</v>
          </cell>
          <cell r="H9677" t="str">
            <v>ELE287</v>
          </cell>
        </row>
        <row r="9678">
          <cell r="F9678" t="str">
            <v>DDE 3012826200</v>
          </cell>
          <cell r="G9678" t="str">
            <v>HEATER</v>
          </cell>
          <cell r="H9678" t="str">
            <v>ELE286</v>
          </cell>
        </row>
        <row r="9679">
          <cell r="F9679" t="str">
            <v>DDE 3012825500</v>
          </cell>
          <cell r="G9679" t="str">
            <v>HEATER</v>
          </cell>
          <cell r="H9679" t="str">
            <v>ELE285</v>
          </cell>
        </row>
        <row r="9680">
          <cell r="F9680" t="str">
            <v>DDE 3012811301</v>
          </cell>
          <cell r="G9680" t="str">
            <v>HEATER</v>
          </cell>
          <cell r="H9680" t="str">
            <v>ELE284</v>
          </cell>
        </row>
        <row r="9681">
          <cell r="F9681" t="str">
            <v>DDE 3011901300</v>
          </cell>
          <cell r="G9681" t="str">
            <v>NOISE FILTER</v>
          </cell>
          <cell r="H9681" t="str">
            <v>ELE283</v>
          </cell>
        </row>
        <row r="9682">
          <cell r="F9682">
            <v>3014807000</v>
          </cell>
          <cell r="G9682" t="str">
            <v>SENSOR</v>
          </cell>
          <cell r="H9682" t="str">
            <v>ELE282</v>
          </cell>
        </row>
        <row r="9683">
          <cell r="F9683">
            <v>3014808600</v>
          </cell>
          <cell r="G9683" t="str">
            <v>SENSOR</v>
          </cell>
          <cell r="H9683" t="str">
            <v>ELE281</v>
          </cell>
        </row>
        <row r="9684">
          <cell r="F9684">
            <v>3014810810</v>
          </cell>
          <cell r="G9684" t="str">
            <v>SENSOR</v>
          </cell>
          <cell r="H9684" t="str">
            <v>ELE280</v>
          </cell>
        </row>
        <row r="9685">
          <cell r="F9685" t="str">
            <v>DA32-00061A</v>
          </cell>
          <cell r="G9685" t="str">
            <v>PHOTO SENSOR</v>
          </cell>
          <cell r="H9685" t="str">
            <v>ELE279</v>
          </cell>
        </row>
        <row r="9686">
          <cell r="F9686" t="str">
            <v>DA47-00256E</v>
          </cell>
          <cell r="G9686" t="str">
            <v>HEATER</v>
          </cell>
          <cell r="H9686" t="str">
            <v>ELE278</v>
          </cell>
        </row>
        <row r="9687">
          <cell r="F9687" t="str">
            <v>DB65-00326A</v>
          </cell>
          <cell r="G9687" t="str">
            <v>TERMINAL BLOCK</v>
          </cell>
          <cell r="H9687" t="str">
            <v>ELE277</v>
          </cell>
        </row>
        <row r="9688">
          <cell r="F9688" t="str">
            <v>DB65-00118C</v>
          </cell>
          <cell r="G9688" t="str">
            <v>TERMINAL BLOCK</v>
          </cell>
          <cell r="H9688" t="str">
            <v>ELE276</v>
          </cell>
        </row>
        <row r="9689">
          <cell r="F9689">
            <v>3014801910</v>
          </cell>
          <cell r="G9689" t="str">
            <v>SENSOR D AS</v>
          </cell>
          <cell r="H9689" t="str">
            <v>ELE275</v>
          </cell>
        </row>
        <row r="9690">
          <cell r="F9690" t="str">
            <v>PPL08390MA</v>
          </cell>
          <cell r="G9690" t="str">
            <v>PTC</v>
          </cell>
          <cell r="H9690" t="str">
            <v>ELE274</v>
          </cell>
        </row>
        <row r="9691">
          <cell r="F9691" t="str">
            <v>33X20,FR-1</v>
          </cell>
          <cell r="G9691" t="str">
            <v>PCB BOARD</v>
          </cell>
          <cell r="H9691" t="str">
            <v>ELE273</v>
          </cell>
        </row>
        <row r="9692">
          <cell r="F9692" t="str">
            <v>DB65-00268C</v>
          </cell>
          <cell r="G9692" t="str">
            <v>TERMINAL BLOCK</v>
          </cell>
          <cell r="H9692" t="str">
            <v>ELE270</v>
          </cell>
        </row>
        <row r="9693">
          <cell r="F9693" t="str">
            <v>DB65-00268E</v>
          </cell>
          <cell r="G9693" t="str">
            <v>TERMINAL BLOCK</v>
          </cell>
          <cell r="H9693" t="str">
            <v>ELE269</v>
          </cell>
        </row>
        <row r="9694">
          <cell r="F9694" t="str">
            <v>DB65-00333A</v>
          </cell>
          <cell r="G9694" t="str">
            <v>TERMINAL BLOCK</v>
          </cell>
          <cell r="H9694" t="str">
            <v>ELE263</v>
          </cell>
        </row>
        <row r="9695">
          <cell r="F9695" t="str">
            <v>DB65-00310B</v>
          </cell>
          <cell r="G9695" t="str">
            <v>TERMINAL BLOCK</v>
          </cell>
          <cell r="H9695" t="str">
            <v>ELE262</v>
          </cell>
        </row>
        <row r="9696">
          <cell r="F9696" t="str">
            <v>DB65-00310A</v>
          </cell>
          <cell r="G9696" t="str">
            <v>TERMINAL BLOCK</v>
          </cell>
          <cell r="H9696" t="str">
            <v>ELE261</v>
          </cell>
        </row>
        <row r="9697">
          <cell r="F9697" t="str">
            <v>DB65-00311B</v>
          </cell>
          <cell r="G9697" t="str">
            <v>TERMINAL BLOCK</v>
          </cell>
          <cell r="H9697" t="str">
            <v>ELE260</v>
          </cell>
        </row>
        <row r="9698">
          <cell r="F9698" t="str">
            <v>FUSE61TS250V 2A</v>
          </cell>
          <cell r="G9698" t="str">
            <v>FUSE</v>
          </cell>
          <cell r="H9698" t="str">
            <v>ELE259</v>
          </cell>
        </row>
        <row r="9699">
          <cell r="F9699" t="str">
            <v>DB95-01140A</v>
          </cell>
          <cell r="G9699" t="str">
            <v>TERMINAL BLOCK_COMM</v>
          </cell>
          <cell r="H9699" t="str">
            <v>ELE257</v>
          </cell>
        </row>
        <row r="9700">
          <cell r="F9700" t="str">
            <v>DB65-00311C</v>
          </cell>
          <cell r="G9700" t="str">
            <v>TERMINAL BLOCK_3PHASE</v>
          </cell>
          <cell r="H9700" t="str">
            <v>ELE256</v>
          </cell>
        </row>
        <row r="9701">
          <cell r="F9701" t="str">
            <v>DB65-00310C</v>
          </cell>
          <cell r="G9701" t="str">
            <v>TERMINAL BLOCK_COMM</v>
          </cell>
          <cell r="H9701" t="str">
            <v>ELE255</v>
          </cell>
        </row>
        <row r="9702">
          <cell r="F9702" t="str">
            <v>DB65-00291B</v>
          </cell>
          <cell r="G9702" t="str">
            <v>TERMINAL BLOCK</v>
          </cell>
          <cell r="H9702" t="str">
            <v>ELE254</v>
          </cell>
        </row>
        <row r="9703">
          <cell r="F9703" t="str">
            <v>DB65-00291A</v>
          </cell>
          <cell r="G9703" t="str">
            <v>TERMINAL BLOCK</v>
          </cell>
          <cell r="H9703" t="str">
            <v>ELE253</v>
          </cell>
        </row>
        <row r="9704">
          <cell r="F9704" t="str">
            <v>DB65-00232D</v>
          </cell>
          <cell r="G9704" t="str">
            <v>TERMINAL BLOCK</v>
          </cell>
          <cell r="H9704" t="str">
            <v>ELE252</v>
          </cell>
        </row>
        <row r="9705">
          <cell r="F9705" t="str">
            <v>DB65-00232B</v>
          </cell>
          <cell r="G9705" t="str">
            <v>TERMINAL BLOCK</v>
          </cell>
          <cell r="H9705" t="str">
            <v>ELE251</v>
          </cell>
        </row>
        <row r="9706">
          <cell r="F9706" t="str">
            <v>DB65-00179D</v>
          </cell>
          <cell r="G9706" t="str">
            <v>TERMINAL BLOCK</v>
          </cell>
          <cell r="H9706" t="str">
            <v>ELE250</v>
          </cell>
        </row>
        <row r="9707">
          <cell r="F9707" t="str">
            <v>DB65-00061G</v>
          </cell>
          <cell r="G9707" t="str">
            <v>TERMINAL BLOCK</v>
          </cell>
          <cell r="H9707" t="str">
            <v>ELE249</v>
          </cell>
        </row>
        <row r="9708">
          <cell r="F9708" t="str">
            <v>DB65-00004G</v>
          </cell>
          <cell r="G9708" t="str">
            <v>TERMINAL BLOCK</v>
          </cell>
          <cell r="H9708" t="str">
            <v>ELE247</v>
          </cell>
        </row>
        <row r="9709">
          <cell r="F9709" t="str">
            <v>DB65-00004F</v>
          </cell>
          <cell r="G9709" t="str">
            <v>TERMINAL BLOCK</v>
          </cell>
          <cell r="H9709" t="str">
            <v>ELE246</v>
          </cell>
        </row>
        <row r="9710">
          <cell r="F9710" t="str">
            <v>DB65-00004E</v>
          </cell>
          <cell r="G9710" t="str">
            <v>TERMINAL BLOCK</v>
          </cell>
          <cell r="H9710" t="str">
            <v>ELE245</v>
          </cell>
        </row>
        <row r="9711">
          <cell r="F9711" t="str">
            <v>DB65-00004D</v>
          </cell>
          <cell r="G9711" t="str">
            <v>TERMINAL BLOCK</v>
          </cell>
          <cell r="H9711" t="str">
            <v>ELE244</v>
          </cell>
        </row>
        <row r="9712">
          <cell r="F9712" t="str">
            <v>FUSE61TS250V 8A</v>
          </cell>
          <cell r="G9712" t="str">
            <v>FUSE</v>
          </cell>
          <cell r="H9712" t="str">
            <v>ELE243</v>
          </cell>
        </row>
        <row r="9713">
          <cell r="F9713" t="str">
            <v>ASR1/2W 10M/RESISTOR</v>
          </cell>
          <cell r="G9713" t="str">
            <v>RESISTANCE</v>
          </cell>
          <cell r="H9713" t="str">
            <v>ELE237</v>
          </cell>
        </row>
        <row r="9714">
          <cell r="F9714" t="str">
            <v>600v 0.22UF</v>
          </cell>
          <cell r="G9714" t="str">
            <v>CONDENSER</v>
          </cell>
          <cell r="H9714" t="str">
            <v>ELE236</v>
          </cell>
        </row>
        <row r="9715">
          <cell r="F9715" t="str">
            <v>4712-001047</v>
          </cell>
          <cell r="G9715" t="str">
            <v>THERMOSTAT</v>
          </cell>
          <cell r="H9715" t="str">
            <v>ELE235</v>
          </cell>
        </row>
        <row r="9716">
          <cell r="F9716" t="str">
            <v>1W 680R</v>
          </cell>
          <cell r="G9716" t="str">
            <v>RESISTANCE MOR1W 680R</v>
          </cell>
          <cell r="H9716" t="str">
            <v>ELE230</v>
          </cell>
        </row>
        <row r="9717">
          <cell r="F9717" t="str">
            <v>DA41-00519Q</v>
          </cell>
          <cell r="G9717" t="str">
            <v>PBA-LED</v>
          </cell>
          <cell r="H9717" t="str">
            <v>ELE228</v>
          </cell>
        </row>
        <row r="9718">
          <cell r="F9718" t="str">
            <v>DA34-00043H</v>
          </cell>
          <cell r="G9718" t="str">
            <v>MS-406-SS-43H</v>
          </cell>
          <cell r="H9718" t="str">
            <v>ELE227</v>
          </cell>
        </row>
        <row r="9719">
          <cell r="F9719" t="str">
            <v>DA47-00195T</v>
          </cell>
          <cell r="G9719" t="str">
            <v>HEATER</v>
          </cell>
          <cell r="H9719" t="str">
            <v>ELE226</v>
          </cell>
        </row>
        <row r="9720">
          <cell r="F9720" t="str">
            <v>DA47-00195S</v>
          </cell>
          <cell r="G9720" t="str">
            <v>HEATER</v>
          </cell>
          <cell r="H9720" t="str">
            <v>ELE223</v>
          </cell>
        </row>
        <row r="9721">
          <cell r="F9721" t="str">
            <v>DA47-00287E</v>
          </cell>
          <cell r="G9721" t="str">
            <v>HEATER</v>
          </cell>
          <cell r="H9721" t="str">
            <v>ELE222</v>
          </cell>
        </row>
        <row r="9722">
          <cell r="F9722" t="str">
            <v>FUSE 20A/250V</v>
          </cell>
          <cell r="G9722" t="str">
            <v>FUSE</v>
          </cell>
          <cell r="H9722" t="str">
            <v>ELE221</v>
          </cell>
        </row>
        <row r="9723">
          <cell r="F9723" t="str">
            <v>SJ24-03-036</v>
          </cell>
          <cell r="G9723" t="str">
            <v>CABLE</v>
          </cell>
          <cell r="H9723" t="str">
            <v>ELE0433</v>
          </cell>
        </row>
        <row r="9724">
          <cell r="F9724" t="str">
            <v>SJ24-03-035</v>
          </cell>
          <cell r="G9724" t="str">
            <v>CABLE</v>
          </cell>
          <cell r="H9724" t="str">
            <v>ELE0432</v>
          </cell>
        </row>
        <row r="9725">
          <cell r="F9725" t="str">
            <v>SJ24-03-034</v>
          </cell>
          <cell r="G9725" t="str">
            <v>CABLE</v>
          </cell>
          <cell r="H9725" t="str">
            <v>ELE0431</v>
          </cell>
        </row>
        <row r="9726">
          <cell r="F9726" t="str">
            <v>DA96-01560B-HF</v>
          </cell>
          <cell r="G9726" t="str">
            <v>CLUSTER HALF ASSY</v>
          </cell>
          <cell r="H9726" t="str">
            <v>ELE0430</v>
          </cell>
        </row>
        <row r="9727">
          <cell r="F9727" t="str">
            <v>DA96-01560A-HF</v>
          </cell>
          <cell r="G9727" t="str">
            <v>CLUSTER HALF ASSY</v>
          </cell>
          <cell r="H9727" t="str">
            <v>ELE0429</v>
          </cell>
        </row>
        <row r="9728">
          <cell r="F9728" t="str">
            <v>30024032A</v>
          </cell>
          <cell r="G9728" t="str">
            <v>THERMAL FUSE</v>
          </cell>
          <cell r="H9728" t="str">
            <v>ELE0428</v>
          </cell>
        </row>
        <row r="9729">
          <cell r="F9729" t="str">
            <v>SW-124T-228C</v>
          </cell>
          <cell r="G9729" t="str">
            <v>FUSE</v>
          </cell>
          <cell r="H9729" t="str">
            <v>ELE0427</v>
          </cell>
        </row>
        <row r="9730">
          <cell r="F9730" t="str">
            <v>DJ81-00389A</v>
          </cell>
          <cell r="G9730" t="str">
            <v>Battery JIG(HASS Converter C)</v>
          </cell>
          <cell r="H9730" t="str">
            <v>ELE0426</v>
          </cell>
        </row>
        <row r="9731">
          <cell r="F9731" t="str">
            <v>DJ81-00388A</v>
          </cell>
          <cell r="G9731" t="str">
            <v>Battery JIG(FULL KIT)</v>
          </cell>
          <cell r="H9731" t="str">
            <v>ELE0425</v>
          </cell>
        </row>
        <row r="9732">
          <cell r="F9732" t="str">
            <v>DJ81-00387A</v>
          </cell>
          <cell r="G9732" t="str">
            <v>Battery JIG(WVC Connector PBA)</v>
          </cell>
          <cell r="H9732" t="str">
            <v>ELE0424</v>
          </cell>
        </row>
        <row r="9733">
          <cell r="F9733" t="str">
            <v>DJ81-00386A</v>
          </cell>
          <cell r="G9733" t="str">
            <v>Battery JIG(RVC Connector PBA)</v>
          </cell>
          <cell r="H9733" t="str">
            <v>ELE0423</v>
          </cell>
        </row>
        <row r="9734">
          <cell r="F9734" t="str">
            <v>SJ23-03-054</v>
          </cell>
          <cell r="G9734" t="str">
            <v>CABLE (CAMERA &amp; USB)</v>
          </cell>
          <cell r="H9734" t="str">
            <v>ELE0422</v>
          </cell>
        </row>
        <row r="9735">
          <cell r="F9735" t="str">
            <v>SJ23-03-053</v>
          </cell>
          <cell r="G9735" t="str">
            <v>CABLE (CAMERA &amp; USB)</v>
          </cell>
          <cell r="H9735" t="str">
            <v>ELE0421</v>
          </cell>
        </row>
        <row r="9736">
          <cell r="F9736" t="str">
            <v>SJ23-03-052</v>
          </cell>
          <cell r="G9736" t="str">
            <v>CABLE (CAMERA &amp; USB)</v>
          </cell>
          <cell r="H9736" t="str">
            <v>ELE0420</v>
          </cell>
        </row>
        <row r="9737">
          <cell r="F9737" t="str">
            <v>SJ21-03-019</v>
          </cell>
          <cell r="G9737" t="str">
            <v>CABLE (CAMERA &amp; USB)</v>
          </cell>
          <cell r="H9737" t="str">
            <v>ELE0419</v>
          </cell>
        </row>
        <row r="9738">
          <cell r="F9738" t="str">
            <v>DA32-00006P-2</v>
          </cell>
          <cell r="G9738" t="str">
            <v>DK SENSOR</v>
          </cell>
          <cell r="H9738" t="str">
            <v>ELE0418</v>
          </cell>
        </row>
        <row r="9739">
          <cell r="F9739" t="str">
            <v>DA96-01163W</v>
          </cell>
          <cell r="G9739" t="str">
            <v>ASSY-RELAY PTC</v>
          </cell>
          <cell r="H9739" t="str">
            <v>ELE0417</v>
          </cell>
        </row>
        <row r="9740">
          <cell r="F9740" t="str">
            <v>SJ21-03-002</v>
          </cell>
          <cell r="G9740" t="str">
            <v>CABLE (MIC WIRE)</v>
          </cell>
          <cell r="H9740" t="str">
            <v>ELE0416</v>
          </cell>
        </row>
        <row r="9741">
          <cell r="F9741" t="str">
            <v>SJ19-03-070</v>
          </cell>
          <cell r="G9741" t="str">
            <v>CABLE (CAMERA &amp; USB)</v>
          </cell>
          <cell r="H9741" t="str">
            <v>ELE0403</v>
          </cell>
        </row>
        <row r="9742">
          <cell r="F9742" t="str">
            <v>FUSE 250V 15A</v>
          </cell>
          <cell r="G9742" t="str">
            <v>FUSE</v>
          </cell>
          <cell r="H9742" t="str">
            <v>ELE0402</v>
          </cell>
        </row>
        <row r="9743">
          <cell r="F9743" t="str">
            <v>3722-003214</v>
          </cell>
          <cell r="G9743" t="str">
            <v>DC-JACK</v>
          </cell>
          <cell r="H9743" t="str">
            <v>ELE0401</v>
          </cell>
        </row>
        <row r="9744">
          <cell r="F9744" t="str">
            <v>SJ20-03-007</v>
          </cell>
          <cell r="G9744" t="str">
            <v>CABLE (MIC WIRE)</v>
          </cell>
          <cell r="H9744" t="str">
            <v>ELE0400</v>
          </cell>
        </row>
        <row r="9745">
          <cell r="F9745" t="str">
            <v>SJ19-03-074</v>
          </cell>
          <cell r="G9745" t="str">
            <v>CABLE (CAMERA &amp; USB)</v>
          </cell>
          <cell r="H9745" t="str">
            <v>ELE0399</v>
          </cell>
        </row>
        <row r="9746">
          <cell r="F9746" t="str">
            <v>SJ19-03-071</v>
          </cell>
          <cell r="G9746" t="str">
            <v>CABLE (CAMERA &amp; USB)</v>
          </cell>
          <cell r="H9746" t="str">
            <v>ELE0398</v>
          </cell>
        </row>
        <row r="9747">
          <cell r="F9747" t="str">
            <v>DA81-06848A</v>
          </cell>
          <cell r="G9747" t="str">
            <v>NEW HASS CONVERTER C,TY</v>
          </cell>
          <cell r="H9747" t="str">
            <v>ELE0393</v>
          </cell>
        </row>
        <row r="9748">
          <cell r="F9748" t="str">
            <v>DA32-10104K-1 YEL</v>
          </cell>
          <cell r="G9748" t="str">
            <v>DK SENSOR</v>
          </cell>
          <cell r="H9748" t="str">
            <v>ELE0392</v>
          </cell>
        </row>
        <row r="9749">
          <cell r="F9749" t="str">
            <v>ASR 1W-J 1M</v>
          </cell>
          <cell r="G9749" t="str">
            <v>RESISTANCE</v>
          </cell>
          <cell r="H9749" t="str">
            <v>ELE0391</v>
          </cell>
        </row>
        <row r="9750">
          <cell r="F9750" t="str">
            <v>0313002.MXP(250V 2A)</v>
          </cell>
          <cell r="G9750" t="str">
            <v>FUSE</v>
          </cell>
          <cell r="H9750" t="str">
            <v>ELE0390</v>
          </cell>
        </row>
        <row r="9751">
          <cell r="F9751" t="str">
            <v>0313001.MXP(250V 1A)</v>
          </cell>
          <cell r="G9751" t="str">
            <v>FUSE</v>
          </cell>
          <cell r="H9751" t="str">
            <v>ELE0327</v>
          </cell>
        </row>
        <row r="9752">
          <cell r="F9752" t="str">
            <v>SJ17-03-004</v>
          </cell>
          <cell r="G9752" t="str">
            <v>CABLE (CAMERA &amp; USB)</v>
          </cell>
          <cell r="H9752" t="str">
            <v>ELE0326</v>
          </cell>
        </row>
        <row r="9753">
          <cell r="F9753" t="str">
            <v>SJ16-08-349</v>
          </cell>
          <cell r="G9753" t="str">
            <v>CABLE (CAMERA &amp; USB)</v>
          </cell>
          <cell r="H9753" t="str">
            <v>ELE0325</v>
          </cell>
        </row>
        <row r="9754">
          <cell r="F9754" t="str">
            <v>SJ16-08-539</v>
          </cell>
          <cell r="G9754" t="str">
            <v>CABLE (CAMERA &amp; USB)</v>
          </cell>
          <cell r="H9754" t="str">
            <v>ELE0324</v>
          </cell>
        </row>
        <row r="9755">
          <cell r="F9755">
            <v>601480000000</v>
          </cell>
          <cell r="G9755" t="str">
            <v>SENSOR</v>
          </cell>
          <cell r="H9755" t="str">
            <v>ELE0323</v>
          </cell>
        </row>
        <row r="9756">
          <cell r="F9756">
            <v>601480000000</v>
          </cell>
          <cell r="G9756" t="str">
            <v>SENSOR</v>
          </cell>
          <cell r="H9756" t="str">
            <v>ELE0322</v>
          </cell>
        </row>
        <row r="9757">
          <cell r="F9757" t="str">
            <v>DA96-01060C</v>
          </cell>
          <cell r="G9757" t="str">
            <v>LED-LAMP</v>
          </cell>
          <cell r="H9757" t="str">
            <v>ELE0321</v>
          </cell>
        </row>
        <row r="9758">
          <cell r="F9758" t="str">
            <v>2W 62KΩ</v>
          </cell>
          <cell r="G9758" t="str">
            <v>RESISTANCE</v>
          </cell>
          <cell r="H9758" t="str">
            <v>ELE0320</v>
          </cell>
        </row>
        <row r="9759">
          <cell r="F9759" t="str">
            <v>DA96-01074A</v>
          </cell>
          <cell r="G9759" t="str">
            <v>FFC CABLE</v>
          </cell>
          <cell r="H9759" t="str">
            <v>ELE0319</v>
          </cell>
        </row>
        <row r="9760">
          <cell r="F9760" t="str">
            <v>DA96-01119B</v>
          </cell>
          <cell r="G9760" t="str">
            <v>LED-LAMP</v>
          </cell>
          <cell r="H9760" t="str">
            <v>ELE0295</v>
          </cell>
        </row>
        <row r="9761">
          <cell r="F9761" t="str">
            <v>DA96-01119A</v>
          </cell>
          <cell r="G9761" t="str">
            <v>LED-LAMP</v>
          </cell>
          <cell r="H9761" t="str">
            <v>ELE0294</v>
          </cell>
        </row>
        <row r="9762">
          <cell r="F9762" t="str">
            <v>DA32-10109Z-1</v>
          </cell>
          <cell r="G9762" t="str">
            <v>DK SENSOR</v>
          </cell>
          <cell r="H9762" t="str">
            <v>ELE0293</v>
          </cell>
        </row>
        <row r="9763">
          <cell r="F9763" t="str">
            <v>DA32-00011M-1</v>
          </cell>
          <cell r="G9763" t="str">
            <v>DK SENSOR</v>
          </cell>
          <cell r="H9763" t="str">
            <v>ELE0292</v>
          </cell>
        </row>
        <row r="9764">
          <cell r="F9764" t="str">
            <v>DA32-00006P-1</v>
          </cell>
          <cell r="G9764" t="str">
            <v>DK SENSOR</v>
          </cell>
          <cell r="H9764" t="str">
            <v>ELE0291</v>
          </cell>
        </row>
        <row r="9765">
          <cell r="F9765" t="str">
            <v>DA41-00519V</v>
          </cell>
          <cell r="G9765" t="str">
            <v>PBA-LED</v>
          </cell>
          <cell r="H9765" t="str">
            <v>ELE0290</v>
          </cell>
        </row>
        <row r="9766">
          <cell r="F9766" t="str">
            <v>152 CT TS-16W(2.0)L100</v>
          </cell>
          <cell r="G9766" t="str">
            <v>ACCT SENSOR</v>
          </cell>
          <cell r="H9766" t="str">
            <v>ELE0289</v>
          </cell>
        </row>
        <row r="9767">
          <cell r="F9767" t="str">
            <v>DA96-01043A</v>
          </cell>
          <cell r="G9767" t="str">
            <v>FFC CABLE</v>
          </cell>
          <cell r="H9767" t="str">
            <v>ELE0288</v>
          </cell>
        </row>
        <row r="9768">
          <cell r="F9768" t="str">
            <v>DA96-01073A</v>
          </cell>
          <cell r="G9768" t="str">
            <v>FFC CABLE</v>
          </cell>
          <cell r="H9768" t="str">
            <v>ELE0286</v>
          </cell>
        </row>
        <row r="9769">
          <cell r="F9769" t="str">
            <v>DA96-01072A</v>
          </cell>
          <cell r="G9769" t="str">
            <v>FFC CABLE</v>
          </cell>
          <cell r="H9769" t="str">
            <v>ELE0285</v>
          </cell>
        </row>
        <row r="9770">
          <cell r="F9770" t="str">
            <v>DA96-01071A</v>
          </cell>
          <cell r="G9770" t="str">
            <v>FFC CABLE</v>
          </cell>
          <cell r="H9770" t="str">
            <v>ELE0284</v>
          </cell>
        </row>
        <row r="9771">
          <cell r="F9771" t="str">
            <v>DA96-01070A</v>
          </cell>
          <cell r="G9771" t="str">
            <v>FFC CABLE</v>
          </cell>
          <cell r="H9771" t="str">
            <v>ELE0283</v>
          </cell>
        </row>
        <row r="9772">
          <cell r="F9772" t="str">
            <v>BF220-JB</v>
          </cell>
          <cell r="G9772" t="str">
            <v>OLP</v>
          </cell>
          <cell r="H9772" t="str">
            <v>ELE0282</v>
          </cell>
        </row>
        <row r="9773">
          <cell r="F9773" t="str">
            <v>MRA12439</v>
          </cell>
          <cell r="G9773" t="str">
            <v>OLP</v>
          </cell>
          <cell r="H9773" t="str">
            <v>ELE0281</v>
          </cell>
        </row>
        <row r="9774">
          <cell r="F9774" t="str">
            <v>DA41-00519B</v>
          </cell>
          <cell r="G9774" t="str">
            <v>PBA-LED</v>
          </cell>
          <cell r="H9774" t="str">
            <v>ELE0280</v>
          </cell>
        </row>
        <row r="9775">
          <cell r="F9775" t="str">
            <v>DA35-00129C</v>
          </cell>
          <cell r="G9775" t="str">
            <v>RELAY PTC</v>
          </cell>
          <cell r="H9775" t="str">
            <v>ELE0279</v>
          </cell>
        </row>
        <row r="9776">
          <cell r="F9776" t="str">
            <v>DA35-00129B</v>
          </cell>
          <cell r="G9776" t="str">
            <v>RELAY PTC</v>
          </cell>
          <cell r="H9776" t="str">
            <v>ELE0278</v>
          </cell>
        </row>
        <row r="9777">
          <cell r="F9777" t="str">
            <v>N61 250V 8A</v>
          </cell>
          <cell r="G9777" t="str">
            <v>FUSE</v>
          </cell>
          <cell r="H9777" t="str">
            <v>ELE0277</v>
          </cell>
        </row>
        <row r="9778">
          <cell r="F9778" t="str">
            <v>T502FW-3100C</v>
          </cell>
          <cell r="G9778" t="str">
            <v>SENSOR</v>
          </cell>
          <cell r="H9778" t="str">
            <v>ELE0276</v>
          </cell>
        </row>
        <row r="9779">
          <cell r="F9779" t="str">
            <v>DA32-10109Z</v>
          </cell>
          <cell r="G9779" t="str">
            <v>DK SENSOR</v>
          </cell>
          <cell r="H9779" t="str">
            <v>ELE0275</v>
          </cell>
        </row>
        <row r="9780">
          <cell r="F9780" t="str">
            <v>DA47-00451F</v>
          </cell>
          <cell r="G9780" t="str">
            <v>HEATER</v>
          </cell>
          <cell r="H9780" t="str">
            <v>ELE0274</v>
          </cell>
        </row>
        <row r="9781">
          <cell r="F9781" t="str">
            <v>DA41-00519P</v>
          </cell>
          <cell r="G9781" t="str">
            <v>PBA-LED</v>
          </cell>
          <cell r="H9781" t="str">
            <v>ELE0273</v>
          </cell>
        </row>
        <row r="9782">
          <cell r="F9782" t="str">
            <v>DA47-00451A</v>
          </cell>
          <cell r="G9782" t="str">
            <v>HEATER</v>
          </cell>
          <cell r="H9782" t="str">
            <v>ELE0272</v>
          </cell>
        </row>
        <row r="9783">
          <cell r="F9783" t="str">
            <v>DA47-00287P</v>
          </cell>
          <cell r="G9783" t="str">
            <v>HEATER</v>
          </cell>
          <cell r="H9783" t="str">
            <v>ELE0271</v>
          </cell>
        </row>
        <row r="9784">
          <cell r="F9784" t="str">
            <v>DA47-00451E</v>
          </cell>
          <cell r="G9784" t="str">
            <v>HEATER</v>
          </cell>
          <cell r="H9784" t="str">
            <v>ELE0270</v>
          </cell>
        </row>
        <row r="9785">
          <cell r="F9785" t="str">
            <v>DA47-00451D</v>
          </cell>
          <cell r="G9785" t="str">
            <v>HEATER</v>
          </cell>
          <cell r="H9785" t="str">
            <v>ELE0269</v>
          </cell>
        </row>
        <row r="9786">
          <cell r="F9786" t="str">
            <v>DA47-00195Q</v>
          </cell>
          <cell r="G9786" t="str">
            <v>HEATER</v>
          </cell>
          <cell r="H9786" t="str">
            <v>ELE0268</v>
          </cell>
        </row>
        <row r="9787">
          <cell r="F9787" t="str">
            <v>DA32-10104P</v>
          </cell>
          <cell r="G9787" t="str">
            <v>DK SENSOR</v>
          </cell>
          <cell r="H9787" t="str">
            <v>ELE0267</v>
          </cell>
        </row>
        <row r="9788">
          <cell r="F9788" t="str">
            <v>DA32-00011P</v>
          </cell>
          <cell r="G9788" t="str">
            <v>DK SENSOR</v>
          </cell>
          <cell r="H9788" t="str">
            <v>ELE0266</v>
          </cell>
        </row>
        <row r="9789">
          <cell r="F9789" t="str">
            <v>DA47-00451B</v>
          </cell>
          <cell r="G9789" t="str">
            <v>HEATER</v>
          </cell>
          <cell r="H9789" t="str">
            <v>ELE0265</v>
          </cell>
        </row>
        <row r="9790">
          <cell r="F9790" t="str">
            <v>DA47-00287N</v>
          </cell>
          <cell r="G9790" t="str">
            <v>HEATER</v>
          </cell>
          <cell r="H9790" t="str">
            <v>ELE0264</v>
          </cell>
        </row>
        <row r="9791">
          <cell r="F9791" t="str">
            <v>DA96-00496M</v>
          </cell>
          <cell r="G9791" t="str">
            <v>RELAY PTC</v>
          </cell>
          <cell r="H9791" t="str">
            <v>ELE0263</v>
          </cell>
        </row>
        <row r="9792">
          <cell r="F9792" t="str">
            <v>DA96-00496L</v>
          </cell>
          <cell r="G9792" t="str">
            <v>RELAY PTC</v>
          </cell>
          <cell r="H9792" t="str">
            <v>ELE0262</v>
          </cell>
        </row>
        <row r="9793">
          <cell r="F9793" t="str">
            <v>DA47-00451C</v>
          </cell>
          <cell r="G9793" t="str">
            <v>HEATER</v>
          </cell>
          <cell r="H9793" t="str">
            <v>ELE0261</v>
          </cell>
        </row>
        <row r="9794">
          <cell r="F9794" t="str">
            <v>DA32-00006Y</v>
          </cell>
          <cell r="G9794" t="str">
            <v>SENSOR</v>
          </cell>
          <cell r="H9794" t="str">
            <v>ELE0260</v>
          </cell>
        </row>
        <row r="9795">
          <cell r="F9795" t="str">
            <v>DA34-00004E</v>
          </cell>
          <cell r="G9795" t="str">
            <v>RELAY PTC</v>
          </cell>
          <cell r="H9795" t="str">
            <v>ELE0259</v>
          </cell>
        </row>
        <row r="9796">
          <cell r="F9796" t="str">
            <v>SOLDER WIRE</v>
          </cell>
          <cell r="G9796" t="str">
            <v>SOLDER WIRE</v>
          </cell>
          <cell r="H9796" t="str">
            <v>ELE0258</v>
          </cell>
        </row>
        <row r="9797">
          <cell r="F9797" t="str">
            <v>DA32-10104T-1</v>
          </cell>
          <cell r="G9797" t="str">
            <v>DK SENSOR</v>
          </cell>
          <cell r="H9797" t="str">
            <v>ELE0257</v>
          </cell>
        </row>
        <row r="9798">
          <cell r="F9798" t="str">
            <v>DA32-10109B-1YEL</v>
          </cell>
          <cell r="G9798" t="str">
            <v>DK SENSOR</v>
          </cell>
          <cell r="H9798" t="str">
            <v>ELE0256</v>
          </cell>
        </row>
        <row r="9799">
          <cell r="F9799" t="str">
            <v>BEAD3560</v>
          </cell>
          <cell r="G9799" t="str">
            <v>BEAD-AXIAL BFS3560AOL</v>
          </cell>
          <cell r="H9799" t="str">
            <v>ELE0255</v>
          </cell>
        </row>
        <row r="9800">
          <cell r="F9800" t="str">
            <v>CK01-H160</v>
          </cell>
          <cell r="G9800" t="str">
            <v>HAN BACK</v>
          </cell>
          <cell r="H9800" t="str">
            <v>ELE0253</v>
          </cell>
        </row>
        <row r="9801">
          <cell r="F9801" t="str">
            <v>DA47-00287J</v>
          </cell>
          <cell r="G9801" t="str">
            <v>HEATER</v>
          </cell>
          <cell r="H9801" t="str">
            <v>ELE0252</v>
          </cell>
        </row>
        <row r="9802">
          <cell r="F9802" t="str">
            <v>DA47-00287L</v>
          </cell>
          <cell r="G9802" t="str">
            <v>HEATER</v>
          </cell>
          <cell r="H9802" t="str">
            <v>ELE0251</v>
          </cell>
        </row>
        <row r="9803">
          <cell r="F9803" t="str">
            <v>DA47-00195Z</v>
          </cell>
          <cell r="G9803" t="str">
            <v>HEATER</v>
          </cell>
          <cell r="H9803" t="str">
            <v>ELE0250</v>
          </cell>
        </row>
        <row r="9804">
          <cell r="F9804" t="str">
            <v>DA47-00195Y</v>
          </cell>
          <cell r="G9804" t="str">
            <v>HEATER</v>
          </cell>
          <cell r="H9804" t="str">
            <v>ELE0249</v>
          </cell>
        </row>
        <row r="9805">
          <cell r="F9805" t="str">
            <v>DA47-00287K</v>
          </cell>
          <cell r="G9805" t="str">
            <v>HEATER</v>
          </cell>
          <cell r="H9805" t="str">
            <v>ELE0248</v>
          </cell>
        </row>
        <row r="9806">
          <cell r="F9806" t="str">
            <v>DA47-00287H</v>
          </cell>
          <cell r="G9806" t="str">
            <v>HEATER</v>
          </cell>
          <cell r="H9806" t="str">
            <v>ELE0247</v>
          </cell>
        </row>
        <row r="9807">
          <cell r="F9807" t="str">
            <v>DA47-00195X</v>
          </cell>
          <cell r="G9807" t="str">
            <v>HEATER</v>
          </cell>
          <cell r="H9807" t="str">
            <v>ELE0245</v>
          </cell>
        </row>
        <row r="9808">
          <cell r="F9808" t="str">
            <v>DA32-10104T</v>
          </cell>
          <cell r="G9808" t="str">
            <v>DK SENSOR</v>
          </cell>
          <cell r="H9808" t="str">
            <v>ELE0244</v>
          </cell>
        </row>
        <row r="9809">
          <cell r="F9809" t="str">
            <v>DA34-00004B</v>
          </cell>
          <cell r="G9809" t="str">
            <v>RELAY PTC</v>
          </cell>
          <cell r="H9809" t="str">
            <v>ELE0242</v>
          </cell>
        </row>
        <row r="9810">
          <cell r="F9810" t="str">
            <v>4712-001061(TI KOR)</v>
          </cell>
          <cell r="G9810" t="str">
            <v>THERMOSTAT(135)</v>
          </cell>
          <cell r="H9810" t="str">
            <v>ELE0241</v>
          </cell>
        </row>
        <row r="9811">
          <cell r="F9811" t="str">
            <v>2301-001510(680nF 275V)</v>
          </cell>
          <cell r="G9811" t="str">
            <v>CAPACITOR</v>
          </cell>
          <cell r="H9811" t="str">
            <v>ELE0240</v>
          </cell>
        </row>
        <row r="9812">
          <cell r="F9812" t="str">
            <v>DA47-00195U</v>
          </cell>
          <cell r="G9812" t="str">
            <v>HEATER</v>
          </cell>
          <cell r="H9812" t="str">
            <v>ELE0236</v>
          </cell>
        </row>
        <row r="9813">
          <cell r="F9813" t="str">
            <v>600V 0.24UF</v>
          </cell>
          <cell r="G9813" t="str">
            <v>CONDENSER</v>
          </cell>
          <cell r="H9813" t="str">
            <v>ELE0235</v>
          </cell>
        </row>
        <row r="9814">
          <cell r="F9814" t="str">
            <v>DA34-00004D</v>
          </cell>
          <cell r="G9814" t="str">
            <v>RELAY PTC</v>
          </cell>
          <cell r="H9814" t="str">
            <v>ELE0233</v>
          </cell>
        </row>
        <row r="9815">
          <cell r="F9815" t="str">
            <v>DA34-00004C</v>
          </cell>
          <cell r="G9815" t="str">
            <v>RELAY PTC</v>
          </cell>
          <cell r="H9815" t="str">
            <v>ELE0231</v>
          </cell>
        </row>
        <row r="9816">
          <cell r="F9816" t="str">
            <v>DA34-10003S</v>
          </cell>
          <cell r="G9816" t="str">
            <v>RELAY PTC</v>
          </cell>
          <cell r="H9816" t="str">
            <v>ELE0230</v>
          </cell>
        </row>
        <row r="9817">
          <cell r="F9817" t="str">
            <v>DA35-00099G</v>
          </cell>
          <cell r="G9817" t="str">
            <v>RELAY PTC</v>
          </cell>
          <cell r="H9817" t="str">
            <v>ELE0229</v>
          </cell>
        </row>
        <row r="9818">
          <cell r="F9818" t="str">
            <v>DA47-00287F</v>
          </cell>
          <cell r="G9818" t="str">
            <v>HEATER</v>
          </cell>
          <cell r="H9818" t="str">
            <v>ELE0227</v>
          </cell>
        </row>
        <row r="9819">
          <cell r="F9819" t="str">
            <v>DJ47-00005F</v>
          </cell>
          <cell r="G9819" t="str">
            <v>LAMP HOLDER</v>
          </cell>
          <cell r="H9819" t="str">
            <v>ELE0217</v>
          </cell>
        </row>
        <row r="9820">
          <cell r="F9820" t="str">
            <v>DA96-00496J</v>
          </cell>
          <cell r="G9820" t="str">
            <v>ASSY-RELAY PTC</v>
          </cell>
          <cell r="H9820" t="str">
            <v>ELE0212</v>
          </cell>
        </row>
        <row r="9821">
          <cell r="F9821" t="str">
            <v>DA96-00496D</v>
          </cell>
          <cell r="G9821" t="str">
            <v>ASSY-RELAY PTC</v>
          </cell>
          <cell r="H9821" t="str">
            <v>ELE0211</v>
          </cell>
        </row>
        <row r="9822">
          <cell r="F9822" t="str">
            <v>DA96-00496H</v>
          </cell>
          <cell r="G9822" t="str">
            <v>ASSY-RELAY PTC</v>
          </cell>
          <cell r="H9822" t="str">
            <v>ELE0208</v>
          </cell>
        </row>
        <row r="9823">
          <cell r="F9823" t="str">
            <v>DA35-00099C</v>
          </cell>
          <cell r="G9823" t="str">
            <v>RELAY PTC</v>
          </cell>
          <cell r="H9823" t="str">
            <v>ELE0206</v>
          </cell>
        </row>
        <row r="9824">
          <cell r="F9824" t="str">
            <v>DA96-00496G</v>
          </cell>
          <cell r="G9824" t="str">
            <v>ASSY-RELAY PTC</v>
          </cell>
          <cell r="H9824" t="str">
            <v>ELE0201</v>
          </cell>
        </row>
        <row r="9825">
          <cell r="F9825" t="str">
            <v>DA63-00910A</v>
          </cell>
          <cell r="G9825" t="str">
            <v>GROMMET WIRE(SVETA)</v>
          </cell>
          <cell r="H9825" t="str">
            <v>ELE0200</v>
          </cell>
        </row>
        <row r="9826">
          <cell r="F9826" t="str">
            <v>600V 0.34uF</v>
          </cell>
          <cell r="G9826" t="str">
            <v>CONDENSER</v>
          </cell>
          <cell r="H9826" t="str">
            <v>ELE0199</v>
          </cell>
        </row>
        <row r="9827">
          <cell r="F9827" t="str">
            <v>10X35</v>
          </cell>
          <cell r="G9827" t="str">
            <v>EASY DOOR PCB</v>
          </cell>
          <cell r="H9827" t="str">
            <v>ELE0198</v>
          </cell>
        </row>
        <row r="9828">
          <cell r="F9828" t="str">
            <v>2W 340R</v>
          </cell>
          <cell r="G9828" t="str">
            <v>RESISTANCE MOR2W J 340R/RESISTOR</v>
          </cell>
          <cell r="H9828" t="str">
            <v>ELE0197</v>
          </cell>
        </row>
        <row r="9829">
          <cell r="F9829" t="str">
            <v>DA96-00496F</v>
          </cell>
          <cell r="G9829" t="str">
            <v>ASSY-RELAY PTC</v>
          </cell>
          <cell r="H9829" t="str">
            <v>ELE0196</v>
          </cell>
        </row>
        <row r="9830">
          <cell r="F9830" t="str">
            <v>SOLDER BAR</v>
          </cell>
          <cell r="G9830" t="str">
            <v>SOLDER BAR</v>
          </cell>
          <cell r="H9830" t="str">
            <v>ELE0195</v>
          </cell>
        </row>
        <row r="9831">
          <cell r="F9831" t="str">
            <v>DA32-10104K YEL</v>
          </cell>
          <cell r="G9831" t="str">
            <v>DK SENSOR</v>
          </cell>
          <cell r="H9831" t="str">
            <v>ELE0194</v>
          </cell>
        </row>
        <row r="9832">
          <cell r="F9832" t="str">
            <v>DA62-01509A</v>
          </cell>
          <cell r="G9832" t="str">
            <v>SEAL-DOUBLE FACE CONVERTIBLE</v>
          </cell>
          <cell r="H9832" t="str">
            <v>ELE0191</v>
          </cell>
        </row>
        <row r="9833">
          <cell r="F9833" t="str">
            <v>DA62-00918A</v>
          </cell>
          <cell r="G9833" t="str">
            <v>SEAL FIXER DEODORIZER</v>
          </cell>
          <cell r="H9833" t="str">
            <v>ELE0190</v>
          </cell>
        </row>
        <row r="9834">
          <cell r="F9834" t="str">
            <v>2301-001848</v>
          </cell>
          <cell r="G9834" t="str">
            <v>C-FILM,LEAD; 5uF,450V</v>
          </cell>
          <cell r="H9834" t="str">
            <v>ELE0189</v>
          </cell>
        </row>
        <row r="9835">
          <cell r="F9835" t="str">
            <v>2301-001837(12uF/250V)</v>
          </cell>
          <cell r="G9835" t="str">
            <v>C-FILM,LEAD;12uF,-5 to +10,250V</v>
          </cell>
          <cell r="H9835" t="str">
            <v>ELE0188</v>
          </cell>
        </row>
        <row r="9836">
          <cell r="F9836" t="str">
            <v>3405-000197(DSA322)</v>
          </cell>
          <cell r="G9836" t="str">
            <v>MICRO S/W</v>
          </cell>
          <cell r="H9836" t="str">
            <v>ELE0186</v>
          </cell>
        </row>
        <row r="9837">
          <cell r="F9837" t="str">
            <v>2301-001695</v>
          </cell>
          <cell r="G9837" t="str">
            <v>C-FILM,LEAD;5uF,-5 to +10,350V</v>
          </cell>
          <cell r="H9837" t="str">
            <v>ELE0185</v>
          </cell>
        </row>
        <row r="9838">
          <cell r="F9838" t="str">
            <v>450V 0.68Fu</v>
          </cell>
          <cell r="G9838" t="str">
            <v>CONDENSER</v>
          </cell>
          <cell r="H9838" t="str">
            <v>ELE0178</v>
          </cell>
        </row>
        <row r="9839">
          <cell r="F9839" t="str">
            <v>1W 330R</v>
          </cell>
          <cell r="G9839" t="str">
            <v>RESISTANCE MOR1W J 330R/RESISTOR</v>
          </cell>
          <cell r="H9839" t="str">
            <v>ELE0177</v>
          </cell>
        </row>
        <row r="9840">
          <cell r="F9840" t="str">
            <v>46432-0001(NF-6012_NP)BLK</v>
          </cell>
          <cell r="G9840" t="str">
            <v>FUSE CASE</v>
          </cell>
          <cell r="H9840" t="str">
            <v>ELE0174</v>
          </cell>
        </row>
        <row r="9841">
          <cell r="F9841" t="str">
            <v>1M RESISTANCE</v>
          </cell>
          <cell r="G9841" t="str">
            <v>RESISTANCE</v>
          </cell>
          <cell r="H9841" t="str">
            <v>ELE0172</v>
          </cell>
        </row>
        <row r="9842">
          <cell r="F9842" t="str">
            <v>DA47-00195P</v>
          </cell>
          <cell r="G9842" t="str">
            <v>HEATER</v>
          </cell>
          <cell r="H9842" t="str">
            <v>ELE0171</v>
          </cell>
        </row>
        <row r="9843">
          <cell r="F9843" t="str">
            <v>DA32-00011V YEL</v>
          </cell>
          <cell r="G9843" t="str">
            <v>DK SENSOR</v>
          </cell>
          <cell r="H9843" t="str">
            <v>ELE0170</v>
          </cell>
        </row>
        <row r="9844">
          <cell r="F9844" t="str">
            <v>DA47-00195M</v>
          </cell>
          <cell r="G9844" t="str">
            <v>HEATER</v>
          </cell>
          <cell r="H9844" t="str">
            <v>ELE0169</v>
          </cell>
        </row>
        <row r="9845">
          <cell r="F9845" t="str">
            <v>DA32-00006Z</v>
          </cell>
          <cell r="G9845" t="str">
            <v>DK SENSOR</v>
          </cell>
          <cell r="H9845" t="str">
            <v>ELE0168</v>
          </cell>
        </row>
        <row r="9846">
          <cell r="F9846" t="str">
            <v>DA32-00006P</v>
          </cell>
          <cell r="G9846" t="str">
            <v>DK SENSOR</v>
          </cell>
          <cell r="H9846" t="str">
            <v>ELE0167</v>
          </cell>
        </row>
        <row r="9847">
          <cell r="F9847" t="str">
            <v>T6X18X40</v>
          </cell>
          <cell r="G9847" t="str">
            <v>Ferrite Magnet</v>
          </cell>
          <cell r="H9847" t="str">
            <v>ELE0161</v>
          </cell>
        </row>
        <row r="9848">
          <cell r="F9848" t="str">
            <v>435A CABLE</v>
          </cell>
          <cell r="G9848" t="str">
            <v>HEATER</v>
          </cell>
          <cell r="H9848" t="str">
            <v>ELE0160</v>
          </cell>
        </row>
        <row r="9849">
          <cell r="F9849" t="str">
            <v>DA47-00043M(PANNEL)</v>
          </cell>
          <cell r="G9849" t="str">
            <v>HEATER</v>
          </cell>
          <cell r="H9849" t="str">
            <v>ELE0158</v>
          </cell>
        </row>
        <row r="9850">
          <cell r="F9850" t="str">
            <v>DA47-00195K</v>
          </cell>
          <cell r="G9850" t="str">
            <v>HEATER</v>
          </cell>
          <cell r="H9850" t="str">
            <v>ELE0157</v>
          </cell>
        </row>
        <row r="9851">
          <cell r="F9851" t="str">
            <v>FUSE 250V 12A(6.35XL31.8)</v>
          </cell>
          <cell r="G9851" t="str">
            <v>FUSE(ORISE 65TL Littefuse 326)</v>
          </cell>
          <cell r="H9851" t="str">
            <v>ELE0156</v>
          </cell>
        </row>
        <row r="9852">
          <cell r="F9852" t="str">
            <v>DA47-00195H</v>
          </cell>
          <cell r="G9852" t="str">
            <v>HEATER</v>
          </cell>
          <cell r="H9852" t="str">
            <v>ELE0155</v>
          </cell>
        </row>
        <row r="9853">
          <cell r="F9853" t="str">
            <v>DA47-00195E(R-HOMBAR)</v>
          </cell>
          <cell r="G9853" t="str">
            <v>HEATER</v>
          </cell>
          <cell r="H9853" t="str">
            <v>ELE0154</v>
          </cell>
        </row>
        <row r="9854">
          <cell r="F9854" t="str">
            <v>DA47-00043K(PANNEL)</v>
          </cell>
          <cell r="G9854" t="str">
            <v>HEATER</v>
          </cell>
          <cell r="H9854" t="str">
            <v>ELE0153</v>
          </cell>
        </row>
        <row r="9855">
          <cell r="F9855" t="str">
            <v>DA47-00043H(F-HOME BAR)</v>
          </cell>
          <cell r="G9855" t="str">
            <v>HEATER</v>
          </cell>
          <cell r="H9855" t="str">
            <v>ELE0152</v>
          </cell>
        </row>
        <row r="9856">
          <cell r="F9856" t="str">
            <v>DJ47-00005C</v>
          </cell>
          <cell r="G9856" t="str">
            <v>LAMP HOLDER</v>
          </cell>
          <cell r="H9856" t="str">
            <v>ELE0148</v>
          </cell>
        </row>
        <row r="9857">
          <cell r="F9857" t="str">
            <v>DA47-00043G</v>
          </cell>
          <cell r="G9857" t="str">
            <v>HEATER</v>
          </cell>
          <cell r="H9857" t="str">
            <v>ELE0147</v>
          </cell>
        </row>
        <row r="9858">
          <cell r="F9858" t="str">
            <v>DJ47-00005B(12V LAMP)</v>
          </cell>
          <cell r="G9858" t="str">
            <v>LAMP HOLDER</v>
          </cell>
          <cell r="H9858" t="str">
            <v>ELE0144</v>
          </cell>
        </row>
        <row r="9859">
          <cell r="F9859" t="str">
            <v>DA32-00011M</v>
          </cell>
          <cell r="G9859" t="str">
            <v>DK SENSOR</v>
          </cell>
          <cell r="H9859" t="str">
            <v>ELE0137</v>
          </cell>
        </row>
        <row r="9860">
          <cell r="F9860" t="str">
            <v>DA32-00011K YEL</v>
          </cell>
          <cell r="G9860" t="str">
            <v>DK SENSOR</v>
          </cell>
          <cell r="H9860" t="str">
            <v>ELE0135</v>
          </cell>
        </row>
        <row r="9861">
          <cell r="F9861" t="str">
            <v>BBC P/J(DA61-01102A)</v>
          </cell>
          <cell r="G9861" t="str">
            <v>REINF HINGE UP</v>
          </cell>
          <cell r="H9861" t="str">
            <v>ELE0131</v>
          </cell>
        </row>
        <row r="9862">
          <cell r="F9862" t="str">
            <v>BBC PJT(DA61-01112A)</v>
          </cell>
          <cell r="G9862" t="str">
            <v>PLATE UPPER FRONT</v>
          </cell>
          <cell r="H9862" t="str">
            <v>ELE0129</v>
          </cell>
        </row>
        <row r="9863">
          <cell r="F9863" t="str">
            <v>DJ61-00066A(GEUMSAN)</v>
          </cell>
          <cell r="G9863" t="str">
            <v>HOLDER-THERMO</v>
          </cell>
          <cell r="H9863" t="str">
            <v>ELE0126</v>
          </cell>
        </row>
        <row r="9864">
          <cell r="F9864" t="str">
            <v>DJ47-00005A(12V LAMP)</v>
          </cell>
          <cell r="G9864" t="str">
            <v>LAMP HOLDER</v>
          </cell>
          <cell r="H9864" t="str">
            <v>ELE0121</v>
          </cell>
        </row>
        <row r="9865">
          <cell r="F9865" t="str">
            <v>DA32-10109V(210B) WHITE</v>
          </cell>
          <cell r="G9865" t="str">
            <v>DK SENSOR</v>
          </cell>
          <cell r="H9865" t="str">
            <v>ELE0110</v>
          </cell>
        </row>
        <row r="9866">
          <cell r="F9866" t="str">
            <v>DA32-00006K</v>
          </cell>
          <cell r="G9866" t="str">
            <v>DK SENSOR</v>
          </cell>
          <cell r="H9866" t="str">
            <v>ELE0107</v>
          </cell>
        </row>
        <row r="9867">
          <cell r="F9867" t="str">
            <v>150nF,275V 436D</v>
          </cell>
          <cell r="G9867" t="str">
            <v>CAPACITOR</v>
          </cell>
          <cell r="H9867" t="str">
            <v>ELE0101</v>
          </cell>
        </row>
        <row r="9868">
          <cell r="F9868" t="str">
            <v>0.1+120ohm 250V RXC BLK</v>
          </cell>
          <cell r="G9868" t="str">
            <v>NOISE FILTER</v>
          </cell>
          <cell r="H9868" t="str">
            <v>ELE0100</v>
          </cell>
        </row>
        <row r="9869">
          <cell r="F9869" t="str">
            <v>330nF,275V 436D</v>
          </cell>
          <cell r="G9869" t="str">
            <v>CAPACITOR</v>
          </cell>
          <cell r="H9869" t="str">
            <v>ELE0098</v>
          </cell>
        </row>
        <row r="9870">
          <cell r="F9870" t="str">
            <v>330nF,275V 435D</v>
          </cell>
          <cell r="G9870" t="str">
            <v>CAPACITOR</v>
          </cell>
          <cell r="H9870" t="str">
            <v>ELE0097</v>
          </cell>
        </row>
        <row r="9871">
          <cell r="F9871" t="str">
            <v>FUSE61TS250V 4A</v>
          </cell>
          <cell r="G9871" t="str">
            <v>FUSE</v>
          </cell>
          <cell r="H9871" t="str">
            <v>ELE0088</v>
          </cell>
        </row>
        <row r="9872">
          <cell r="F9872" t="str">
            <v>W30XL20</v>
          </cell>
          <cell r="G9872" t="str">
            <v>DOOR PCB</v>
          </cell>
          <cell r="H9872" t="str">
            <v>ELE0071</v>
          </cell>
        </row>
        <row r="9873">
          <cell r="F9873" t="str">
            <v>1W/680OHM</v>
          </cell>
          <cell r="G9873" t="str">
            <v>RESISTANCE</v>
          </cell>
          <cell r="H9873" t="str">
            <v>ELE0070</v>
          </cell>
        </row>
        <row r="9874">
          <cell r="F9874" t="str">
            <v>DA32-10109B YEL</v>
          </cell>
          <cell r="G9874" t="str">
            <v>DK SENSOR</v>
          </cell>
          <cell r="H9874" t="str">
            <v>ELE0069</v>
          </cell>
        </row>
        <row r="9875">
          <cell r="F9875" t="str">
            <v>DA96-00496E</v>
          </cell>
          <cell r="G9875" t="str">
            <v>ASSY-RELAY PTC</v>
          </cell>
          <cell r="H9875" t="str">
            <v>ELE0066</v>
          </cell>
        </row>
        <row r="9876">
          <cell r="F9876" t="str">
            <v>DJ31-00104A</v>
          </cell>
          <cell r="G9876" t="str">
            <v>MOTOR</v>
          </cell>
          <cell r="H9876" t="str">
            <v>ELE0064</v>
          </cell>
        </row>
        <row r="9877">
          <cell r="F9877" t="str">
            <v>DA35-00008X</v>
          </cell>
          <cell r="G9877" t="str">
            <v>RELAY-PROTECTOR O/L</v>
          </cell>
          <cell r="H9877" t="str">
            <v>ELE0061</v>
          </cell>
        </row>
        <row r="9878">
          <cell r="F9878" t="str">
            <v>DA35-00103B</v>
          </cell>
          <cell r="G9878" t="str">
            <v>RELAY-PTC:PTHTM100MD3(10ohm)</v>
          </cell>
          <cell r="H9878" t="str">
            <v>ELE0060</v>
          </cell>
        </row>
        <row r="9879">
          <cell r="F9879" t="str">
            <v>3405-001090</v>
          </cell>
          <cell r="G9879" t="str">
            <v>MICRO S/W</v>
          </cell>
          <cell r="H9879" t="str">
            <v>ELE0059</v>
          </cell>
        </row>
        <row r="9880">
          <cell r="F9880" t="str">
            <v>DA96-00270D</v>
          </cell>
          <cell r="G9880" t="str">
            <v>ASSY-RELAY PTC</v>
          </cell>
          <cell r="H9880" t="str">
            <v>ELE0058</v>
          </cell>
        </row>
        <row r="9881">
          <cell r="F9881" t="str">
            <v>DA96-00270C</v>
          </cell>
          <cell r="G9881" t="str">
            <v>ASSY-RELAY PTC</v>
          </cell>
          <cell r="H9881" t="str">
            <v>ELE0057</v>
          </cell>
        </row>
        <row r="9882">
          <cell r="F9882" t="str">
            <v>DA96-00270B</v>
          </cell>
          <cell r="G9882" t="str">
            <v>ASSY-RELAY PTC</v>
          </cell>
          <cell r="H9882" t="str">
            <v>ELE0056</v>
          </cell>
        </row>
        <row r="9883">
          <cell r="F9883" t="str">
            <v>DA34-10003M</v>
          </cell>
          <cell r="G9883" t="str">
            <v>PROTECTOR-4TM293SHBYY-53</v>
          </cell>
          <cell r="H9883" t="str">
            <v>ELE0053</v>
          </cell>
        </row>
        <row r="9884">
          <cell r="F9884" t="str">
            <v>DA96-00270A</v>
          </cell>
          <cell r="G9884" t="str">
            <v>ASSY-RELAY PTC</v>
          </cell>
          <cell r="H9884" t="str">
            <v>ELE0052</v>
          </cell>
        </row>
        <row r="9885">
          <cell r="F9885" t="str">
            <v>DJ47-00001A</v>
          </cell>
          <cell r="G9885" t="str">
            <v>THERMO PROTECTOR</v>
          </cell>
          <cell r="H9885" t="str">
            <v>ELE0038</v>
          </cell>
        </row>
        <row r="9886">
          <cell r="F9886" t="str">
            <v>4712-001019(TI KOR)</v>
          </cell>
          <cell r="G9886" t="str">
            <v>THERMOSTAT(110)</v>
          </cell>
          <cell r="H9886" t="str">
            <v>ELE0036</v>
          </cell>
        </row>
        <row r="9887">
          <cell r="F9887" t="str">
            <v>4712-001017(TI KOR)</v>
          </cell>
          <cell r="G9887" t="str">
            <v>THERMOSTAT(100)</v>
          </cell>
          <cell r="H9887" t="str">
            <v>ELE0035</v>
          </cell>
        </row>
        <row r="9888">
          <cell r="F9888" t="str">
            <v>DA34-10003U</v>
          </cell>
          <cell r="G9888" t="str">
            <v>PROTECTOR-4TM317RHBYY-53</v>
          </cell>
          <cell r="H9888" t="str">
            <v>ELE0029</v>
          </cell>
        </row>
        <row r="9889">
          <cell r="F9889" t="str">
            <v>DA32-10109Q(502AT)</v>
          </cell>
          <cell r="G9889" t="str">
            <v>EXE-THERMISTOR</v>
          </cell>
          <cell r="H9889" t="str">
            <v>ELE0027</v>
          </cell>
        </row>
        <row r="9890">
          <cell r="F9890" t="str">
            <v>DA34-10003V</v>
          </cell>
          <cell r="G9890" t="str">
            <v>PROTECTOR-4TM265RHBYY-53</v>
          </cell>
          <cell r="H9890" t="str">
            <v>ELE0023</v>
          </cell>
        </row>
        <row r="9891">
          <cell r="F9891" t="str">
            <v>91961-GX413-1</v>
          </cell>
          <cell r="G9891" t="str">
            <v>BATT CAP</v>
          </cell>
          <cell r="H9891" t="str">
            <v>E3200GX41B2</v>
          </cell>
        </row>
        <row r="9892">
          <cell r="F9892" t="str">
            <v>91961-GX412-1</v>
          </cell>
          <cell r="G9892" t="str">
            <v>BATT CAP</v>
          </cell>
          <cell r="H9892" t="str">
            <v>E3200GX41B1</v>
          </cell>
        </row>
        <row r="9893">
          <cell r="F9893" t="str">
            <v>91961-GX411-1</v>
          </cell>
          <cell r="G9893" t="str">
            <v>BATT CAP</v>
          </cell>
          <cell r="H9893" t="str">
            <v>E3200GX41B0</v>
          </cell>
        </row>
        <row r="9894">
          <cell r="F9894" t="str">
            <v>91978-GI010</v>
          </cell>
          <cell r="G9894" t="str">
            <v>BATT CAP</v>
          </cell>
          <cell r="H9894" t="str">
            <v>E3200GI01B2</v>
          </cell>
        </row>
        <row r="9895">
          <cell r="F9895" t="str">
            <v>91977-GI010</v>
          </cell>
          <cell r="G9895" t="str">
            <v>BATT CAP</v>
          </cell>
          <cell r="H9895" t="str">
            <v>E3200GI01B1</v>
          </cell>
        </row>
        <row r="9896">
          <cell r="F9896" t="str">
            <v>91976-GI010</v>
          </cell>
          <cell r="G9896" t="str">
            <v>BATT CAP</v>
          </cell>
          <cell r="H9896" t="str">
            <v>E3200GI01B0</v>
          </cell>
        </row>
        <row r="9897">
          <cell r="F9897" t="str">
            <v>CSDC-49232</v>
          </cell>
          <cell r="G9897" t="str">
            <v>CAP</v>
          </cell>
          <cell r="H9897" t="str">
            <v>E14LIF39F00</v>
          </cell>
        </row>
        <row r="9898">
          <cell r="F9898" t="str">
            <v>2109170-2</v>
          </cell>
          <cell r="G9898" t="str">
            <v>COVER PCU-94P AMP</v>
          </cell>
          <cell r="H9898" t="str">
            <v>E1494PCUB06</v>
          </cell>
        </row>
        <row r="9899">
          <cell r="F9899" t="str">
            <v>JIAHC-74H-4A-K</v>
          </cell>
          <cell r="G9899" t="str">
            <v>CAP ETC</v>
          </cell>
          <cell r="H9899" t="str">
            <v>E1474JIA1B3</v>
          </cell>
        </row>
        <row r="9900">
          <cell r="F9900" t="str">
            <v>9-2219072-2</v>
          </cell>
          <cell r="G9900" t="str">
            <v>COVER</v>
          </cell>
          <cell r="H9900" t="str">
            <v>E14460180B9</v>
          </cell>
        </row>
        <row r="9901">
          <cell r="F9901" t="str">
            <v>4-2219072-2</v>
          </cell>
          <cell r="G9901" t="str">
            <v>CONNECTOR COVER ETC</v>
          </cell>
          <cell r="H9901" t="str">
            <v>E14460180B2</v>
          </cell>
        </row>
        <row r="9902">
          <cell r="F9902" t="str">
            <v>6446-0014-2-000</v>
          </cell>
          <cell r="G9902" t="str">
            <v>CAP</v>
          </cell>
          <cell r="H9902" t="str">
            <v>E1442HYB0B0</v>
          </cell>
        </row>
        <row r="9903">
          <cell r="F9903" t="str">
            <v>1473255-4</v>
          </cell>
          <cell r="G9903" t="str">
            <v>CONNECTOR COVER</v>
          </cell>
          <cell r="H9903" t="str">
            <v>E1440MQSWB3</v>
          </cell>
        </row>
        <row r="9904">
          <cell r="F9904" t="str">
            <v>2188341-2</v>
          </cell>
          <cell r="G9904" t="str">
            <v>LOW VOLTAGE HOUSING</v>
          </cell>
          <cell r="H9904" t="str">
            <v>E1440EPB0B1</v>
          </cell>
        </row>
        <row r="9905">
          <cell r="F9905" t="str">
            <v>1-2219215-2</v>
          </cell>
          <cell r="G9905" t="str">
            <v>CONNECTOR COVER</v>
          </cell>
          <cell r="H9905" t="str">
            <v>E1438HYB0B1</v>
          </cell>
        </row>
        <row r="9906">
          <cell r="F9906" t="str">
            <v>2359781-2</v>
          </cell>
          <cell r="G9906" t="str">
            <v>CONNECTOR COVER</v>
          </cell>
          <cell r="H9906" t="str">
            <v>E1427TCU0B1</v>
          </cell>
        </row>
        <row r="9907">
          <cell r="F9907" t="str">
            <v>1897692-2</v>
          </cell>
          <cell r="G9907" t="str">
            <v>DUST CAP</v>
          </cell>
          <cell r="H9907" t="str">
            <v>E1418MCP15B0</v>
          </cell>
        </row>
        <row r="9908">
          <cell r="F9908" t="str">
            <v>GV276-16020</v>
          </cell>
          <cell r="G9908" t="str">
            <v>HOUSING CAP</v>
          </cell>
          <cell r="H9908" t="str">
            <v>E14162511B0</v>
          </cell>
        </row>
        <row r="9909">
          <cell r="F9909" t="str">
            <v>2373974-3</v>
          </cell>
          <cell r="G9909" t="str">
            <v>JOINT CAP</v>
          </cell>
          <cell r="H9909" t="str">
            <v>E1414064JGR0</v>
          </cell>
        </row>
        <row r="9910">
          <cell r="F9910" t="str">
            <v>2373974-2</v>
          </cell>
          <cell r="G9910" t="str">
            <v>JOINT CAP</v>
          </cell>
          <cell r="H9910" t="str">
            <v>E1414064JGR</v>
          </cell>
        </row>
        <row r="9911">
          <cell r="F9911" t="str">
            <v>2373974-6</v>
          </cell>
          <cell r="G9911" t="str">
            <v>JOINT CAP</v>
          </cell>
          <cell r="H9911" t="str">
            <v>E1414064JG0</v>
          </cell>
        </row>
        <row r="9912">
          <cell r="F9912" t="str">
            <v>2373974-4</v>
          </cell>
          <cell r="G9912" t="str">
            <v>JOINT CAP</v>
          </cell>
          <cell r="H9912" t="str">
            <v>E1414064JBR0</v>
          </cell>
        </row>
        <row r="9913">
          <cell r="F9913" t="str">
            <v>2373974-1</v>
          </cell>
          <cell r="G9913" t="str">
            <v>CAP</v>
          </cell>
          <cell r="H9913" t="str">
            <v>E1414064JB0</v>
          </cell>
        </row>
        <row r="9914">
          <cell r="F9914" t="str">
            <v>CL6405-0052-9-010</v>
          </cell>
          <cell r="G9914" t="str">
            <v>HOUSING CAP</v>
          </cell>
          <cell r="H9914" t="str">
            <v>E1414025JBB</v>
          </cell>
        </row>
        <row r="9915">
          <cell r="F9915" t="str">
            <v>CL6405-0052-9-000</v>
          </cell>
          <cell r="G9915" t="str">
            <v>HOUSING CAP</v>
          </cell>
          <cell r="H9915" t="str">
            <v>E1414025JBA</v>
          </cell>
        </row>
        <row r="9916">
          <cell r="F9916">
            <v>11.870480000000001</v>
          </cell>
          <cell r="G9916" t="str">
            <v>CAP</v>
          </cell>
          <cell r="H9916" t="str">
            <v>E1412MCN0B0</v>
          </cell>
        </row>
        <row r="9917">
          <cell r="F9917" t="str">
            <v>GV015-08020</v>
          </cell>
          <cell r="G9917" t="str">
            <v>CAP</v>
          </cell>
          <cell r="H9917" t="str">
            <v>E1408TWP0B0</v>
          </cell>
        </row>
        <row r="9918">
          <cell r="F9918" t="str">
            <v>MG635667-5</v>
          </cell>
          <cell r="G9918" t="str">
            <v>CAP</v>
          </cell>
          <cell r="H9918" t="str">
            <v>E14070637B0</v>
          </cell>
        </row>
        <row r="9919">
          <cell r="F9919" t="str">
            <v>CSDC-29252</v>
          </cell>
          <cell r="G9919" t="str">
            <v>DUST CAP</v>
          </cell>
          <cell r="H9919" t="str">
            <v>E1406MQSW00</v>
          </cell>
        </row>
        <row r="9920">
          <cell r="F9920" t="str">
            <v>CSDC-452245(2P)</v>
          </cell>
          <cell r="G9920" t="str">
            <v>DUST CAP</v>
          </cell>
          <cell r="H9920" t="str">
            <v>E1406454500</v>
          </cell>
        </row>
        <row r="9921">
          <cell r="F9921" t="str">
            <v>642349-5</v>
          </cell>
          <cell r="G9921" t="str">
            <v>JOINT CONN</v>
          </cell>
          <cell r="H9921" t="str">
            <v>E14060902B0</v>
          </cell>
        </row>
        <row r="9922">
          <cell r="F9922" t="str">
            <v>MG635870-5</v>
          </cell>
          <cell r="G9922" t="str">
            <v>CAP</v>
          </cell>
          <cell r="H9922" t="str">
            <v>E14060251B1</v>
          </cell>
        </row>
        <row r="9923">
          <cell r="F9923" t="str">
            <v>TCF-14</v>
          </cell>
          <cell r="G9923" t="str">
            <v>CAP</v>
          </cell>
          <cell r="H9923" t="str">
            <v>E1405TCF2B0</v>
          </cell>
        </row>
        <row r="9924">
          <cell r="F9924" t="str">
            <v>3507-8347</v>
          </cell>
          <cell r="G9924" t="str">
            <v>CONNECTOR COVER</v>
          </cell>
          <cell r="H9924" t="str">
            <v>E1404CFMB00</v>
          </cell>
        </row>
        <row r="9925">
          <cell r="F9925" t="str">
            <v>3525-2658</v>
          </cell>
          <cell r="G9925" t="str">
            <v>DUST CAP</v>
          </cell>
          <cell r="H9925" t="str">
            <v>E1404CFM0B0</v>
          </cell>
        </row>
        <row r="9926">
          <cell r="F9926" t="str">
            <v>CSM14-25302</v>
          </cell>
          <cell r="G9926" t="str">
            <v>DUST CAP</v>
          </cell>
          <cell r="H9926" t="str">
            <v>E1404BH1300</v>
          </cell>
        </row>
        <row r="9927">
          <cell r="F9927" t="str">
            <v>TCG04</v>
          </cell>
          <cell r="G9927" t="str">
            <v>HOUSING CAP</v>
          </cell>
          <cell r="H9927" t="str">
            <v>E1403JPT0B1</v>
          </cell>
        </row>
        <row r="9928">
          <cell r="F9928" t="str">
            <v>3530-1769</v>
          </cell>
          <cell r="G9928" t="str">
            <v>CONNECTOR COVER</v>
          </cell>
          <cell r="H9928" t="str">
            <v>E1403AP12B0</v>
          </cell>
        </row>
        <row r="9929">
          <cell r="F9929" t="str">
            <v>MG633119-5</v>
          </cell>
          <cell r="G9929" t="str">
            <v>CONNECTOR COVER</v>
          </cell>
          <cell r="H9929" t="str">
            <v>E1403040WPB0</v>
          </cell>
        </row>
        <row r="9930">
          <cell r="F9930" t="str">
            <v>3558-8418</v>
          </cell>
          <cell r="G9930" t="str">
            <v>CAP</v>
          </cell>
          <cell r="H9930" t="str">
            <v>E1402TWP3B0</v>
          </cell>
        </row>
        <row r="9931">
          <cell r="F9931" t="str">
            <v>CSDC-12013</v>
          </cell>
          <cell r="G9931" t="str">
            <v>CAP</v>
          </cell>
          <cell r="H9931" t="str">
            <v>E1401201300</v>
          </cell>
        </row>
        <row r="9932">
          <cell r="F9932" t="str">
            <v>KRHI-19</v>
          </cell>
          <cell r="G9932" t="str">
            <v>DUST CAP</v>
          </cell>
          <cell r="H9932" t="str">
            <v>E1400KR1900</v>
          </cell>
        </row>
        <row r="9933">
          <cell r="F9933" t="str">
            <v>3518-5567</v>
          </cell>
          <cell r="G9933" t="str">
            <v>CAP</v>
          </cell>
          <cell r="H9933" t="str">
            <v>E1400ETHS00</v>
          </cell>
        </row>
        <row r="9934">
          <cell r="F9934" t="str">
            <v>YSDC-860414</v>
          </cell>
          <cell r="G9934" t="str">
            <v>CAP</v>
          </cell>
          <cell r="H9934" t="str">
            <v>E14008641400</v>
          </cell>
        </row>
        <row r="9935">
          <cell r="F9935" t="str">
            <v>YSNP-83125</v>
          </cell>
          <cell r="G9935" t="str">
            <v>CAP</v>
          </cell>
          <cell r="H9935" t="str">
            <v>E14008312R0</v>
          </cell>
        </row>
        <row r="9936">
          <cell r="F9936" t="str">
            <v>YSNP-82525</v>
          </cell>
          <cell r="G9936" t="str">
            <v>CAP</v>
          </cell>
          <cell r="H9936" t="str">
            <v>E14008252R0</v>
          </cell>
        </row>
        <row r="9937">
          <cell r="F9937" t="str">
            <v>YSNP-82325</v>
          </cell>
          <cell r="G9937" t="str">
            <v>CAP</v>
          </cell>
          <cell r="H9937" t="str">
            <v>E14008232R0</v>
          </cell>
        </row>
        <row r="9938">
          <cell r="F9938" t="str">
            <v>CSDC-705001</v>
          </cell>
          <cell r="G9938" t="str">
            <v>DUST CAP</v>
          </cell>
          <cell r="H9938" t="str">
            <v>E1400705101</v>
          </cell>
        </row>
        <row r="9939">
          <cell r="F9939" t="str">
            <v>YSDC-60700</v>
          </cell>
          <cell r="G9939" t="str">
            <v>DUST CAP</v>
          </cell>
          <cell r="H9939" t="str">
            <v>E1400607000</v>
          </cell>
        </row>
        <row r="9940">
          <cell r="F9940" t="str">
            <v>CSM14-48402</v>
          </cell>
          <cell r="G9940" t="str">
            <v>DUST CAP</v>
          </cell>
          <cell r="H9940" t="str">
            <v>E1400484200</v>
          </cell>
        </row>
        <row r="9941">
          <cell r="F9941" t="str">
            <v>CSDC-45403</v>
          </cell>
          <cell r="G9941" t="str">
            <v>DUST CAP</v>
          </cell>
          <cell r="H9941" t="str">
            <v>E1400454300</v>
          </cell>
        </row>
        <row r="9942">
          <cell r="F9942" t="str">
            <v>CSDC-34222</v>
          </cell>
          <cell r="G9942" t="str">
            <v>DUST CAP</v>
          </cell>
          <cell r="H9942" t="str">
            <v>E1400422200</v>
          </cell>
        </row>
        <row r="9943">
          <cell r="F9943" t="str">
            <v>CSDC-412501</v>
          </cell>
          <cell r="G9943" t="str">
            <v>DUST CAP</v>
          </cell>
          <cell r="H9943" t="str">
            <v>E1400412500</v>
          </cell>
        </row>
        <row r="9944">
          <cell r="F9944" t="str">
            <v>CSM14-37302</v>
          </cell>
          <cell r="G9944" t="str">
            <v>CAP</v>
          </cell>
          <cell r="H9944" t="str">
            <v>E1400373200</v>
          </cell>
        </row>
        <row r="9945">
          <cell r="F9945" t="str">
            <v>CSDC-322501</v>
          </cell>
          <cell r="G9945" t="str">
            <v>DUST CAP</v>
          </cell>
          <cell r="H9945" t="str">
            <v>E1400322500</v>
          </cell>
        </row>
        <row r="9946">
          <cell r="F9946" t="str">
            <v>CSM14-29252</v>
          </cell>
          <cell r="G9946" t="str">
            <v>CAP</v>
          </cell>
          <cell r="H9946" t="str">
            <v>E1400292500</v>
          </cell>
        </row>
        <row r="9947">
          <cell r="F9947" t="str">
            <v>CSM14-27302</v>
          </cell>
          <cell r="G9947" t="str">
            <v>CAP</v>
          </cell>
          <cell r="H9947" t="str">
            <v>E1400273200</v>
          </cell>
        </row>
        <row r="9948">
          <cell r="F9948" t="str">
            <v>YSNP-823203</v>
          </cell>
          <cell r="G9948" t="str">
            <v>CAP</v>
          </cell>
          <cell r="H9948" t="str">
            <v>E14002320R0</v>
          </cell>
        </row>
        <row r="9949">
          <cell r="F9949" t="str">
            <v>CSDC-23302</v>
          </cell>
          <cell r="G9949" t="str">
            <v>DUST CAP</v>
          </cell>
          <cell r="H9949" t="str">
            <v>E14002320200</v>
          </cell>
        </row>
        <row r="9950">
          <cell r="F9950" t="str">
            <v>CSM14-52272</v>
          </cell>
          <cell r="G9950" t="str">
            <v>DUST CAP</v>
          </cell>
          <cell r="H9950" t="str">
            <v>E1400227200</v>
          </cell>
        </row>
        <row r="9951">
          <cell r="F9951" t="str">
            <v>YSNP-822125</v>
          </cell>
          <cell r="G9951" t="str">
            <v>DUST CAP</v>
          </cell>
          <cell r="H9951" t="str">
            <v>E14002125R0</v>
          </cell>
        </row>
        <row r="9952">
          <cell r="F9952" t="str">
            <v>CSDC-02003</v>
          </cell>
          <cell r="G9952" t="str">
            <v>DUST CAP</v>
          </cell>
          <cell r="H9952" t="str">
            <v>E1400200300</v>
          </cell>
        </row>
        <row r="9953">
          <cell r="F9953" t="str">
            <v>CSDC-193001</v>
          </cell>
          <cell r="G9953" t="str">
            <v>DUST CAP</v>
          </cell>
          <cell r="H9953" t="str">
            <v>E1400193000</v>
          </cell>
        </row>
        <row r="9954">
          <cell r="F9954" t="str">
            <v>CSDC-17301</v>
          </cell>
          <cell r="G9954" t="str">
            <v>CAP</v>
          </cell>
          <cell r="H9954" t="str">
            <v>E1400173000</v>
          </cell>
        </row>
        <row r="9955">
          <cell r="F9955" t="str">
            <v>CSM14-17202</v>
          </cell>
          <cell r="G9955" t="str">
            <v>CAP</v>
          </cell>
          <cell r="H9955" t="str">
            <v>E1400172200</v>
          </cell>
        </row>
        <row r="9956">
          <cell r="F9956" t="str">
            <v>CSM14-31302</v>
          </cell>
          <cell r="G9956" t="str">
            <v>CAP</v>
          </cell>
          <cell r="H9956" t="str">
            <v>E1400130200</v>
          </cell>
        </row>
        <row r="9957">
          <cell r="F9957" t="str">
            <v>YSDC-0940D</v>
          </cell>
          <cell r="G9957" t="str">
            <v>DUST CAP</v>
          </cell>
          <cell r="H9957" t="str">
            <v>E14000940D0</v>
          </cell>
        </row>
        <row r="9958">
          <cell r="F9958" t="str">
            <v>TKT1206002SN</v>
          </cell>
          <cell r="G9958" t="str">
            <v>ANVIL CRIMPER</v>
          </cell>
          <cell r="H9958" t="str">
            <v>E0P1312</v>
          </cell>
        </row>
        <row r="9959">
          <cell r="F9959" t="str">
            <v>SHCH(셔츠)_190826_10</v>
          </cell>
          <cell r="G9959" t="str">
            <v>의류</v>
          </cell>
          <cell r="H9959" t="str">
            <v>DRE0010</v>
          </cell>
        </row>
        <row r="9960">
          <cell r="F9960" t="str">
            <v>SHCH(셔츠)_190826_09</v>
          </cell>
          <cell r="G9960" t="str">
            <v>의류</v>
          </cell>
          <cell r="H9960" t="str">
            <v>DRE0009</v>
          </cell>
        </row>
        <row r="9961">
          <cell r="F9961" t="str">
            <v>SHCH(셔츠)_190826_08</v>
          </cell>
          <cell r="G9961" t="str">
            <v>의류</v>
          </cell>
          <cell r="H9961" t="str">
            <v>DRE0008</v>
          </cell>
        </row>
        <row r="9962">
          <cell r="F9962" t="str">
            <v>SHCH(셔츠)_190826_07</v>
          </cell>
          <cell r="G9962" t="str">
            <v>의류</v>
          </cell>
          <cell r="H9962" t="str">
            <v>DRE0007</v>
          </cell>
        </row>
        <row r="9963">
          <cell r="F9963" t="str">
            <v>SHCH(셔츠)_190826_06</v>
          </cell>
          <cell r="G9963" t="str">
            <v>의류</v>
          </cell>
          <cell r="H9963" t="str">
            <v>DRE0006</v>
          </cell>
        </row>
        <row r="9964">
          <cell r="F9964" t="str">
            <v>SHCH(셔츠)_190826_05</v>
          </cell>
          <cell r="G9964" t="str">
            <v>의류</v>
          </cell>
          <cell r="H9964" t="str">
            <v>DRE0005</v>
          </cell>
        </row>
        <row r="9965">
          <cell r="F9965" t="str">
            <v>SHCH(셔츠)_190826_04</v>
          </cell>
          <cell r="G9965" t="str">
            <v>의류</v>
          </cell>
          <cell r="H9965" t="str">
            <v>DRE0004</v>
          </cell>
        </row>
        <row r="9966">
          <cell r="F9966" t="str">
            <v>SHCH(셔츠)_190826_03</v>
          </cell>
          <cell r="G9966" t="str">
            <v>의류</v>
          </cell>
          <cell r="H9966" t="str">
            <v>DRE0003</v>
          </cell>
        </row>
        <row r="9967">
          <cell r="F9967" t="str">
            <v>SHCH(셔츠)_190826_02</v>
          </cell>
          <cell r="G9967" t="str">
            <v>의류</v>
          </cell>
          <cell r="H9967" t="str">
            <v>DRE0002</v>
          </cell>
        </row>
        <row r="9968">
          <cell r="F9968" t="str">
            <v>SHCH(셔츠)_190826_01</v>
          </cell>
          <cell r="G9968" t="str">
            <v>의류</v>
          </cell>
          <cell r="H9968" t="str">
            <v>DRE0001</v>
          </cell>
        </row>
        <row r="9969">
          <cell r="F9969" t="str">
            <v>280465-BK</v>
          </cell>
          <cell r="G9969" t="str">
            <v>HOUSING CLIP</v>
          </cell>
          <cell r="H9969" t="str">
            <v>CYRH2HL0B00</v>
          </cell>
        </row>
        <row r="9970">
          <cell r="F9970" t="str">
            <v>280337-GR</v>
          </cell>
          <cell r="G9970" t="str">
            <v>BAND CABLE SLOT-ECC_GRAY</v>
          </cell>
          <cell r="H9970" t="str">
            <v>CYRB0STE0GR</v>
          </cell>
        </row>
        <row r="9971">
          <cell r="F9971" t="str">
            <v>280337-BK</v>
          </cell>
          <cell r="G9971" t="str">
            <v>GENERAL B/CABLE</v>
          </cell>
          <cell r="H9971" t="str">
            <v>CYRB0STE0B0</v>
          </cell>
        </row>
        <row r="9972">
          <cell r="F9972" t="str">
            <v>280336-DG</v>
          </cell>
          <cell r="G9972" t="str">
            <v>GENERAL B/CABLE</v>
          </cell>
          <cell r="H9972" t="str">
            <v>CYRB0STB0DG</v>
          </cell>
        </row>
        <row r="9973">
          <cell r="F9973" t="str">
            <v>280336-BK</v>
          </cell>
          <cell r="G9973" t="str">
            <v>GENERAL B/CABLE</v>
          </cell>
          <cell r="H9973" t="str">
            <v>CYRB0STB0B0</v>
          </cell>
        </row>
        <row r="9974">
          <cell r="F9974" t="str">
            <v>280335-GR</v>
          </cell>
          <cell r="G9974" t="str">
            <v>GENERAL B/CABLE</v>
          </cell>
          <cell r="H9974" t="str">
            <v>CYRB0STA0GR</v>
          </cell>
        </row>
        <row r="9975">
          <cell r="F9975" t="str">
            <v>280335-DG</v>
          </cell>
          <cell r="G9975" t="str">
            <v>GENERAL B/CABLE</v>
          </cell>
          <cell r="H9975" t="str">
            <v>CYRB0STA0DG</v>
          </cell>
        </row>
        <row r="9976">
          <cell r="F9976" t="str">
            <v>280335-BK</v>
          </cell>
          <cell r="G9976" t="str">
            <v>GENERAL B/CABLE</v>
          </cell>
          <cell r="H9976" t="str">
            <v>CYRB0STA0B0</v>
          </cell>
        </row>
        <row r="9977">
          <cell r="F9977" t="str">
            <v>280338-BK</v>
          </cell>
          <cell r="G9977" t="str">
            <v>GENERAL B/CABLE</v>
          </cell>
          <cell r="H9977" t="str">
            <v>CYRB0SD00B0</v>
          </cell>
        </row>
        <row r="9978">
          <cell r="F9978" t="str">
            <v>91972-K0100</v>
          </cell>
          <cell r="G9978" t="str">
            <v>GENERAL B/CABLE</v>
          </cell>
          <cell r="H9978" t="str">
            <v>CYRB0K010B0</v>
          </cell>
        </row>
        <row r="9979">
          <cell r="F9979" t="str">
            <v>91972-K0000</v>
          </cell>
          <cell r="G9979" t="str">
            <v>GENERAL B/CABLE</v>
          </cell>
          <cell r="H9979" t="str">
            <v>CYRB0K000B0</v>
          </cell>
        </row>
        <row r="9980">
          <cell r="F9980" t="str">
            <v>280334-GR</v>
          </cell>
          <cell r="G9980" t="str">
            <v>GENERAL B/CABLE</v>
          </cell>
          <cell r="H9980" t="str">
            <v>CYRB0HL00GR</v>
          </cell>
        </row>
        <row r="9981">
          <cell r="F9981" t="str">
            <v>280334-DG</v>
          </cell>
          <cell r="G9981" t="str">
            <v>GENERAL B/CABLE</v>
          </cell>
          <cell r="H9981" t="str">
            <v>CYRB0HL00DG</v>
          </cell>
        </row>
        <row r="9982">
          <cell r="F9982" t="str">
            <v>280334-BK</v>
          </cell>
          <cell r="G9982" t="str">
            <v>GENERAL B/CABLE</v>
          </cell>
          <cell r="H9982" t="str">
            <v>CYRB0HL00B0</v>
          </cell>
        </row>
        <row r="9983">
          <cell r="F9983" t="str">
            <v>91971-N9030</v>
          </cell>
          <cell r="G9983" t="str">
            <v>GENERAL B/CABLE</v>
          </cell>
          <cell r="H9983" t="str">
            <v>CSIBN9030GR</v>
          </cell>
        </row>
        <row r="9984">
          <cell r="F9984" t="str">
            <v>91971-N9010</v>
          </cell>
          <cell r="G9984" t="str">
            <v>BAND CABLE - M6 STUD</v>
          </cell>
          <cell r="H9984" t="str">
            <v>CSIBN9010B0</v>
          </cell>
        </row>
        <row r="9985">
          <cell r="F9985" t="str">
            <v>91960-3K220</v>
          </cell>
          <cell r="G9985" t="str">
            <v>SINGLE CLIP</v>
          </cell>
          <cell r="H9985" t="str">
            <v>CSCC3K22W00</v>
          </cell>
        </row>
        <row r="9986">
          <cell r="F9986" t="str">
            <v>91960-3K210</v>
          </cell>
          <cell r="G9986" t="str">
            <v>DOUBLE CLIP</v>
          </cell>
          <cell r="H9986" t="str">
            <v>CSCC03K21W0</v>
          </cell>
        </row>
        <row r="9987">
          <cell r="F9987" t="str">
            <v>91690-2D000</v>
          </cell>
          <cell r="G9987" t="str">
            <v>CLIP</v>
          </cell>
          <cell r="H9987" t="str">
            <v>CMSC0690GY0</v>
          </cell>
        </row>
        <row r="9988">
          <cell r="F9988" t="str">
            <v>5051-0363-2</v>
          </cell>
          <cell r="G9988" t="str">
            <v>HOUSING CLIP</v>
          </cell>
          <cell r="H9988" t="str">
            <v>CKYH0SLT0B0</v>
          </cell>
        </row>
        <row r="9989">
          <cell r="F9989" t="str">
            <v>GC140-04020</v>
          </cell>
          <cell r="G9989" t="str">
            <v>HOUSING CLIP</v>
          </cell>
          <cell r="H9989" t="str">
            <v>CKUH0TWPB02</v>
          </cell>
        </row>
        <row r="9990">
          <cell r="F9990" t="str">
            <v>H/CLIP TWP-D(B)</v>
          </cell>
          <cell r="G9990" t="str">
            <v>HOUSING CLIP</v>
          </cell>
          <cell r="H9990" t="str">
            <v>CKUH0TWPB00</v>
          </cell>
        </row>
        <row r="9991">
          <cell r="F9991" t="str">
            <v>GC160-00020</v>
          </cell>
          <cell r="G9991" t="str">
            <v>HOUSING CLIP</v>
          </cell>
          <cell r="H9991" t="str">
            <v>CKUH0NMWKB0</v>
          </cell>
        </row>
        <row r="9992">
          <cell r="F9992" t="str">
            <v>GC110-00151</v>
          </cell>
          <cell r="G9992" t="str">
            <v>HOUSING CLIP</v>
          </cell>
          <cell r="H9992" t="str">
            <v>CKUH0HSCGR0</v>
          </cell>
        </row>
        <row r="9993">
          <cell r="F9993" t="str">
            <v>PP021-13020</v>
          </cell>
          <cell r="G9993" t="str">
            <v>CLIP</v>
          </cell>
          <cell r="H9993" t="str">
            <v>CKUH0DSDB00</v>
          </cell>
        </row>
        <row r="9994">
          <cell r="F9994" t="str">
            <v>PP021-52520</v>
          </cell>
          <cell r="G9994" t="str">
            <v>HOUSING CLIP</v>
          </cell>
          <cell r="H9994" t="str">
            <v>CKUH0CDRL03</v>
          </cell>
        </row>
        <row r="9995">
          <cell r="F9995" t="str">
            <v>GC140-06020</v>
          </cell>
          <cell r="G9995" t="str">
            <v>HOUSING CLIP</v>
          </cell>
          <cell r="H9995" t="str">
            <v>CKUH0ALCB00</v>
          </cell>
        </row>
        <row r="9996">
          <cell r="F9996" t="str">
            <v>GC140-01020</v>
          </cell>
          <cell r="G9996" t="str">
            <v>HOUSING CLIP</v>
          </cell>
          <cell r="H9996" t="str">
            <v>CKUH0ALA0B0</v>
          </cell>
        </row>
        <row r="9997">
          <cell r="F9997" t="str">
            <v>GC140-05020</v>
          </cell>
          <cell r="G9997" t="str">
            <v>HOUSING CLIP</v>
          </cell>
          <cell r="H9997" t="str">
            <v>CKUH05020B0</v>
          </cell>
        </row>
        <row r="9998">
          <cell r="F9998" t="str">
            <v>GC110-03020</v>
          </cell>
          <cell r="G9998" t="str">
            <v>HOUSING CLIP</v>
          </cell>
          <cell r="H9998" t="str">
            <v>CKUH03020B0</v>
          </cell>
        </row>
        <row r="9999">
          <cell r="F9999" t="str">
            <v>GC100-02020</v>
          </cell>
          <cell r="G9999" t="str">
            <v>HOUSING CLIP</v>
          </cell>
          <cell r="H9999" t="str">
            <v>CKUH0202B00</v>
          </cell>
        </row>
        <row r="10000">
          <cell r="F10000" t="str">
            <v>GC080-01120</v>
          </cell>
          <cell r="G10000" t="str">
            <v>HOUSING CLIP</v>
          </cell>
          <cell r="H10000" t="str">
            <v>CKUH01120GR</v>
          </cell>
        </row>
        <row r="10001">
          <cell r="F10001" t="str">
            <v>GC110-01020</v>
          </cell>
          <cell r="G10001" t="str">
            <v>HOUSING CLIP</v>
          </cell>
          <cell r="H10001" t="str">
            <v>CKUH0110B00</v>
          </cell>
        </row>
        <row r="10002">
          <cell r="F10002" t="str">
            <v>KPP011-98016</v>
          </cell>
          <cell r="G10002" t="str">
            <v>BAND CABLE</v>
          </cell>
          <cell r="H10002" t="str">
            <v>CKUC0115B00</v>
          </cell>
        </row>
        <row r="10003">
          <cell r="F10003" t="str">
            <v>KPP041-04120</v>
          </cell>
          <cell r="G10003" t="str">
            <v>T CLIP</v>
          </cell>
          <cell r="H10003" t="str">
            <v>CKUC00412GR</v>
          </cell>
        </row>
        <row r="10004">
          <cell r="F10004" t="str">
            <v>KPP011-98015</v>
          </cell>
          <cell r="G10004" t="str">
            <v>BAND CABLE</v>
          </cell>
          <cell r="H10004" t="str">
            <v>CKUC0011B01</v>
          </cell>
        </row>
        <row r="10005">
          <cell r="F10005" t="str">
            <v>HB010-26151</v>
          </cell>
          <cell r="G10005" t="str">
            <v>GENERAL B/CABLE</v>
          </cell>
          <cell r="H10005" t="str">
            <v>CKUBY100DR0</v>
          </cell>
        </row>
        <row r="10006">
          <cell r="F10006" t="str">
            <v>GB100-03100</v>
          </cell>
          <cell r="G10006" t="str">
            <v>GENERAL B/CABLE</v>
          </cell>
          <cell r="H10006" t="str">
            <v>CKUB21020OR</v>
          </cell>
        </row>
        <row r="10007">
          <cell r="F10007" t="str">
            <v>HB010-21020</v>
          </cell>
          <cell r="G10007" t="str">
            <v>GENERAL B/CABLE</v>
          </cell>
          <cell r="H10007" t="str">
            <v>CKUB21020B0</v>
          </cell>
        </row>
        <row r="10008">
          <cell r="F10008" t="str">
            <v>HB010-18151</v>
          </cell>
          <cell r="G10008" t="str">
            <v>GENERAL B/CABLE</v>
          </cell>
          <cell r="H10008" t="str">
            <v>CKUB18151DG</v>
          </cell>
        </row>
        <row r="10009">
          <cell r="F10009" t="str">
            <v>GB100-13020</v>
          </cell>
          <cell r="G10009" t="str">
            <v>GENERAL B/CABLE</v>
          </cell>
          <cell r="H10009" t="str">
            <v>CKUB0Q132B0</v>
          </cell>
        </row>
        <row r="10010">
          <cell r="F10010" t="str">
            <v>KPP011-99010</v>
          </cell>
          <cell r="G10010" t="str">
            <v>BAND CABLE</v>
          </cell>
          <cell r="H10010" t="str">
            <v>CKUB0C11GR0</v>
          </cell>
        </row>
        <row r="10011">
          <cell r="F10011" t="str">
            <v>GB090-04154</v>
          </cell>
          <cell r="G10011" t="str">
            <v>GENERAL B/CABLE</v>
          </cell>
          <cell r="H10011" t="str">
            <v>CKUB04154DG</v>
          </cell>
        </row>
        <row r="10012">
          <cell r="F10012" t="str">
            <v>GB170-04020</v>
          </cell>
          <cell r="G10012" t="str">
            <v>GENERAL B/CABLE</v>
          </cell>
          <cell r="H10012" t="str">
            <v>CKUB0402B00</v>
          </cell>
        </row>
        <row r="10013">
          <cell r="F10013" t="str">
            <v>GB130-04020</v>
          </cell>
          <cell r="G10013" t="str">
            <v>GENERAL B/CABLE</v>
          </cell>
          <cell r="H10013" t="str">
            <v>CKUB04020B01</v>
          </cell>
        </row>
        <row r="10014">
          <cell r="F10014" t="str">
            <v>GB100-12020</v>
          </cell>
          <cell r="G10014" t="str">
            <v>GENERAL B/CABLE</v>
          </cell>
          <cell r="H10014" t="str">
            <v>CKUB0302B01</v>
          </cell>
        </row>
        <row r="10015">
          <cell r="F10015" t="str">
            <v>HB010-24020</v>
          </cell>
          <cell r="G10015" t="str">
            <v>GENERAL B/CABLE</v>
          </cell>
          <cell r="H10015" t="str">
            <v>CKUB02402B0</v>
          </cell>
        </row>
        <row r="10016">
          <cell r="F10016" t="str">
            <v>GB110-02020</v>
          </cell>
          <cell r="G10016" t="str">
            <v>GENERAL B/CABLE</v>
          </cell>
          <cell r="H10016" t="str">
            <v>CKUB02150B0</v>
          </cell>
        </row>
        <row r="10017">
          <cell r="F10017" t="str">
            <v>GB090-02120</v>
          </cell>
          <cell r="G10017" t="str">
            <v>GENERAL B/CABLE</v>
          </cell>
          <cell r="H10017" t="str">
            <v>CKUB02120GR</v>
          </cell>
        </row>
        <row r="10018">
          <cell r="F10018" t="str">
            <v>GB110-01020</v>
          </cell>
          <cell r="G10018" t="str">
            <v>GENERAL B/CABLE</v>
          </cell>
          <cell r="H10018" t="str">
            <v>CKUB0202B01</v>
          </cell>
        </row>
        <row r="10019">
          <cell r="F10019" t="str">
            <v>HB010-14150</v>
          </cell>
          <cell r="G10019" t="str">
            <v>GENERAL B/CABLE</v>
          </cell>
          <cell r="H10019" t="str">
            <v>CKUB014150B0</v>
          </cell>
        </row>
        <row r="10020">
          <cell r="F10020" t="str">
            <v>GB100-14020</v>
          </cell>
          <cell r="G10020" t="str">
            <v>GENERAL B/CABLE</v>
          </cell>
          <cell r="H10020" t="str">
            <v>CKUB0140B00</v>
          </cell>
        </row>
        <row r="10021">
          <cell r="F10021" t="str">
            <v>GB170-13150</v>
          </cell>
          <cell r="G10021" t="str">
            <v>GENERAL B/CABLE</v>
          </cell>
          <cell r="H10021" t="str">
            <v>CKUB01315DG</v>
          </cell>
        </row>
        <row r="10022">
          <cell r="F10022" t="str">
            <v>GB080-01020</v>
          </cell>
          <cell r="G10022" t="str">
            <v>CLIP</v>
          </cell>
          <cell r="H10022" t="str">
            <v>CKUB010A5B0</v>
          </cell>
        </row>
        <row r="10023">
          <cell r="F10023" t="str">
            <v>GB150-01020</v>
          </cell>
          <cell r="G10023" t="str">
            <v>GENERAL B/CABLE</v>
          </cell>
          <cell r="H10023" t="str">
            <v>CKUB0102B01</v>
          </cell>
        </row>
        <row r="10024">
          <cell r="F10024" t="str">
            <v>GB090-01020</v>
          </cell>
          <cell r="G10024" t="str">
            <v>GENERAL B/CABLE</v>
          </cell>
          <cell r="H10024" t="str">
            <v>CKUB0102B00</v>
          </cell>
        </row>
        <row r="10025">
          <cell r="F10025" t="str">
            <v>HB010-06150</v>
          </cell>
          <cell r="G10025" t="str">
            <v>BAND CABLE</v>
          </cell>
          <cell r="H10025" t="str">
            <v>CKUB00615B0</v>
          </cell>
        </row>
        <row r="10026">
          <cell r="F10026" t="str">
            <v>GB120-01021</v>
          </cell>
          <cell r="G10026" t="str">
            <v>GENERAL B/CABLE</v>
          </cell>
          <cell r="H10026" t="str">
            <v>CKUB0021B00</v>
          </cell>
        </row>
        <row r="10027">
          <cell r="F10027">
            <v>630418</v>
          </cell>
          <cell r="G10027" t="str">
            <v>HOUSING CLIP</v>
          </cell>
          <cell r="H10027" t="str">
            <v>CKTH2SDLW00</v>
          </cell>
        </row>
        <row r="10028">
          <cell r="F10028" t="str">
            <v>MG632278-5</v>
          </cell>
          <cell r="G10028" t="str">
            <v>HOUSING CLIP</v>
          </cell>
          <cell r="H10028" t="str">
            <v>CKTH2312B01</v>
          </cell>
        </row>
        <row r="10029">
          <cell r="F10029" t="str">
            <v>MG632019</v>
          </cell>
          <cell r="G10029" t="str">
            <v>HOUSING CLIP</v>
          </cell>
          <cell r="H10029" t="str">
            <v>CKTH1092W02</v>
          </cell>
        </row>
        <row r="10030">
          <cell r="F10030" t="str">
            <v>MG632019-5</v>
          </cell>
          <cell r="G10030" t="str">
            <v>HOUSING CLIP</v>
          </cell>
          <cell r="H10030" t="str">
            <v>CKTH1092B02</v>
          </cell>
        </row>
        <row r="10031">
          <cell r="F10031" t="str">
            <v>MG634647-5</v>
          </cell>
          <cell r="G10031" t="str">
            <v>HOUSING CLIP</v>
          </cell>
          <cell r="H10031" t="str">
            <v>CKTH0SWP7B0</v>
          </cell>
        </row>
        <row r="10032">
          <cell r="F10032" t="str">
            <v>MG635913-5</v>
          </cell>
          <cell r="G10032" t="str">
            <v>HOUSING CLIP</v>
          </cell>
          <cell r="H10032" t="str">
            <v>CKTH0DUBB00</v>
          </cell>
        </row>
        <row r="10033">
          <cell r="F10033" t="str">
            <v>634834-5</v>
          </cell>
          <cell r="G10033" t="str">
            <v>HOUSING CLIP</v>
          </cell>
          <cell r="H10033" t="str">
            <v>CKTH092SB00</v>
          </cell>
        </row>
        <row r="10034">
          <cell r="F10034" t="str">
            <v>MG633294</v>
          </cell>
          <cell r="G10034" t="str">
            <v>HOUSING CLIP</v>
          </cell>
          <cell r="H10034" t="str">
            <v>CKTH058LW00</v>
          </cell>
        </row>
        <row r="10035">
          <cell r="F10035" t="str">
            <v>MG633790-5</v>
          </cell>
          <cell r="G10035" t="str">
            <v>HOUSING CLIP</v>
          </cell>
          <cell r="H10035" t="str">
            <v>CKTH0375WB0</v>
          </cell>
        </row>
        <row r="10036">
          <cell r="F10036" t="str">
            <v>MG635915-5</v>
          </cell>
          <cell r="G10036" t="str">
            <v>HOUSING CLIP</v>
          </cell>
          <cell r="H10036" t="str">
            <v>CKTH03750B0</v>
          </cell>
        </row>
        <row r="10037">
          <cell r="F10037" t="str">
            <v>MG635843-5</v>
          </cell>
          <cell r="G10037" t="str">
            <v>HOUSING CLIP</v>
          </cell>
          <cell r="H10037" t="str">
            <v>CKTH0312WB0</v>
          </cell>
        </row>
        <row r="10038">
          <cell r="F10038" t="str">
            <v>663492-5</v>
          </cell>
          <cell r="G10038" t="str">
            <v>HOUSING CLIP</v>
          </cell>
          <cell r="H10038" t="str">
            <v>CKTH0092B01</v>
          </cell>
        </row>
        <row r="10039">
          <cell r="F10039" t="str">
            <v>633815-5</v>
          </cell>
          <cell r="G10039" t="str">
            <v>HOUSING CLIP</v>
          </cell>
          <cell r="H10039" t="str">
            <v>CKTH00903B0</v>
          </cell>
        </row>
        <row r="10040">
          <cell r="F10040" t="str">
            <v>MG635973</v>
          </cell>
          <cell r="G10040" t="str">
            <v>HOUSING CLIP</v>
          </cell>
          <cell r="H10040" t="str">
            <v>CKTH0060FWB</v>
          </cell>
        </row>
        <row r="10041">
          <cell r="F10041" t="str">
            <v>MG635719-5</v>
          </cell>
          <cell r="G10041" t="str">
            <v>HOUSING CLIP</v>
          </cell>
          <cell r="H10041" t="str">
            <v>CKTH0060FB0</v>
          </cell>
        </row>
        <row r="10042">
          <cell r="F10042" t="str">
            <v>633713-5</v>
          </cell>
          <cell r="G10042" t="str">
            <v>HOUSING CLIP</v>
          </cell>
          <cell r="H10042" t="str">
            <v>CKTH00509B0</v>
          </cell>
        </row>
        <row r="10043">
          <cell r="F10043" t="str">
            <v>T18R-B</v>
          </cell>
          <cell r="G10043" t="str">
            <v>CABLE TIE</v>
          </cell>
          <cell r="H10043" t="str">
            <v>CJYC0100B00</v>
          </cell>
        </row>
        <row r="10044">
          <cell r="F10044" t="str">
            <v>DDICH 26P-TAB K</v>
          </cell>
          <cell r="G10044" t="str">
            <v>COVER HOUSING</v>
          </cell>
          <cell r="H10044" t="str">
            <v>CHO0307</v>
          </cell>
        </row>
        <row r="10045">
          <cell r="F10045" t="str">
            <v>DDICH 28P-K(2W)</v>
          </cell>
          <cell r="G10045" t="str">
            <v>COVER HOUSING</v>
          </cell>
          <cell r="H10045" t="str">
            <v>CHO0306</v>
          </cell>
        </row>
        <row r="10046">
          <cell r="F10046" t="str">
            <v>DDFA 25-2.5 (UL) (구형2.8)</v>
          </cell>
          <cell r="G10046" t="str">
            <v>PVC SLEEVE</v>
          </cell>
          <cell r="H10046" t="str">
            <v>CHO0305</v>
          </cell>
        </row>
        <row r="10047">
          <cell r="F10047" t="str">
            <v>12*1.5*20 (RED) A2</v>
          </cell>
          <cell r="G10047" t="str">
            <v>END CAP</v>
          </cell>
          <cell r="H10047" t="str">
            <v>CHO0304</v>
          </cell>
        </row>
        <row r="10048">
          <cell r="F10048" t="str">
            <v>10*1.5*20 (RED) A0</v>
          </cell>
          <cell r="G10048" t="str">
            <v>END CAP</v>
          </cell>
          <cell r="H10048" t="str">
            <v>CHO0303</v>
          </cell>
        </row>
        <row r="10049">
          <cell r="F10049" t="str">
            <v>20041360A</v>
          </cell>
          <cell r="G10049" t="str">
            <v>CAP</v>
          </cell>
          <cell r="H10049" t="str">
            <v>CHO0302</v>
          </cell>
        </row>
        <row r="10050">
          <cell r="F10050" t="str">
            <v>END CAP(4*1*15 BK)</v>
          </cell>
          <cell r="G10050" t="str">
            <v>END CAP</v>
          </cell>
          <cell r="H10050" t="str">
            <v>CHO0301</v>
          </cell>
        </row>
        <row r="10051">
          <cell r="F10051" t="str">
            <v>95X18X1.2T</v>
          </cell>
          <cell r="G10051" t="str">
            <v>SLEEVE TERMINAL</v>
          </cell>
          <cell r="H10051" t="str">
            <v>CHO0300</v>
          </cell>
        </row>
        <row r="10052">
          <cell r="F10052" t="str">
            <v>DDT5-3.5(PK) L</v>
          </cell>
          <cell r="G10052" t="str">
            <v>SLEEVE</v>
          </cell>
          <cell r="H10052" t="str">
            <v>CHO0293</v>
          </cell>
        </row>
        <row r="10053">
          <cell r="F10053" t="str">
            <v>SDFFN25-4.0TI(3mm cut)</v>
          </cell>
          <cell r="G10053" t="str">
            <v>SLEEVE</v>
          </cell>
          <cell r="H10053" t="str">
            <v>CHO0292</v>
          </cell>
        </row>
        <row r="10054">
          <cell r="F10054" t="str">
            <v>SDFFN 18-3.0(3mm cut)</v>
          </cell>
          <cell r="G10054" t="str">
            <v>SLEEVE</v>
          </cell>
          <cell r="H10054" t="str">
            <v>CHO0291</v>
          </cell>
        </row>
        <row r="10055">
          <cell r="F10055" t="str">
            <v>SDFFN18-3.0TI(3mm cut)</v>
          </cell>
          <cell r="G10055" t="str">
            <v>SLEEVE</v>
          </cell>
          <cell r="H10055" t="str">
            <v>CHO0290</v>
          </cell>
        </row>
        <row r="10056">
          <cell r="F10056" t="str">
            <v>SDFF-25-4.0(WHT)</v>
          </cell>
          <cell r="G10056" t="str">
            <v>SLEEVE</v>
          </cell>
          <cell r="H10056" t="str">
            <v>CHO0289</v>
          </cell>
        </row>
        <row r="10057">
          <cell r="F10057" t="str">
            <v>DDFF18-3.0(CL/BLU)</v>
          </cell>
          <cell r="G10057" t="str">
            <v>SLEEVE</v>
          </cell>
          <cell r="H10057" t="str">
            <v>CHO0288</v>
          </cell>
        </row>
        <row r="10058">
          <cell r="F10058" t="str">
            <v>DFA-25-2.5</v>
          </cell>
          <cell r="G10058" t="str">
            <v>SLEEVE</v>
          </cell>
          <cell r="H10058" t="str">
            <v>CHO0287</v>
          </cell>
        </row>
        <row r="10059">
          <cell r="F10059" t="str">
            <v>DDFA-18-2.5</v>
          </cell>
          <cell r="G10059" t="str">
            <v>SLEEVE</v>
          </cell>
          <cell r="H10059" t="str">
            <v>CHO0286</v>
          </cell>
        </row>
        <row r="10060">
          <cell r="F10060" t="str">
            <v>DDFA-18-2.8</v>
          </cell>
          <cell r="G10060" t="str">
            <v>SLEEVE</v>
          </cell>
          <cell r="H10060" t="str">
            <v>CHO0285</v>
          </cell>
        </row>
        <row r="10061">
          <cell r="F10061" t="str">
            <v>CT CAP(S) 2.7</v>
          </cell>
          <cell r="G10061" t="str">
            <v>SLEEVE</v>
          </cell>
          <cell r="H10061" t="str">
            <v>CHO0284</v>
          </cell>
        </row>
        <row r="10062">
          <cell r="F10062" t="str">
            <v>SDFFN 25-4.0(N)</v>
          </cell>
          <cell r="G10062" t="str">
            <v>SLEEVE</v>
          </cell>
          <cell r="H10062" t="str">
            <v>CHO0283</v>
          </cell>
        </row>
        <row r="10063">
          <cell r="F10063" t="str">
            <v>6X2X20(RED)F</v>
          </cell>
          <cell r="G10063" t="str">
            <v>END CAP</v>
          </cell>
          <cell r="H10063" t="str">
            <v>CHO0282</v>
          </cell>
        </row>
        <row r="10064">
          <cell r="F10064" t="str">
            <v>8X1.5X20(RED)H</v>
          </cell>
          <cell r="G10064" t="str">
            <v>END CAP</v>
          </cell>
          <cell r="H10064" t="str">
            <v>CHO0281</v>
          </cell>
        </row>
        <row r="10065">
          <cell r="F10065" t="str">
            <v>24P-TAB(K)-L</v>
          </cell>
          <cell r="G10065" t="str">
            <v>COVER HOUSING</v>
          </cell>
          <cell r="H10065" t="str">
            <v>CHO0280</v>
          </cell>
        </row>
        <row r="10066">
          <cell r="F10066" t="str">
            <v>24P-REC(K)</v>
          </cell>
          <cell r="G10066" t="str">
            <v>COVER HOUSING</v>
          </cell>
          <cell r="H10066" t="str">
            <v>CHO0279</v>
          </cell>
        </row>
        <row r="10067">
          <cell r="F10067" t="str">
            <v>DDICH-3P-FL (L)-2</v>
          </cell>
          <cell r="G10067" t="str">
            <v>COVER HOUSING</v>
          </cell>
          <cell r="H10067" t="str">
            <v>CHO0278</v>
          </cell>
        </row>
        <row r="10068">
          <cell r="F10068" t="str">
            <v>DDFF250NR(A)S(UL)</v>
          </cell>
          <cell r="G10068" t="str">
            <v>SLEEVE</v>
          </cell>
          <cell r="H10068" t="str">
            <v>CHO0277</v>
          </cell>
        </row>
        <row r="10069">
          <cell r="F10069" t="str">
            <v>DDICH-13P-L(K)</v>
          </cell>
          <cell r="G10069" t="str">
            <v>COVER HOUSING</v>
          </cell>
          <cell r="H10069" t="str">
            <v>CHO0276</v>
          </cell>
        </row>
        <row r="10070">
          <cell r="F10070" t="str">
            <v>DDICH-6P-FL (L)</v>
          </cell>
          <cell r="G10070" t="str">
            <v>COVER HOUSING</v>
          </cell>
          <cell r="H10070" t="str">
            <v>CHO0275</v>
          </cell>
        </row>
        <row r="10071">
          <cell r="F10071" t="str">
            <v>DDICH-5P-FL (L)</v>
          </cell>
          <cell r="G10071" t="str">
            <v>COVER HOUSING</v>
          </cell>
          <cell r="H10071" t="str">
            <v>CHO0274</v>
          </cell>
        </row>
        <row r="10072">
          <cell r="F10072" t="str">
            <v>DDFA 250NR(A) TI(NY)</v>
          </cell>
          <cell r="G10072" t="str">
            <v>SLEEVE</v>
          </cell>
          <cell r="H10072" t="str">
            <v>CHO0273</v>
          </cell>
        </row>
        <row r="10073">
          <cell r="F10073" t="str">
            <v>DDFF 187NR(A)(UL)</v>
          </cell>
          <cell r="G10073" t="str">
            <v>SLEEVE</v>
          </cell>
          <cell r="H10073" t="str">
            <v>CHO0272</v>
          </cell>
        </row>
        <row r="10074">
          <cell r="F10074" t="str">
            <v>DDT5-7Ø(3.0)TI난연(WP) 노컷팅</v>
          </cell>
          <cell r="G10074" t="str">
            <v>SLEEVE</v>
          </cell>
          <cell r="H10074" t="str">
            <v>CHO0271</v>
          </cell>
        </row>
        <row r="10075">
          <cell r="F10075" t="str">
            <v>DDR5-45MM(TI)V-0 W.P</v>
          </cell>
          <cell r="G10075" t="str">
            <v>SLEEVE</v>
          </cell>
          <cell r="H10075" t="str">
            <v>CHO0270</v>
          </cell>
        </row>
        <row r="10076">
          <cell r="F10076" t="str">
            <v>DDR5-2.5 (TI)난연(WP)노컷팅</v>
          </cell>
          <cell r="G10076" t="str">
            <v>SLEEVE</v>
          </cell>
          <cell r="H10076" t="str">
            <v>CHO0269</v>
          </cell>
        </row>
        <row r="10077">
          <cell r="F10077" t="str">
            <v>DDFF 187NR(A) TI(NY)</v>
          </cell>
          <cell r="G10077" t="str">
            <v>SLEEVE</v>
          </cell>
          <cell r="H10077" t="str">
            <v>CHO0268</v>
          </cell>
        </row>
        <row r="10078">
          <cell r="F10078" t="str">
            <v>3.8*45MM(TI)V-0 W.P</v>
          </cell>
          <cell r="G10078" t="str">
            <v>SLEEVE</v>
          </cell>
          <cell r="H10078" t="str">
            <v>CHO0267</v>
          </cell>
        </row>
        <row r="10079">
          <cell r="F10079" t="str">
            <v>DDICH 6P-N(TI)</v>
          </cell>
          <cell r="G10079" t="str">
            <v>COVER HOUSING</v>
          </cell>
          <cell r="H10079" t="str">
            <v>CHO0266</v>
          </cell>
        </row>
        <row r="10080">
          <cell r="F10080" t="str">
            <v>DDICH 3P-DK(MO) (TI)난연</v>
          </cell>
          <cell r="G10080" t="str">
            <v>COVER HOUSING</v>
          </cell>
          <cell r="H10080" t="str">
            <v>CHO0265</v>
          </cell>
        </row>
        <row r="10081">
          <cell r="F10081" t="str">
            <v>DDICH 2P-L(DK)TI난연</v>
          </cell>
          <cell r="G10081" t="str">
            <v>COVER HOUSING</v>
          </cell>
          <cell r="H10081" t="str">
            <v>CHO0264</v>
          </cell>
        </row>
        <row r="10082">
          <cell r="F10082" t="str">
            <v>DDICH 1P-DK(TI)난연</v>
          </cell>
          <cell r="G10082" t="str">
            <v>SLEEVE</v>
          </cell>
          <cell r="H10082" t="str">
            <v>CHO0262</v>
          </cell>
        </row>
        <row r="10083">
          <cell r="F10083" t="str">
            <v>DFF 250NR(A) TI(NY)</v>
          </cell>
          <cell r="G10083" t="str">
            <v>SLEEVE</v>
          </cell>
          <cell r="H10083" t="str">
            <v>CHO0261</v>
          </cell>
        </row>
        <row r="10084">
          <cell r="F10084" t="str">
            <v>DFF18-3.0(NY) TI</v>
          </cell>
          <cell r="G10084" t="str">
            <v>SLEEVE</v>
          </cell>
          <cell r="H10084" t="str">
            <v>CHO0260</v>
          </cell>
        </row>
        <row r="10085">
          <cell r="F10085" t="str">
            <v>DFA187NR(A) TI</v>
          </cell>
          <cell r="G10085" t="str">
            <v>SLEEVE</v>
          </cell>
          <cell r="H10085" t="str">
            <v>CHO0259</v>
          </cell>
        </row>
        <row r="10086">
          <cell r="F10086" t="str">
            <v>DDICH 2P-DK(TI)난연</v>
          </cell>
          <cell r="G10086" t="str">
            <v>COVER HOUSING</v>
          </cell>
          <cell r="H10086" t="str">
            <v>CHO0258</v>
          </cell>
        </row>
        <row r="10087">
          <cell r="F10087" t="str">
            <v>DDICH 16P-REC(WP)L</v>
          </cell>
          <cell r="G10087" t="str">
            <v>COVER HOUSING</v>
          </cell>
          <cell r="H10087" t="str">
            <v>CHO0257</v>
          </cell>
        </row>
        <row r="10088">
          <cell r="F10088" t="str">
            <v>DDICH-10P-L(TAB) JST</v>
          </cell>
          <cell r="G10088" t="str">
            <v>COVER HOUSING</v>
          </cell>
          <cell r="H10088" t="str">
            <v>CHO0255</v>
          </cell>
        </row>
        <row r="10089">
          <cell r="F10089" t="str">
            <v>DDICH-10P-L(REC) JST</v>
          </cell>
          <cell r="G10089" t="str">
            <v>COVER HOUSING</v>
          </cell>
          <cell r="H10089" t="str">
            <v>CHO0254</v>
          </cell>
        </row>
        <row r="10090">
          <cell r="F10090" t="str">
            <v>DDICH-16P-TAB (JST)</v>
          </cell>
          <cell r="G10090" t="str">
            <v>COVER HOUSING</v>
          </cell>
          <cell r="H10090" t="str">
            <v>CHO0253</v>
          </cell>
        </row>
        <row r="10091">
          <cell r="F10091" t="str">
            <v>DDICH-16P-REC (JST)</v>
          </cell>
          <cell r="G10091" t="str">
            <v>COVER HOUSING</v>
          </cell>
          <cell r="H10091" t="str">
            <v>CHO0252</v>
          </cell>
        </row>
        <row r="10092">
          <cell r="F10092" t="str">
            <v>DDICH 10P-TAB JST</v>
          </cell>
          <cell r="G10092" t="str">
            <v>COVER HOUSING</v>
          </cell>
          <cell r="H10092" t="str">
            <v>CHO0251</v>
          </cell>
        </row>
        <row r="10093">
          <cell r="F10093" t="str">
            <v>DDICH 10P-REC JST(N)</v>
          </cell>
          <cell r="G10093" t="str">
            <v>COVER HOUSING</v>
          </cell>
          <cell r="H10093" t="str">
            <v>CHO0250</v>
          </cell>
        </row>
        <row r="10094">
          <cell r="F10094" t="str">
            <v>16P-L TAB (JST)</v>
          </cell>
          <cell r="G10094" t="str">
            <v>COVER HOUSING</v>
          </cell>
          <cell r="H10094" t="str">
            <v>CHO0249</v>
          </cell>
        </row>
        <row r="10095">
          <cell r="F10095" t="str">
            <v>16P-L REC (JST)</v>
          </cell>
          <cell r="G10095" t="str">
            <v>COVER HOUSING</v>
          </cell>
          <cell r="H10095" t="str">
            <v>CHO0248</v>
          </cell>
        </row>
        <row r="10096">
          <cell r="F10096" t="str">
            <v>DDICH-2P-FL (L)</v>
          </cell>
          <cell r="G10096" t="str">
            <v>COVER HOUSING</v>
          </cell>
          <cell r="H10096" t="str">
            <v>CHO0247</v>
          </cell>
        </row>
        <row r="10097">
          <cell r="F10097" t="str">
            <v>DDICH-3P-FL (L)</v>
          </cell>
          <cell r="G10097" t="str">
            <v>COVER HOUSING</v>
          </cell>
          <cell r="H10097" t="str">
            <v>CHO0246</v>
          </cell>
        </row>
        <row r="10098">
          <cell r="F10098" t="str">
            <v>DDFA11-2.5(S)N 11.5mm</v>
          </cell>
          <cell r="G10098" t="str">
            <v>SLEEVE</v>
          </cell>
          <cell r="H10098" t="str">
            <v>CHO0244</v>
          </cell>
        </row>
        <row r="10099">
          <cell r="F10099" t="str">
            <v>5.5x1.2x17 (PK) NY</v>
          </cell>
          <cell r="G10099" t="str">
            <v>END CAP</v>
          </cell>
          <cell r="H10099" t="str">
            <v>CHO0243</v>
          </cell>
        </row>
        <row r="10100">
          <cell r="F10100" t="str">
            <v>DDICH 28P-N(K)</v>
          </cell>
          <cell r="G10100" t="str">
            <v>COVER HOUSING</v>
          </cell>
          <cell r="H10100" t="str">
            <v>CHO0242</v>
          </cell>
        </row>
        <row r="10101">
          <cell r="F10101" t="str">
            <v>DDICH-7P-FL (L)</v>
          </cell>
          <cell r="G10101" t="str">
            <v>COVER HOUSING</v>
          </cell>
          <cell r="H10101" t="str">
            <v>CHO0241</v>
          </cell>
        </row>
        <row r="10102">
          <cell r="F10102" t="str">
            <v>DDICH-1P S</v>
          </cell>
          <cell r="G10102" t="str">
            <v>COVER HOUSING</v>
          </cell>
          <cell r="H10102" t="str">
            <v>CHO0238</v>
          </cell>
        </row>
        <row r="10103">
          <cell r="F10103" t="str">
            <v>9P</v>
          </cell>
          <cell r="G10103" t="str">
            <v>COVER HOUSING</v>
          </cell>
          <cell r="H10103" t="str">
            <v>CHO0237</v>
          </cell>
        </row>
        <row r="10104">
          <cell r="F10104" t="str">
            <v>DDFF-25H-4.8</v>
          </cell>
          <cell r="G10104" t="str">
            <v>SLEEVE</v>
          </cell>
          <cell r="H10104" t="str">
            <v>CHO0236</v>
          </cell>
        </row>
        <row r="10105">
          <cell r="F10105" t="str">
            <v>DDFF18-3.0(UL) L</v>
          </cell>
          <cell r="G10105" t="str">
            <v>SLEEVE</v>
          </cell>
          <cell r="H10105" t="str">
            <v>CHO0235</v>
          </cell>
        </row>
        <row r="10106">
          <cell r="F10106" t="str">
            <v>16P-REC(WP)</v>
          </cell>
          <cell r="G10106" t="str">
            <v>COVER HOUSING</v>
          </cell>
          <cell r="H10106" t="str">
            <v>CHO0234</v>
          </cell>
        </row>
        <row r="10107">
          <cell r="F10107" t="str">
            <v>DDICH 3P-TAB(YH)</v>
          </cell>
          <cell r="G10107" t="str">
            <v>COVER HOUSING</v>
          </cell>
          <cell r="H10107" t="str">
            <v>CHO0229</v>
          </cell>
        </row>
        <row r="10108">
          <cell r="F10108" t="str">
            <v>DDICH 3P-REC(YH)</v>
          </cell>
          <cell r="G10108" t="str">
            <v>COVER HOUSING</v>
          </cell>
          <cell r="H10108" t="str">
            <v>CHO0228</v>
          </cell>
        </row>
        <row r="10109">
          <cell r="F10109" t="str">
            <v>4P-TAB(KET)</v>
          </cell>
          <cell r="G10109" t="str">
            <v>COVER HOUSING</v>
          </cell>
          <cell r="H10109" t="str">
            <v>CHO0227</v>
          </cell>
        </row>
        <row r="10110">
          <cell r="F10110" t="str">
            <v>DDICH 4P-REC(A)</v>
          </cell>
          <cell r="G10110" t="str">
            <v>COVER HOUSING</v>
          </cell>
          <cell r="H10110" t="str">
            <v>CHO0226</v>
          </cell>
        </row>
        <row r="10111">
          <cell r="F10111" t="str">
            <v>DDT5-7 Ø(3.0)BL/NY(WP)</v>
          </cell>
          <cell r="G10111" t="str">
            <v>SLEEVE</v>
          </cell>
          <cell r="H10111" t="str">
            <v>CHO0225</v>
          </cell>
        </row>
        <row r="10112">
          <cell r="F10112" t="str">
            <v>DDR5-2.5(BL)NY(WP)</v>
          </cell>
          <cell r="G10112" t="str">
            <v>SLEEVE</v>
          </cell>
          <cell r="H10112" t="str">
            <v>CHO0224</v>
          </cell>
        </row>
        <row r="10113">
          <cell r="F10113" t="str">
            <v>DDFA 11-3.0(TI)NY</v>
          </cell>
          <cell r="G10113" t="str">
            <v>SLEEVE</v>
          </cell>
          <cell r="H10113" t="str">
            <v>CHO0223</v>
          </cell>
        </row>
        <row r="10114">
          <cell r="F10114" t="str">
            <v>DDFA 18-3.0(TI)NY</v>
          </cell>
          <cell r="G10114" t="str">
            <v>SLEEVE</v>
          </cell>
          <cell r="H10114" t="str">
            <v>CHO0221</v>
          </cell>
        </row>
        <row r="10115">
          <cell r="F10115" t="str">
            <v>16P-L(JST)PK</v>
          </cell>
          <cell r="G10115" t="str">
            <v>COVER HOUSING</v>
          </cell>
          <cell r="H10115" t="str">
            <v>CHO0220</v>
          </cell>
        </row>
        <row r="10116">
          <cell r="F10116" t="str">
            <v>12P-REC(YH)</v>
          </cell>
          <cell r="G10116" t="str">
            <v>COVER HOUSING</v>
          </cell>
          <cell r="H10116" t="str">
            <v>CHO0219</v>
          </cell>
        </row>
        <row r="10117">
          <cell r="F10117" t="str">
            <v>12P-TAB(YH)</v>
          </cell>
          <cell r="G10117" t="str">
            <v>COVER HOUSING</v>
          </cell>
          <cell r="H10117" t="str">
            <v>CHO0218</v>
          </cell>
        </row>
        <row r="10118">
          <cell r="F10118" t="str">
            <v>2P-TAB(JST)/BL</v>
          </cell>
          <cell r="G10118" t="str">
            <v>COVER HOUSING</v>
          </cell>
          <cell r="H10118" t="str">
            <v>CHO0217</v>
          </cell>
        </row>
        <row r="10119">
          <cell r="F10119" t="str">
            <v>DICH-3P-DK(MO)</v>
          </cell>
          <cell r="G10119" t="str">
            <v>COVER HOUSING</v>
          </cell>
          <cell r="H10119" t="str">
            <v>CHO0216</v>
          </cell>
        </row>
        <row r="10120">
          <cell r="F10120" t="str">
            <v>DDICH-20P-L(TAB)JST 'N'</v>
          </cell>
          <cell r="G10120" t="str">
            <v>COVER HOUSING</v>
          </cell>
          <cell r="H10120" t="str">
            <v>CHO0215</v>
          </cell>
        </row>
        <row r="10121">
          <cell r="F10121" t="str">
            <v>DDICH-20P-L(REC)S-JST 'N'</v>
          </cell>
          <cell r="G10121" t="str">
            <v>COVER HOUSING</v>
          </cell>
          <cell r="H10121" t="str">
            <v>CHO0214</v>
          </cell>
        </row>
        <row r="10122">
          <cell r="F10122" t="str">
            <v>DDICH-8P-JST(W/P)</v>
          </cell>
          <cell r="G10122" t="str">
            <v>COVER HOUSING</v>
          </cell>
          <cell r="H10122" t="str">
            <v>CHO0213</v>
          </cell>
        </row>
        <row r="10123">
          <cell r="F10123" t="str">
            <v>DDICH-8P-JST</v>
          </cell>
          <cell r="G10123" t="str">
            <v>COVER HOUSING</v>
          </cell>
          <cell r="H10123" t="str">
            <v>CHO0212</v>
          </cell>
        </row>
        <row r="10124">
          <cell r="F10124" t="str">
            <v>5P-TAB (M)</v>
          </cell>
          <cell r="G10124" t="str">
            <v>COVER HOUSING</v>
          </cell>
          <cell r="H10124" t="str">
            <v>CHO0210</v>
          </cell>
        </row>
        <row r="10125">
          <cell r="F10125" t="str">
            <v>DDICH-4P-L(K)</v>
          </cell>
          <cell r="G10125" t="str">
            <v>COVER HOUSING</v>
          </cell>
          <cell r="H10125" t="str">
            <v>CHO0209</v>
          </cell>
        </row>
        <row r="10126">
          <cell r="F10126" t="str">
            <v>DDICH-5P-FL</v>
          </cell>
          <cell r="G10126" t="str">
            <v>COVER HOUSING</v>
          </cell>
          <cell r="H10126" t="str">
            <v>CHO0208</v>
          </cell>
        </row>
        <row r="10127">
          <cell r="F10127" t="str">
            <v>DDICH-3P-FL</v>
          </cell>
          <cell r="G10127" t="str">
            <v>COVER HOUSING</v>
          </cell>
          <cell r="H10127" t="str">
            <v>CHO0207</v>
          </cell>
        </row>
        <row r="10128">
          <cell r="F10128" t="str">
            <v>DDICH-DOOR-2P-N</v>
          </cell>
          <cell r="G10128" t="str">
            <v>COVER HOUSING</v>
          </cell>
          <cell r="H10128" t="str">
            <v>CHO0206</v>
          </cell>
        </row>
        <row r="10129">
          <cell r="F10129" t="str">
            <v>DDICH 3P-L(XM)(N)</v>
          </cell>
          <cell r="G10129" t="str">
            <v>COVER HOUSING</v>
          </cell>
          <cell r="H10129" t="str">
            <v>CHO0205</v>
          </cell>
        </row>
        <row r="10130">
          <cell r="F10130" t="str">
            <v>DDFA 11-2.8 (TI)NY</v>
          </cell>
          <cell r="G10130" t="str">
            <v>SLEEVE</v>
          </cell>
          <cell r="H10130" t="str">
            <v>CHO0204</v>
          </cell>
        </row>
        <row r="10131">
          <cell r="F10131" t="str">
            <v>DDFA-18-2.8 (NO CUTTING)</v>
          </cell>
          <cell r="G10131" t="str">
            <v>SLEEVE</v>
          </cell>
          <cell r="H10131" t="str">
            <v>CHO0203</v>
          </cell>
        </row>
        <row r="10132">
          <cell r="F10132" t="str">
            <v>DDFF 25-4.0 (TI)NY</v>
          </cell>
          <cell r="G10132" t="str">
            <v>SLEEVE</v>
          </cell>
          <cell r="H10132" t="str">
            <v>CHO0200</v>
          </cell>
        </row>
        <row r="10133">
          <cell r="F10133" t="str">
            <v>DDFF 18-3.0(TI)NY</v>
          </cell>
          <cell r="G10133" t="str">
            <v>SLEEVE</v>
          </cell>
          <cell r="H10133" t="str">
            <v>CHO0199</v>
          </cell>
        </row>
        <row r="10134">
          <cell r="F10134" t="str">
            <v>DDFA 110NR(TI)NY</v>
          </cell>
          <cell r="G10134" t="str">
            <v>SLEEVE</v>
          </cell>
          <cell r="H10134" t="str">
            <v>CHO0198</v>
          </cell>
        </row>
        <row r="10135">
          <cell r="F10135" t="str">
            <v>3P-REC (N)</v>
          </cell>
          <cell r="G10135" t="str">
            <v>COVER HOUSING</v>
          </cell>
          <cell r="H10135" t="str">
            <v>CHO0197</v>
          </cell>
        </row>
        <row r="10136">
          <cell r="F10136" t="str">
            <v>4P-TAB (M)</v>
          </cell>
          <cell r="G10136" t="str">
            <v>COVER HOUSING</v>
          </cell>
          <cell r="H10136" t="str">
            <v>CHO0196</v>
          </cell>
        </row>
        <row r="10137">
          <cell r="F10137" t="str">
            <v>4P-REC (M)</v>
          </cell>
          <cell r="G10137" t="str">
            <v>COVER HOUSING</v>
          </cell>
          <cell r="H10137" t="str">
            <v>CHO0195</v>
          </cell>
        </row>
        <row r="10138">
          <cell r="F10138" t="str">
            <v>DDFF 18-3.0</v>
          </cell>
          <cell r="G10138" t="str">
            <v>SLEEVE</v>
          </cell>
          <cell r="H10138" t="str">
            <v>CHO0194</v>
          </cell>
        </row>
        <row r="10139">
          <cell r="F10139" t="str">
            <v>12P-K(N)</v>
          </cell>
          <cell r="G10139" t="str">
            <v>COVER HOUSING</v>
          </cell>
          <cell r="H10139" t="str">
            <v>CHO0193</v>
          </cell>
        </row>
        <row r="10140">
          <cell r="F10140" t="str">
            <v>3P-TAB(N)</v>
          </cell>
          <cell r="G10140" t="str">
            <v>COVER HOUSING</v>
          </cell>
          <cell r="H10140" t="str">
            <v>CHO0192</v>
          </cell>
        </row>
        <row r="10141">
          <cell r="F10141" t="str">
            <v>9P-L(SQUARE)</v>
          </cell>
          <cell r="G10141" t="str">
            <v>COVER HOUSING</v>
          </cell>
          <cell r="H10141" t="str">
            <v>CHO0191</v>
          </cell>
        </row>
        <row r="10142">
          <cell r="F10142" t="str">
            <v>16P-MK</v>
          </cell>
          <cell r="G10142" t="str">
            <v>COVER HOUSING</v>
          </cell>
          <cell r="H10142" t="str">
            <v>CHO0190</v>
          </cell>
        </row>
        <row r="10143">
          <cell r="F10143" t="str">
            <v>6P-2W</v>
          </cell>
          <cell r="G10143" t="str">
            <v>COVER HOUSING</v>
          </cell>
          <cell r="H10143" t="str">
            <v>CHO0189</v>
          </cell>
        </row>
        <row r="10144">
          <cell r="F10144" t="str">
            <v>DFA18-3.5</v>
          </cell>
          <cell r="G10144" t="str">
            <v>SLEEVE</v>
          </cell>
          <cell r="H10144" t="str">
            <v>CHO0187</v>
          </cell>
        </row>
        <row r="10145">
          <cell r="F10145" t="str">
            <v>9P-KL</v>
          </cell>
          <cell r="G10145" t="str">
            <v>COVER HOUSING</v>
          </cell>
          <cell r="H10145" t="str">
            <v>CHO0186</v>
          </cell>
        </row>
        <row r="10146">
          <cell r="F10146" t="str">
            <v>10P-REC (M)</v>
          </cell>
          <cell r="G10146" t="str">
            <v>COVER HOUSING</v>
          </cell>
          <cell r="H10146" t="str">
            <v>CHO0185</v>
          </cell>
        </row>
        <row r="10147">
          <cell r="F10147" t="str">
            <v>6P-TAB (M)</v>
          </cell>
          <cell r="G10147" t="str">
            <v>COVER HOUSING</v>
          </cell>
          <cell r="H10147" t="str">
            <v>CHO0184</v>
          </cell>
        </row>
        <row r="10148">
          <cell r="F10148" t="str">
            <v>4P-KL-1</v>
          </cell>
          <cell r="G10148" t="str">
            <v>COVER HOUSING</v>
          </cell>
          <cell r="H10148" t="str">
            <v>CHO0183</v>
          </cell>
        </row>
        <row r="10149">
          <cell r="F10149" t="str">
            <v>6P-REC (M)</v>
          </cell>
          <cell r="G10149" t="str">
            <v>COVER HOUSING</v>
          </cell>
          <cell r="H10149" t="str">
            <v>CHO0182</v>
          </cell>
        </row>
        <row r="10150">
          <cell r="F10150" t="str">
            <v>10P-TAB (M)</v>
          </cell>
          <cell r="G10150" t="str">
            <v>COVER HOUSING</v>
          </cell>
          <cell r="H10150" t="str">
            <v>CHO0181</v>
          </cell>
        </row>
        <row r="10151">
          <cell r="F10151" t="str">
            <v>3P-K</v>
          </cell>
          <cell r="G10151" t="str">
            <v>COVER HOUSING</v>
          </cell>
          <cell r="H10151" t="str">
            <v>CHO0180</v>
          </cell>
        </row>
        <row r="10152">
          <cell r="F10152" t="str">
            <v>DDICH-9P-K(N)</v>
          </cell>
          <cell r="G10152" t="str">
            <v>COVER HOUSING</v>
          </cell>
          <cell r="H10152" t="str">
            <v>CHO0179</v>
          </cell>
        </row>
        <row r="10153">
          <cell r="F10153" t="str">
            <v>DDICH-9P-K(N)SQUARE</v>
          </cell>
          <cell r="G10153" t="str">
            <v>COVER HOUSING</v>
          </cell>
          <cell r="H10153" t="str">
            <v>CHO0178</v>
          </cell>
        </row>
        <row r="10154">
          <cell r="F10154" t="str">
            <v>DDICH-7P-FL</v>
          </cell>
          <cell r="G10154" t="str">
            <v>COVER HOUSING</v>
          </cell>
          <cell r="H10154" t="str">
            <v>CHO0177</v>
          </cell>
        </row>
        <row r="10155">
          <cell r="F10155" t="str">
            <v>DDICH-4P-FL</v>
          </cell>
          <cell r="G10155" t="str">
            <v>COVER HOUSING</v>
          </cell>
          <cell r="H10155" t="str">
            <v>CHO0176</v>
          </cell>
        </row>
        <row r="10156">
          <cell r="F10156" t="str">
            <v>DDICH-2P-FL</v>
          </cell>
          <cell r="G10156" t="str">
            <v>COVER HOUSING</v>
          </cell>
          <cell r="H10156" t="str">
            <v>CHO0175</v>
          </cell>
        </row>
        <row r="10157">
          <cell r="F10157" t="str">
            <v>DDICH-6P-FL</v>
          </cell>
          <cell r="G10157" t="str">
            <v>COVER HOUSING</v>
          </cell>
          <cell r="H10157" t="str">
            <v>CHO0174</v>
          </cell>
        </row>
        <row r="10158">
          <cell r="F10158" t="str">
            <v>DFF 25-4.0 (WHT)</v>
          </cell>
          <cell r="G10158" t="str">
            <v>SLEEVE</v>
          </cell>
          <cell r="H10158" t="str">
            <v>CHO0173</v>
          </cell>
        </row>
        <row r="10159">
          <cell r="F10159" t="str">
            <v>DFA187NR</v>
          </cell>
          <cell r="G10159" t="str">
            <v>SLEEVE</v>
          </cell>
          <cell r="H10159" t="str">
            <v>CHO0168</v>
          </cell>
        </row>
        <row r="10160">
          <cell r="F10160" t="str">
            <v>1P-DK</v>
          </cell>
          <cell r="G10160" t="str">
            <v>COVER HOUSING</v>
          </cell>
          <cell r="H10160" t="str">
            <v>CHO0167</v>
          </cell>
        </row>
        <row r="10161">
          <cell r="F10161" t="str">
            <v>DDICH 2P-DK(PK)NY</v>
          </cell>
          <cell r="G10161" t="str">
            <v>COVER HOUSING</v>
          </cell>
          <cell r="H10161" t="str">
            <v>CHO0166</v>
          </cell>
        </row>
        <row r="10162">
          <cell r="F10162" t="str">
            <v>4P-REC(KET)</v>
          </cell>
          <cell r="G10162" t="str">
            <v>COVER HOUSING</v>
          </cell>
          <cell r="H10162" t="str">
            <v>CHO0165</v>
          </cell>
        </row>
        <row r="10163">
          <cell r="F10163" t="str">
            <v>20P-L(JST)PK</v>
          </cell>
          <cell r="G10163" t="str">
            <v>COVER HOUSING</v>
          </cell>
          <cell r="H10163" t="str">
            <v>CHO0164</v>
          </cell>
        </row>
        <row r="10164">
          <cell r="F10164" t="str">
            <v>6P-N(S)</v>
          </cell>
          <cell r="G10164" t="str">
            <v>COVER HOUSING</v>
          </cell>
          <cell r="H10164" t="str">
            <v>CHO0162</v>
          </cell>
        </row>
        <row r="10165">
          <cell r="F10165" t="str">
            <v>1P-(CIRCLE)</v>
          </cell>
          <cell r="G10165" t="str">
            <v>COVER HOUSING</v>
          </cell>
          <cell r="H10165" t="str">
            <v>CHO0161</v>
          </cell>
        </row>
        <row r="10166">
          <cell r="F10166" t="str">
            <v>6P-TAB(JST)-PWBR</v>
          </cell>
          <cell r="G10166" t="str">
            <v>COVER HOUSING</v>
          </cell>
          <cell r="H10166" t="str">
            <v>CHO0160</v>
          </cell>
        </row>
        <row r="10167">
          <cell r="F10167" t="str">
            <v>DDICH 3P-KL</v>
          </cell>
          <cell r="G10167" t="str">
            <v>COVER HOUSING</v>
          </cell>
          <cell r="H10167" t="str">
            <v>CHO0159</v>
          </cell>
        </row>
        <row r="10168">
          <cell r="F10168" t="str">
            <v>DDICH 6P-2W</v>
          </cell>
          <cell r="G10168" t="str">
            <v>COVER HOUSING</v>
          </cell>
          <cell r="H10168" t="str">
            <v>CHO0158</v>
          </cell>
        </row>
        <row r="10169">
          <cell r="F10169" t="str">
            <v>DT-5-2.8</v>
          </cell>
          <cell r="G10169" t="str">
            <v>SLEEVE</v>
          </cell>
          <cell r="H10169" t="str">
            <v>CHO0156</v>
          </cell>
        </row>
        <row r="10170">
          <cell r="F10170" t="str">
            <v>DR-5-2.8</v>
          </cell>
          <cell r="G10170" t="str">
            <v>SLEEVE</v>
          </cell>
          <cell r="H10170" t="str">
            <v>CHO0155</v>
          </cell>
        </row>
        <row r="10171">
          <cell r="F10171" t="str">
            <v>6P-TAB(JST)-27.5MM</v>
          </cell>
          <cell r="G10171" t="str">
            <v>COVER HOUSING</v>
          </cell>
          <cell r="H10171" t="str">
            <v>CHO0154</v>
          </cell>
        </row>
        <row r="10172">
          <cell r="F10172" t="str">
            <v>3P-TAB(JST)</v>
          </cell>
          <cell r="G10172" t="str">
            <v>COVER HOUSING</v>
          </cell>
          <cell r="H10172" t="str">
            <v>CHO0153</v>
          </cell>
        </row>
        <row r="10173">
          <cell r="F10173" t="str">
            <v>DOOR 2P-CYCLE(A)</v>
          </cell>
          <cell r="G10173" t="str">
            <v>COVER HOUSING</v>
          </cell>
          <cell r="H10173" t="str">
            <v>CHO0152</v>
          </cell>
        </row>
        <row r="10174">
          <cell r="F10174" t="str">
            <v>4P-L(JST)</v>
          </cell>
          <cell r="G10174" t="str">
            <v>COVER HOUSING</v>
          </cell>
          <cell r="H10174" t="str">
            <v>CHO0151</v>
          </cell>
        </row>
        <row r="10175">
          <cell r="F10175" t="str">
            <v>DOOR 2P-L</v>
          </cell>
          <cell r="G10175" t="str">
            <v>COVER HOUSING</v>
          </cell>
          <cell r="H10175" t="str">
            <v>CHO0150</v>
          </cell>
        </row>
        <row r="10176">
          <cell r="F10176" t="str">
            <v>3P-REC(JST)</v>
          </cell>
          <cell r="G10176" t="str">
            <v>COVER HOUSING</v>
          </cell>
          <cell r="H10176" t="str">
            <v>CHO0149</v>
          </cell>
        </row>
        <row r="10177">
          <cell r="F10177" t="str">
            <v>4P-KN</v>
          </cell>
          <cell r="G10177" t="str">
            <v>COVER HOUSING</v>
          </cell>
          <cell r="H10177" t="str">
            <v>CHO0148</v>
          </cell>
        </row>
        <row r="10178">
          <cell r="F10178" t="str">
            <v>20P-L(YLP)</v>
          </cell>
          <cell r="G10178" t="str">
            <v>COVER HOUSING</v>
          </cell>
          <cell r="H10178" t="str">
            <v>CHO0147</v>
          </cell>
        </row>
        <row r="10179">
          <cell r="F10179" t="str">
            <v>DFF250NR(A)PK</v>
          </cell>
          <cell r="G10179" t="str">
            <v>COVER HOUSING</v>
          </cell>
          <cell r="H10179" t="str">
            <v>CHO0146</v>
          </cell>
        </row>
        <row r="10180">
          <cell r="F10180" t="str">
            <v>DFA250NR(A)PK</v>
          </cell>
          <cell r="G10180" t="str">
            <v>COVER HOUSING</v>
          </cell>
          <cell r="H10180" t="str">
            <v>CHO0141</v>
          </cell>
        </row>
        <row r="10181">
          <cell r="F10181" t="str">
            <v>DDICH-12P(N)</v>
          </cell>
          <cell r="G10181" t="str">
            <v>COVER HOUSING</v>
          </cell>
          <cell r="H10181" t="str">
            <v>CHO0140</v>
          </cell>
        </row>
        <row r="10182">
          <cell r="F10182" t="str">
            <v>6P-REC(JST)</v>
          </cell>
          <cell r="G10182" t="str">
            <v>COVER HOUSING</v>
          </cell>
          <cell r="H10182" t="str">
            <v>CHO0139</v>
          </cell>
        </row>
        <row r="10183">
          <cell r="F10183" t="str">
            <v>6P-TAB(JST)</v>
          </cell>
          <cell r="G10183" t="str">
            <v>COVER HOUSING</v>
          </cell>
          <cell r="H10183" t="str">
            <v>CHO0138</v>
          </cell>
        </row>
        <row r="10184">
          <cell r="F10184" t="str">
            <v>2P-KL(N)</v>
          </cell>
          <cell r="G10184" t="str">
            <v>COVER HOUSING</v>
          </cell>
          <cell r="H10184" t="str">
            <v>CHO0137</v>
          </cell>
        </row>
        <row r="10185">
          <cell r="F10185" t="str">
            <v>20P-L(REC)S-JST</v>
          </cell>
          <cell r="G10185" t="str">
            <v>COVER HOUSING</v>
          </cell>
          <cell r="H10185" t="str">
            <v>CHO0136</v>
          </cell>
        </row>
        <row r="10186">
          <cell r="F10186" t="str">
            <v>20P-L(TAB)-JST</v>
          </cell>
          <cell r="G10186" t="str">
            <v>COVER HOUSING</v>
          </cell>
          <cell r="H10186" t="str">
            <v>CHO0133</v>
          </cell>
        </row>
        <row r="10187">
          <cell r="F10187" t="str">
            <v>8P-KL(N)</v>
          </cell>
          <cell r="G10187" t="str">
            <v>COVER HOUSING</v>
          </cell>
          <cell r="H10187" t="str">
            <v>CHO0132</v>
          </cell>
        </row>
        <row r="10188">
          <cell r="F10188" t="str">
            <v>3P-L-SD(JST)BLUE</v>
          </cell>
          <cell r="G10188" t="str">
            <v>COVER HOUSING</v>
          </cell>
          <cell r="H10188" t="str">
            <v>CHO0131</v>
          </cell>
        </row>
        <row r="10189">
          <cell r="F10189" t="str">
            <v>6P-KL(N)</v>
          </cell>
          <cell r="G10189" t="str">
            <v>COVER HOUSING</v>
          </cell>
          <cell r="H10189" t="str">
            <v>CHO0130</v>
          </cell>
        </row>
        <row r="10190">
          <cell r="F10190" t="str">
            <v>DDFF-187NR(A)S</v>
          </cell>
          <cell r="G10190" t="str">
            <v>SLEEVE</v>
          </cell>
          <cell r="H10190" t="str">
            <v>CHO0129</v>
          </cell>
        </row>
        <row r="10191">
          <cell r="F10191" t="str">
            <v>18P-L(JST) PK</v>
          </cell>
          <cell r="G10191" t="str">
            <v>COVER HOUSING</v>
          </cell>
          <cell r="H10191" t="str">
            <v>CHO0128</v>
          </cell>
        </row>
        <row r="10192">
          <cell r="F10192" t="str">
            <v>1P-K(KET)</v>
          </cell>
          <cell r="G10192" t="str">
            <v>COVER HOUSING</v>
          </cell>
          <cell r="H10192" t="str">
            <v>CHO0127</v>
          </cell>
        </row>
        <row r="10193">
          <cell r="F10193" t="str">
            <v>1P-KL(KET)</v>
          </cell>
          <cell r="G10193" t="str">
            <v>COVER HOUSING</v>
          </cell>
          <cell r="H10193" t="str">
            <v>CHO0126</v>
          </cell>
        </row>
        <row r="10194">
          <cell r="F10194" t="str">
            <v>2P-L(JST)-HLR</v>
          </cell>
          <cell r="G10194" t="str">
            <v>COVER HOUSING</v>
          </cell>
          <cell r="H10194" t="str">
            <v>CHO0125</v>
          </cell>
        </row>
        <row r="10195">
          <cell r="F10195" t="str">
            <v>2P-JST</v>
          </cell>
          <cell r="G10195" t="str">
            <v>COVER HOUSING</v>
          </cell>
          <cell r="H10195" t="str">
            <v>CHO0122</v>
          </cell>
        </row>
        <row r="10196">
          <cell r="F10196" t="str">
            <v>6P-N(PK)/NY</v>
          </cell>
          <cell r="G10196" t="str">
            <v>COVER HOUSING</v>
          </cell>
          <cell r="H10196" t="str">
            <v>CHO0118</v>
          </cell>
        </row>
        <row r="10197">
          <cell r="F10197" t="str">
            <v>2P-REC(JST)/BL</v>
          </cell>
          <cell r="G10197" t="str">
            <v>COVER HOUSING</v>
          </cell>
          <cell r="H10197" t="str">
            <v>CHO0117</v>
          </cell>
        </row>
        <row r="10198">
          <cell r="F10198" t="str">
            <v>12P-L(JST) PK</v>
          </cell>
          <cell r="G10198" t="str">
            <v>COVER HOUSING</v>
          </cell>
          <cell r="H10198" t="str">
            <v>CHO0113</v>
          </cell>
        </row>
        <row r="10199">
          <cell r="F10199" t="str">
            <v>8P-L(JST)PK</v>
          </cell>
          <cell r="G10199" t="str">
            <v>COVER HOUSING</v>
          </cell>
          <cell r="H10199" t="str">
            <v>CHO0112</v>
          </cell>
        </row>
        <row r="10200">
          <cell r="F10200" t="str">
            <v>6P-L(JST)PK</v>
          </cell>
          <cell r="G10200" t="str">
            <v>COVER HOUSING</v>
          </cell>
          <cell r="H10200" t="str">
            <v>CHO0110</v>
          </cell>
        </row>
        <row r="10201">
          <cell r="F10201" t="str">
            <v>2P-K KET(BLU)</v>
          </cell>
          <cell r="G10201" t="str">
            <v>COVER HOUSING</v>
          </cell>
          <cell r="H10201" t="str">
            <v>CHO0107</v>
          </cell>
        </row>
        <row r="10202">
          <cell r="F10202" t="str">
            <v>6P-A(AMP)-NEW(W/P)</v>
          </cell>
          <cell r="G10202" t="str">
            <v>COVER HOUSING</v>
          </cell>
          <cell r="H10202" t="str">
            <v>CHO0106</v>
          </cell>
        </row>
        <row r="10203">
          <cell r="F10203" t="str">
            <v>10P-A(AMP)-NEW(W/P)</v>
          </cell>
          <cell r="G10203" t="str">
            <v>COVER HOUSING</v>
          </cell>
          <cell r="H10203" t="str">
            <v>CHO0105</v>
          </cell>
        </row>
        <row r="10204">
          <cell r="F10204" t="str">
            <v>2P-A AMP(W/P)</v>
          </cell>
          <cell r="G10204" t="str">
            <v>COVER HOUSING</v>
          </cell>
          <cell r="H10204" t="str">
            <v>CHO0104</v>
          </cell>
        </row>
        <row r="10205">
          <cell r="F10205" t="str">
            <v>2P-KL(BLU)</v>
          </cell>
          <cell r="G10205" t="str">
            <v>COVER HOUSING</v>
          </cell>
          <cell r="H10205" t="str">
            <v>CHO0103</v>
          </cell>
        </row>
        <row r="10206">
          <cell r="F10206" t="str">
            <v>7P(N) WATERPROOF</v>
          </cell>
          <cell r="G10206" t="str">
            <v>COVER HOUSING</v>
          </cell>
          <cell r="H10206" t="str">
            <v>CHO0102</v>
          </cell>
        </row>
        <row r="10207">
          <cell r="F10207" t="str">
            <v>8P-L(PL)</v>
          </cell>
          <cell r="G10207" t="str">
            <v>COVER HOUSING</v>
          </cell>
          <cell r="H10207" t="str">
            <v>CHO0101</v>
          </cell>
        </row>
        <row r="10208">
          <cell r="F10208" t="str">
            <v>8P-MK</v>
          </cell>
          <cell r="G10208" t="str">
            <v>COVER HOUSING</v>
          </cell>
          <cell r="H10208" t="str">
            <v>CHO0100</v>
          </cell>
        </row>
        <row r="10209">
          <cell r="F10209" t="str">
            <v>3P-L(JST)-PINK</v>
          </cell>
          <cell r="G10209" t="str">
            <v>COVER HOUSING</v>
          </cell>
          <cell r="H10209" t="str">
            <v>CHO0099</v>
          </cell>
        </row>
        <row r="10210">
          <cell r="F10210" t="str">
            <v>12P-JST</v>
          </cell>
          <cell r="G10210" t="str">
            <v>COVER HOUSING</v>
          </cell>
          <cell r="H10210" t="str">
            <v>CHO0097</v>
          </cell>
        </row>
        <row r="10211">
          <cell r="F10211" t="str">
            <v>6P-REC(MOLEX)</v>
          </cell>
          <cell r="G10211" t="str">
            <v>COVER HOUSING</v>
          </cell>
          <cell r="H10211" t="str">
            <v>CHO0094</v>
          </cell>
        </row>
        <row r="10212">
          <cell r="F10212" t="str">
            <v>2P-AL AMP</v>
          </cell>
          <cell r="G10212" t="str">
            <v>COVER HOUSING</v>
          </cell>
          <cell r="H10212" t="str">
            <v>CHO0092</v>
          </cell>
        </row>
        <row r="10213">
          <cell r="F10213" t="str">
            <v>16P-REC(RECTANGLE)</v>
          </cell>
          <cell r="G10213" t="str">
            <v>COVER HOUSING</v>
          </cell>
          <cell r="H10213" t="str">
            <v>CHO0091</v>
          </cell>
        </row>
        <row r="10214">
          <cell r="F10214" t="str">
            <v>16P-REC'N'(S)/AW(BL)</v>
          </cell>
          <cell r="G10214" t="str">
            <v>COVER HOUSING</v>
          </cell>
          <cell r="H10214" t="str">
            <v>CHO0090</v>
          </cell>
        </row>
        <row r="10215">
          <cell r="F10215" t="str">
            <v>16P-TAB(N)/AW(BL)</v>
          </cell>
          <cell r="G10215" t="str">
            <v>COVER HOUSING</v>
          </cell>
          <cell r="H10215" t="str">
            <v>CHO0089</v>
          </cell>
        </row>
        <row r="10216">
          <cell r="F10216" t="str">
            <v>18P-L</v>
          </cell>
          <cell r="G10216" t="str">
            <v>COVER HOUSING</v>
          </cell>
          <cell r="H10216" t="str">
            <v>CHO0084</v>
          </cell>
        </row>
        <row r="10217">
          <cell r="F10217" t="str">
            <v>6P-JST</v>
          </cell>
          <cell r="G10217" t="str">
            <v>COVER HOUSING</v>
          </cell>
          <cell r="H10217" t="str">
            <v>CHO0083</v>
          </cell>
        </row>
        <row r="10218">
          <cell r="F10218" t="str">
            <v>14P(N)</v>
          </cell>
          <cell r="G10218" t="str">
            <v>COVER HOUSING</v>
          </cell>
          <cell r="H10218" t="str">
            <v>CHO0082</v>
          </cell>
        </row>
        <row r="10219">
          <cell r="F10219" t="str">
            <v>4P-L(AMP)BL</v>
          </cell>
          <cell r="G10219" t="str">
            <v>COVER HOUSING</v>
          </cell>
          <cell r="H10219" t="str">
            <v>CHO0081</v>
          </cell>
        </row>
        <row r="10220">
          <cell r="F10220" t="str">
            <v>4P-REC-(N)</v>
          </cell>
          <cell r="G10220" t="str">
            <v>COVER HOUSING</v>
          </cell>
          <cell r="H10220" t="str">
            <v>CHO0078</v>
          </cell>
        </row>
        <row r="10221">
          <cell r="F10221" t="str">
            <v>20P-REC-(JST)(S)</v>
          </cell>
          <cell r="G10221" t="str">
            <v>COVER HOUSING</v>
          </cell>
          <cell r="H10221" t="str">
            <v>CHO0077</v>
          </cell>
        </row>
        <row r="10222">
          <cell r="F10222" t="str">
            <v>20P-TAB-JST</v>
          </cell>
          <cell r="G10222" t="str">
            <v>COVER HOUSING</v>
          </cell>
          <cell r="H10222" t="str">
            <v>CHO0076</v>
          </cell>
        </row>
        <row r="10223">
          <cell r="F10223" t="str">
            <v>4P-TAB N-JST</v>
          </cell>
          <cell r="G10223" t="str">
            <v>COVER HOUSING</v>
          </cell>
          <cell r="H10223" t="str">
            <v>CHO0075</v>
          </cell>
        </row>
        <row r="10224">
          <cell r="F10224" t="str">
            <v>4P-2(REC)</v>
          </cell>
          <cell r="G10224" t="str">
            <v>COVER HOUSING</v>
          </cell>
          <cell r="H10224" t="str">
            <v>CHO0074</v>
          </cell>
        </row>
        <row r="10225">
          <cell r="F10225" t="str">
            <v>4P-2(TAB)</v>
          </cell>
          <cell r="G10225" t="str">
            <v>COVER HOUSING</v>
          </cell>
          <cell r="H10225" t="str">
            <v>CHO0073</v>
          </cell>
        </row>
        <row r="10226">
          <cell r="F10226" t="str">
            <v>12P-REC</v>
          </cell>
          <cell r="G10226" t="str">
            <v>COVER HOUSING</v>
          </cell>
          <cell r="H10226" t="str">
            <v>CHO0072</v>
          </cell>
        </row>
        <row r="10227">
          <cell r="F10227" t="str">
            <v>12P-TAB</v>
          </cell>
          <cell r="G10227" t="str">
            <v>COVER HOUSING</v>
          </cell>
          <cell r="H10227" t="str">
            <v>CHO0071</v>
          </cell>
        </row>
        <row r="10228">
          <cell r="F10228" t="str">
            <v>3P-N</v>
          </cell>
          <cell r="G10228" t="str">
            <v>COVER HOUSING</v>
          </cell>
          <cell r="H10228" t="str">
            <v>CHO0070</v>
          </cell>
        </row>
        <row r="10229">
          <cell r="F10229" t="str">
            <v>16P-TAB</v>
          </cell>
          <cell r="G10229" t="str">
            <v>COVER HOUSING</v>
          </cell>
          <cell r="H10229" t="str">
            <v>CHO0068</v>
          </cell>
        </row>
        <row r="10230">
          <cell r="F10230" t="str">
            <v>8P-REC</v>
          </cell>
          <cell r="G10230" t="str">
            <v>COVER HOUSING</v>
          </cell>
          <cell r="H10230" t="str">
            <v>CHO0067</v>
          </cell>
        </row>
        <row r="10231">
          <cell r="F10231" t="str">
            <v>8P-TAB</v>
          </cell>
          <cell r="G10231" t="str">
            <v>COVER HOUSING</v>
          </cell>
          <cell r="H10231" t="str">
            <v>CHO0066</v>
          </cell>
        </row>
        <row r="10232">
          <cell r="F10232" t="str">
            <v>2P-REC(RECTANGLE)</v>
          </cell>
          <cell r="G10232" t="str">
            <v>COVER HOUSING</v>
          </cell>
          <cell r="H10232" t="str">
            <v>CHO0061</v>
          </cell>
        </row>
        <row r="10233">
          <cell r="F10233" t="str">
            <v>4P-TAB</v>
          </cell>
          <cell r="G10233" t="str">
            <v>COVER HOUSING</v>
          </cell>
          <cell r="H10233" t="str">
            <v>CHO0056</v>
          </cell>
        </row>
        <row r="10234">
          <cell r="F10234" t="str">
            <v>4P-REC</v>
          </cell>
          <cell r="G10234" t="str">
            <v>COVER HOUSING</v>
          </cell>
          <cell r="H10234" t="str">
            <v>CHO0055</v>
          </cell>
        </row>
        <row r="10235">
          <cell r="F10235" t="str">
            <v>4P-L(PK)S</v>
          </cell>
          <cell r="G10235" t="str">
            <v>COVER HOUSING</v>
          </cell>
          <cell r="H10235" t="str">
            <v>CHO0054</v>
          </cell>
        </row>
        <row r="10236">
          <cell r="F10236" t="str">
            <v>4P-KL(N)</v>
          </cell>
          <cell r="G10236" t="str">
            <v>COVER HOUSING</v>
          </cell>
          <cell r="H10236" t="str">
            <v>CHO0053</v>
          </cell>
        </row>
        <row r="10237">
          <cell r="F10237" t="str">
            <v>3P-L</v>
          </cell>
          <cell r="G10237" t="str">
            <v>COVER HOUSING</v>
          </cell>
          <cell r="H10237" t="str">
            <v>CHO0051</v>
          </cell>
        </row>
        <row r="10238">
          <cell r="F10238" t="str">
            <v>2P-TAB(NEW)</v>
          </cell>
          <cell r="G10238" t="str">
            <v>COVER HOUSING</v>
          </cell>
          <cell r="H10238" t="str">
            <v>CHO0050</v>
          </cell>
        </row>
        <row r="10239">
          <cell r="F10239" t="str">
            <v>2P-REC(NEW)</v>
          </cell>
          <cell r="G10239" t="str">
            <v>COVER HOUSING</v>
          </cell>
          <cell r="H10239" t="str">
            <v>CHO0049</v>
          </cell>
        </row>
        <row r="10240">
          <cell r="F10240" t="str">
            <v>2P-L</v>
          </cell>
          <cell r="G10240" t="str">
            <v>COVER HOUSING</v>
          </cell>
          <cell r="H10240" t="str">
            <v>CHO0048</v>
          </cell>
        </row>
        <row r="10241">
          <cell r="F10241" t="str">
            <v>16P-L</v>
          </cell>
          <cell r="G10241" t="str">
            <v>COVER HOUSING</v>
          </cell>
          <cell r="H10241" t="str">
            <v>CHO0047</v>
          </cell>
        </row>
        <row r="10242">
          <cell r="F10242" t="str">
            <v>9P(KL)</v>
          </cell>
          <cell r="G10242" t="str">
            <v>COVER HOUSING</v>
          </cell>
          <cell r="H10242" t="str">
            <v>CHO0041</v>
          </cell>
        </row>
        <row r="10243">
          <cell r="F10243" t="str">
            <v>6P-L</v>
          </cell>
          <cell r="G10243" t="str">
            <v>COVER HOUSING</v>
          </cell>
          <cell r="H10243" t="str">
            <v>CHO0040</v>
          </cell>
        </row>
        <row r="10244">
          <cell r="F10244" t="str">
            <v>6P-N</v>
          </cell>
          <cell r="G10244" t="str">
            <v>COVER HOUSING</v>
          </cell>
          <cell r="H10244" t="str">
            <v>CHO0039</v>
          </cell>
        </row>
        <row r="10245">
          <cell r="F10245" t="str">
            <v>4P-L(YL)S</v>
          </cell>
          <cell r="G10245" t="str">
            <v>COVER HOUSING</v>
          </cell>
          <cell r="H10245" t="str">
            <v>CHO0038</v>
          </cell>
        </row>
        <row r="10246">
          <cell r="F10246" t="str">
            <v>4P-L</v>
          </cell>
          <cell r="G10246" t="str">
            <v>COVER HOUSING</v>
          </cell>
          <cell r="H10246" t="str">
            <v>CHO0037</v>
          </cell>
        </row>
        <row r="10247">
          <cell r="F10247" t="str">
            <v>4P-N</v>
          </cell>
          <cell r="G10247" t="str">
            <v>COVER HOUSING</v>
          </cell>
          <cell r="H10247" t="str">
            <v>CHO0036</v>
          </cell>
        </row>
        <row r="10248">
          <cell r="F10248" t="str">
            <v>2P(N)</v>
          </cell>
          <cell r="G10248" t="str">
            <v>COVER HOUSING</v>
          </cell>
          <cell r="H10248" t="str">
            <v>CHO0035</v>
          </cell>
        </row>
        <row r="10249">
          <cell r="F10249" t="str">
            <v>DFF25-4.0(PK)</v>
          </cell>
          <cell r="G10249" t="str">
            <v>SLEEVE</v>
          </cell>
          <cell r="H10249" t="str">
            <v>CHO0030</v>
          </cell>
        </row>
        <row r="10250">
          <cell r="F10250" t="str">
            <v>DFA187NR(A)HEAT RESISTANT REC</v>
          </cell>
          <cell r="G10250" t="str">
            <v>SLEEVE</v>
          </cell>
          <cell r="H10250" t="str">
            <v>CHO0027</v>
          </cell>
        </row>
        <row r="10251">
          <cell r="F10251" t="str">
            <v>DFA11-2.8(UL)</v>
          </cell>
          <cell r="G10251" t="str">
            <v>SLEEVE</v>
          </cell>
          <cell r="H10251" t="str">
            <v>CHO0025</v>
          </cell>
        </row>
        <row r="10252">
          <cell r="F10252" t="str">
            <v>DFF18-3.0(PKNY)</v>
          </cell>
          <cell r="G10252" t="str">
            <v>SLEEVE</v>
          </cell>
          <cell r="H10252" t="str">
            <v>CHO0022</v>
          </cell>
        </row>
        <row r="10253">
          <cell r="F10253" t="str">
            <v>DFF25-4.0(UL)</v>
          </cell>
          <cell r="G10253" t="str">
            <v>SLEEVE</v>
          </cell>
          <cell r="H10253" t="str">
            <v>CHO0018</v>
          </cell>
        </row>
        <row r="10254">
          <cell r="F10254" t="str">
            <v>DDFF18-3.0(UL)</v>
          </cell>
          <cell r="G10254" t="str">
            <v>SLEEVE</v>
          </cell>
          <cell r="H10254" t="str">
            <v>CHO0017</v>
          </cell>
        </row>
        <row r="10255">
          <cell r="F10255" t="str">
            <v>DFA250NR(UL)</v>
          </cell>
          <cell r="G10255" t="str">
            <v>SLEEVE</v>
          </cell>
          <cell r="H10255" t="str">
            <v>CHO0014</v>
          </cell>
        </row>
        <row r="10256">
          <cell r="F10256" t="str">
            <v>DFA250NR(A)(UL)</v>
          </cell>
          <cell r="G10256" t="str">
            <v>SLEEVE</v>
          </cell>
          <cell r="H10256" t="str">
            <v>CHO0013</v>
          </cell>
        </row>
        <row r="10257">
          <cell r="F10257" t="str">
            <v>DFA187NR(A)(UL)</v>
          </cell>
          <cell r="G10257" t="str">
            <v>SLEEVE</v>
          </cell>
          <cell r="H10257" t="str">
            <v>CHO0010</v>
          </cell>
        </row>
        <row r="10258">
          <cell r="F10258" t="str">
            <v>DFA187NR(A) TRUMPET</v>
          </cell>
          <cell r="G10258" t="str">
            <v>SLEEVE</v>
          </cell>
          <cell r="H10258" t="str">
            <v>CHO0009</v>
          </cell>
        </row>
        <row r="10259">
          <cell r="F10259" t="str">
            <v>DFA187NR(A)PK</v>
          </cell>
          <cell r="G10259" t="str">
            <v>SLEEVE</v>
          </cell>
          <cell r="H10259" t="str">
            <v>CHO0008</v>
          </cell>
        </row>
        <row r="10260">
          <cell r="F10260" t="str">
            <v>DFA110NR(A)</v>
          </cell>
          <cell r="G10260" t="str">
            <v>SLEEVE</v>
          </cell>
          <cell r="H10260" t="str">
            <v>CHO0004</v>
          </cell>
        </row>
        <row r="10261">
          <cell r="F10261" t="str">
            <v>DDFF18-3.0(TRUMPET)</v>
          </cell>
          <cell r="G10261" t="str">
            <v>SLEEVE</v>
          </cell>
          <cell r="H10261" t="str">
            <v>CHO0001</v>
          </cell>
        </row>
        <row r="10262">
          <cell r="F10262" t="str">
            <v>T80R-B</v>
          </cell>
          <cell r="G10262" t="str">
            <v>C/TIES</v>
          </cell>
          <cell r="H10262" t="str">
            <v>CHMCT80RB00</v>
          </cell>
        </row>
        <row r="10263">
          <cell r="F10263" t="str">
            <v>T50R-B</v>
          </cell>
          <cell r="G10263" t="str">
            <v>C/TIES</v>
          </cell>
          <cell r="H10263" t="str">
            <v>CHMCT50RB00</v>
          </cell>
        </row>
        <row r="10264">
          <cell r="F10264" t="str">
            <v>T30R-B</v>
          </cell>
          <cell r="G10264" t="str">
            <v>C/TIES</v>
          </cell>
          <cell r="H10264" t="str">
            <v>CHMCT30RB00</v>
          </cell>
        </row>
        <row r="10265">
          <cell r="F10265" t="str">
            <v>T30L-B</v>
          </cell>
          <cell r="G10265" t="str">
            <v>C/TIES</v>
          </cell>
          <cell r="H10265" t="str">
            <v>CHMCT30LB00</v>
          </cell>
        </row>
        <row r="10266">
          <cell r="F10266" t="str">
            <v>18115-39000</v>
          </cell>
          <cell r="G10266" t="str">
            <v>GENERAL B/CABLE</v>
          </cell>
          <cell r="H10266" t="str">
            <v>CHKB0SCRGR0</v>
          </cell>
        </row>
        <row r="10267">
          <cell r="F10267" t="str">
            <v>91960-3K150</v>
          </cell>
          <cell r="G10267" t="str">
            <v>CLIP</v>
          </cell>
          <cell r="H10267" t="str">
            <v>CGAC03K15B0</v>
          </cell>
        </row>
        <row r="10268">
          <cell r="F10268" t="str">
            <v>91960-3K140</v>
          </cell>
          <cell r="G10268" t="str">
            <v>CLIP</v>
          </cell>
          <cell r="H10268" t="str">
            <v>CGAC03K14B0</v>
          </cell>
        </row>
        <row r="10269">
          <cell r="F10269" t="str">
            <v>91960-3K120</v>
          </cell>
          <cell r="G10269" t="str">
            <v>DOUBLE CLIP</v>
          </cell>
          <cell r="H10269" t="str">
            <v>CGAC03K12B0</v>
          </cell>
        </row>
        <row r="10270">
          <cell r="F10270" t="str">
            <v>91190-2D050</v>
          </cell>
          <cell r="G10270" t="str">
            <v>CLIP</v>
          </cell>
          <cell r="H10270" t="str">
            <v>CFCC0911GY0</v>
          </cell>
        </row>
        <row r="10271">
          <cell r="F10271" t="str">
            <v>91190-2D040</v>
          </cell>
          <cell r="G10271" t="str">
            <v>CLIP</v>
          </cell>
          <cell r="H10271" t="str">
            <v>CFCC0911GR0</v>
          </cell>
        </row>
        <row r="10272">
          <cell r="F10272" t="str">
            <v>3531-3342</v>
          </cell>
          <cell r="G10272" t="str">
            <v>SLOT HOLE FIXING CLIP(DARK GRAY)</v>
          </cell>
          <cell r="H10272" t="str">
            <v>CDPH0SLOTDG</v>
          </cell>
        </row>
        <row r="10273">
          <cell r="F10273" t="str">
            <v>91961-3J030</v>
          </cell>
          <cell r="G10273" t="str">
            <v>CLIP</v>
          </cell>
          <cell r="H10273" t="str">
            <v>CDNC0113B00</v>
          </cell>
        </row>
        <row r="10274">
          <cell r="F10274" t="str">
            <v>91960-3M020</v>
          </cell>
          <cell r="G10274" t="str">
            <v>GENERAL B/CABLE</v>
          </cell>
          <cell r="H10274" t="str">
            <v>CDIB0602MGR</v>
          </cell>
        </row>
        <row r="10275">
          <cell r="F10275" t="str">
            <v>91971-G5200-1</v>
          </cell>
          <cell r="G10275" t="str">
            <v>HOUSING CLIP</v>
          </cell>
          <cell r="H10275" t="str">
            <v>CCKC0G520B0</v>
          </cell>
        </row>
        <row r="10276">
          <cell r="F10276" t="str">
            <v>1-1897255-2</v>
          </cell>
          <cell r="G10276" t="str">
            <v>HOUSING CLIP</v>
          </cell>
          <cell r="H10276" t="str">
            <v>CAPH0903B01</v>
          </cell>
        </row>
        <row r="10277">
          <cell r="F10277" t="str">
            <v>368165-1</v>
          </cell>
          <cell r="G10277" t="str">
            <v>HOUSING CLIP</v>
          </cell>
          <cell r="H10277" t="str">
            <v>CAPH00EJB00</v>
          </cell>
        </row>
        <row r="10278">
          <cell r="F10278" t="str">
            <v>368270-2</v>
          </cell>
          <cell r="G10278" t="str">
            <v>HOUSING CLIP</v>
          </cell>
          <cell r="H10278" t="str">
            <v>CAPH0090B02</v>
          </cell>
        </row>
        <row r="10279">
          <cell r="F10279" t="str">
            <v>91961-07200</v>
          </cell>
          <cell r="G10279" t="str">
            <v>SINGLE CLIP</v>
          </cell>
          <cell r="H10279" t="str">
            <v>C00C9610GR0</v>
          </cell>
        </row>
        <row r="10280">
          <cell r="F10280" t="str">
            <v>91960-4H360</v>
          </cell>
          <cell r="G10280" t="str">
            <v>T CLIP</v>
          </cell>
          <cell r="H10280" t="str">
            <v>C00C4H360B0</v>
          </cell>
        </row>
        <row r="10281">
          <cell r="F10281" t="str">
            <v>91972-CH010-1</v>
          </cell>
          <cell r="G10281" t="str">
            <v>GENERAL B/CABLE</v>
          </cell>
          <cell r="H10281" t="str">
            <v>C00B0CH01B0</v>
          </cell>
        </row>
        <row r="10282">
          <cell r="F10282" t="str">
            <v>91971-AR020</v>
          </cell>
          <cell r="G10282" t="str">
            <v>GENERAL B/CABLE</v>
          </cell>
          <cell r="H10282" t="str">
            <v>C00B0AR02B0</v>
          </cell>
        </row>
        <row r="10283">
          <cell r="F10283" t="str">
            <v>KCBT0417-1102SA</v>
          </cell>
          <cell r="G10283" t="str">
            <v>BATT TERMINAL</v>
          </cell>
          <cell r="H10283" t="str">
            <v>BATTT-00086</v>
          </cell>
        </row>
        <row r="10284">
          <cell r="F10284" t="str">
            <v>HV011-06020</v>
          </cell>
          <cell r="G10284" t="str">
            <v>CONNECTOR COVER</v>
          </cell>
          <cell r="H10284" t="str">
            <v>B0507-B003</v>
          </cell>
        </row>
        <row r="10285">
          <cell r="F10285" t="str">
            <v>919B5-P6020-1</v>
          </cell>
          <cell r="G10285" t="str">
            <v>BOX COVER ETC</v>
          </cell>
          <cell r="H10285" t="str">
            <v>B0403-B153</v>
          </cell>
        </row>
        <row r="10286">
          <cell r="F10286" t="str">
            <v>919B5-P6010-1</v>
          </cell>
          <cell r="G10286" t="str">
            <v>BOX COVER ETC</v>
          </cell>
          <cell r="H10286" t="str">
            <v>B0403-B152</v>
          </cell>
        </row>
        <row r="10287">
          <cell r="F10287" t="str">
            <v>919B5-P1120-1</v>
          </cell>
          <cell r="G10287" t="str">
            <v>BOX COVER ETC</v>
          </cell>
          <cell r="H10287" t="str">
            <v>B0403-B132</v>
          </cell>
        </row>
        <row r="10288">
          <cell r="F10288" t="str">
            <v>919B5-P1110-1</v>
          </cell>
          <cell r="G10288" t="str">
            <v>BOX COVER ETC</v>
          </cell>
          <cell r="H10288" t="str">
            <v>B0403-B131</v>
          </cell>
        </row>
        <row r="10289">
          <cell r="F10289" t="str">
            <v>91956-P7030-A</v>
          </cell>
          <cell r="G10289" t="str">
            <v>UPPER COVER ASSY</v>
          </cell>
          <cell r="H10289" t="str">
            <v>B0402-B820</v>
          </cell>
        </row>
        <row r="10290">
          <cell r="F10290" t="str">
            <v>91956-P1011-R</v>
          </cell>
          <cell r="G10290" t="str">
            <v>UH/BOX UNDER COVER</v>
          </cell>
          <cell r="H10290" t="str">
            <v>B0402-B692</v>
          </cell>
        </row>
        <row r="10291">
          <cell r="F10291" t="str">
            <v>919A5-P6000</v>
          </cell>
          <cell r="G10291" t="str">
            <v>PCB BLOCK</v>
          </cell>
          <cell r="H10291" t="str">
            <v>B0401-B650</v>
          </cell>
        </row>
        <row r="10292">
          <cell r="F10292" t="str">
            <v>91959-N1000-A</v>
          </cell>
          <cell r="G10292" t="str">
            <v>PCB BLOCK</v>
          </cell>
          <cell r="H10292" t="str">
            <v>B0401-B631</v>
          </cell>
        </row>
        <row r="10293">
          <cell r="F10293" t="str">
            <v>91959-P1400-B</v>
          </cell>
          <cell r="G10293" t="str">
            <v>PCB BLOCK</v>
          </cell>
          <cell r="H10293" t="str">
            <v>B0401-B618</v>
          </cell>
        </row>
        <row r="10294">
          <cell r="F10294" t="str">
            <v>91959-P1300-B</v>
          </cell>
          <cell r="G10294" t="str">
            <v>PCB BLOCK</v>
          </cell>
          <cell r="H10294" t="str">
            <v>B0401-B606</v>
          </cell>
        </row>
        <row r="10295">
          <cell r="F10295" t="str">
            <v>91959-P1200-B</v>
          </cell>
          <cell r="G10295" t="str">
            <v>PCB BLOCK</v>
          </cell>
          <cell r="H10295" t="str">
            <v>B0401-B605</v>
          </cell>
        </row>
        <row r="10296">
          <cell r="F10296" t="str">
            <v>919A5-P1111</v>
          </cell>
          <cell r="G10296" t="str">
            <v>AX1 JUNTION BOX</v>
          </cell>
          <cell r="H10296" t="str">
            <v>B0401-B604</v>
          </cell>
        </row>
        <row r="10297">
          <cell r="F10297" t="str">
            <v>6SQ-4S</v>
          </cell>
          <cell r="G10297" t="str">
            <v>TIE</v>
          </cell>
          <cell r="H10297" t="str">
            <v>ACC0272</v>
          </cell>
        </row>
        <row r="10298">
          <cell r="F10298" t="str">
            <v>PWEG-03</v>
          </cell>
          <cell r="G10298" t="str">
            <v>SEAL</v>
          </cell>
          <cell r="H10298" t="str">
            <v>ACC0271</v>
          </cell>
        </row>
        <row r="10299">
          <cell r="F10299" t="str">
            <v>AK863092</v>
          </cell>
          <cell r="G10299" t="str">
            <v>CLIP</v>
          </cell>
          <cell r="H10299" t="str">
            <v>ACC0270</v>
          </cell>
        </row>
        <row r="10300">
          <cell r="F10300" t="str">
            <v>PMST 152-4.8 NAT</v>
          </cell>
          <cell r="G10300" t="str">
            <v>CABLE TIE</v>
          </cell>
          <cell r="H10300" t="str">
            <v>ACC0269</v>
          </cell>
        </row>
        <row r="10301">
          <cell r="F10301" t="str">
            <v>2421785-1</v>
          </cell>
          <cell r="G10301" t="str">
            <v>ASSY SCOTCH ROCK INJECTION(HiTRONIC X)</v>
          </cell>
          <cell r="H10301" t="str">
            <v>ACC0268</v>
          </cell>
        </row>
        <row r="10302">
          <cell r="F10302" t="str">
            <v>TS10AA3-05</v>
          </cell>
          <cell r="G10302" t="str">
            <v>BOLT</v>
          </cell>
          <cell r="H10302" t="str">
            <v>ACC0267</v>
          </cell>
        </row>
        <row r="10303">
          <cell r="F10303" t="str">
            <v>EH19-0001</v>
          </cell>
          <cell r="G10303" t="str">
            <v>POWER CLAMP</v>
          </cell>
          <cell r="H10303" t="str">
            <v>ACC0266</v>
          </cell>
        </row>
        <row r="10304">
          <cell r="F10304" t="str">
            <v>TS10AA3-04</v>
          </cell>
          <cell r="G10304" t="str">
            <v>JOINT HOLE</v>
          </cell>
          <cell r="H10304" t="str">
            <v>ACC0265</v>
          </cell>
        </row>
        <row r="10305">
          <cell r="F10305" t="str">
            <v>CMT-400</v>
          </cell>
          <cell r="G10305" t="str">
            <v>CABLE TIE</v>
          </cell>
          <cell r="H10305" t="str">
            <v>ACC0264</v>
          </cell>
        </row>
        <row r="10306">
          <cell r="F10306" t="str">
            <v>0.06X170X500m</v>
          </cell>
          <cell r="G10306" t="str">
            <v>PE-FILM</v>
          </cell>
          <cell r="H10306" t="str">
            <v>ACC0263</v>
          </cell>
        </row>
        <row r="10307">
          <cell r="F10307" t="str">
            <v>5.5X2.5 DC PLUG</v>
          </cell>
          <cell r="G10307" t="str">
            <v>DC PLUG</v>
          </cell>
          <cell r="H10307" t="str">
            <v>ACC0262</v>
          </cell>
        </row>
        <row r="10308">
          <cell r="F10308" t="str">
            <v>270-6.1</v>
          </cell>
          <cell r="G10308" t="str">
            <v>DAMCT-CABLE TIE</v>
          </cell>
          <cell r="H10308" t="str">
            <v>ACC0261</v>
          </cell>
        </row>
        <row r="10309">
          <cell r="F10309" t="str">
            <v>NC-2212(16306124)</v>
          </cell>
          <cell r="G10309" t="str">
            <v>CLOSS CONNECT</v>
          </cell>
          <cell r="H10309" t="str">
            <v>ACC0260</v>
          </cell>
        </row>
        <row r="10310">
          <cell r="F10310" t="str">
            <v>281934-4</v>
          </cell>
          <cell r="G10310" t="str">
            <v>WIRE SEAL</v>
          </cell>
          <cell r="H10310" t="str">
            <v>ACC0253</v>
          </cell>
        </row>
        <row r="10311">
          <cell r="F10311" t="str">
            <v>TWIST TIE-200(BLK)</v>
          </cell>
          <cell r="G10311" t="str">
            <v>TWIST TIE</v>
          </cell>
          <cell r="H10311" t="str">
            <v>ACC0252</v>
          </cell>
        </row>
        <row r="10312">
          <cell r="F10312" t="str">
            <v>TWIST TIE-100(BLK)</v>
          </cell>
          <cell r="G10312" t="str">
            <v>TWIST TIE</v>
          </cell>
          <cell r="H10312" t="str">
            <v>ACC0251</v>
          </cell>
        </row>
        <row r="10313">
          <cell r="F10313" t="str">
            <v>LS-080S(WHT)</v>
          </cell>
          <cell r="G10313" t="str">
            <v>PVC COMPOUND</v>
          </cell>
          <cell r="H10313" t="str">
            <v>ACC0250</v>
          </cell>
        </row>
        <row r="10314">
          <cell r="F10314" t="str">
            <v>VELCRO TIE(150X12)-WHT</v>
          </cell>
          <cell r="G10314" t="str">
            <v>VELCRO TIE</v>
          </cell>
          <cell r="H10314" t="str">
            <v>ACC0249</v>
          </cell>
        </row>
        <row r="10315">
          <cell r="F10315" t="str">
            <v>T18R-PA46-NA</v>
          </cell>
          <cell r="G10315" t="str">
            <v>CABLE TIE</v>
          </cell>
          <cell r="H10315" t="str">
            <v>ACC0248</v>
          </cell>
        </row>
        <row r="10316">
          <cell r="F10316" t="str">
            <v>3X8</v>
          </cell>
          <cell r="G10316" t="str">
            <v>SCREW</v>
          </cell>
          <cell r="H10316" t="str">
            <v>ACC0247</v>
          </cell>
        </row>
        <row r="10317">
          <cell r="F10317" t="str">
            <v>6501-000113,000130(YEL)</v>
          </cell>
          <cell r="G10317" t="str">
            <v>CABLE TIE</v>
          </cell>
          <cell r="H10317" t="str">
            <v>ACC0246</v>
          </cell>
        </row>
        <row r="10318">
          <cell r="F10318" t="str">
            <v>6501-000113,000130(BLU)</v>
          </cell>
          <cell r="G10318" t="str">
            <v>CABLE TIE</v>
          </cell>
          <cell r="H10318" t="str">
            <v>ACC0245</v>
          </cell>
        </row>
        <row r="10319">
          <cell r="F10319" t="str">
            <v>920-30004</v>
          </cell>
          <cell r="G10319" t="str">
            <v>CLIP TIE</v>
          </cell>
          <cell r="H10319" t="str">
            <v>ACC0244</v>
          </cell>
        </row>
        <row r="10320">
          <cell r="F10320" t="str">
            <v>6501-000113,000130(RED)</v>
          </cell>
          <cell r="G10320" t="str">
            <v>CABLE TIE</v>
          </cell>
          <cell r="H10320" t="str">
            <v>ACC0243</v>
          </cell>
        </row>
        <row r="10321">
          <cell r="F10321" t="str">
            <v>DATR 150-4.7</v>
          </cell>
          <cell r="G10321" t="str">
            <v>TREE-TIE(170mm)</v>
          </cell>
          <cell r="H10321" t="str">
            <v>ACC0241</v>
          </cell>
        </row>
        <row r="10322">
          <cell r="F10322" t="str">
            <v>DA62-01716A(3T*60*68)NY</v>
          </cell>
          <cell r="G10322" t="str">
            <v>WIRE SEAL</v>
          </cell>
          <cell r="H10322" t="str">
            <v>ACC0240</v>
          </cell>
        </row>
        <row r="10323">
          <cell r="F10323" t="str">
            <v>31400-Z0013A-PP NEW-1</v>
          </cell>
          <cell r="G10323" t="str">
            <v>ASSY SCOTCH ROCK INJECTION(NEW)</v>
          </cell>
          <cell r="H10323" t="str">
            <v>ACC0239</v>
          </cell>
        </row>
        <row r="10324">
          <cell r="F10324" t="str">
            <v>DA61-02609B(7.1XL75) STS304</v>
          </cell>
          <cell r="G10324" t="str">
            <v>SPRING</v>
          </cell>
          <cell r="H10324" t="str">
            <v>ACC0238</v>
          </cell>
        </row>
        <row r="10325">
          <cell r="F10325">
            <v>33318278</v>
          </cell>
          <cell r="G10325" t="str">
            <v>WIRE SEAL</v>
          </cell>
          <cell r="H10325" t="str">
            <v>ACC0237</v>
          </cell>
        </row>
        <row r="10326">
          <cell r="F10326" t="str">
            <v>STEH-2161-3</v>
          </cell>
          <cell r="G10326" t="str">
            <v>RESIN</v>
          </cell>
          <cell r="H10326" t="str">
            <v>ACC0236</v>
          </cell>
        </row>
        <row r="10327">
          <cell r="F10327" t="str">
            <v>DA61-02609D(7.1XL110) STS304</v>
          </cell>
          <cell r="G10327" t="str">
            <v>SPRING</v>
          </cell>
          <cell r="H10327" t="str">
            <v>ACC0235</v>
          </cell>
        </row>
        <row r="10328">
          <cell r="F10328" t="str">
            <v>GI60AB</v>
          </cell>
          <cell r="G10328" t="str">
            <v>PVC RESIN</v>
          </cell>
          <cell r="H10328" t="str">
            <v>ACC0234</v>
          </cell>
        </row>
        <row r="10329">
          <cell r="F10329" t="str">
            <v>PE-FILM 0.06x220x500m</v>
          </cell>
          <cell r="G10329" t="str">
            <v>PE FILM</v>
          </cell>
          <cell r="H10329" t="str">
            <v>ACC0233</v>
          </cell>
        </row>
        <row r="10330">
          <cell r="F10330" t="str">
            <v>PE-FILM 0.06x210x500m</v>
          </cell>
          <cell r="G10330" t="str">
            <v>PE FILM</v>
          </cell>
          <cell r="H10330" t="str">
            <v>ACC0232</v>
          </cell>
        </row>
        <row r="10331">
          <cell r="F10331" t="str">
            <v>PE-FILM 0.06x195x500m</v>
          </cell>
          <cell r="G10331" t="str">
            <v>PE FILM</v>
          </cell>
          <cell r="H10331" t="str">
            <v>ACC0231</v>
          </cell>
        </row>
        <row r="10332">
          <cell r="F10332" t="str">
            <v>PE-FILM 0.06x160x500m</v>
          </cell>
          <cell r="G10332" t="str">
            <v>PE FILM</v>
          </cell>
          <cell r="H10332" t="str">
            <v>ACC0230</v>
          </cell>
        </row>
        <row r="10333">
          <cell r="F10333" t="str">
            <v>PE-FILM 0.06x150x500m</v>
          </cell>
          <cell r="G10333" t="str">
            <v>PE FILM</v>
          </cell>
          <cell r="H10333" t="str">
            <v>ACC0229</v>
          </cell>
        </row>
        <row r="10334">
          <cell r="F10334" t="str">
            <v>PE-FILM 0.06mmx130mmx50,000mm</v>
          </cell>
          <cell r="G10334" t="str">
            <v>PE FILM</v>
          </cell>
          <cell r="H10334" t="str">
            <v>ACC0228</v>
          </cell>
        </row>
        <row r="10335">
          <cell r="F10335" t="str">
            <v>OFFICE</v>
          </cell>
          <cell r="G10335" t="str">
            <v>MICROSOFT</v>
          </cell>
          <cell r="H10335" t="str">
            <v>ACC0227</v>
          </cell>
        </row>
        <row r="10336">
          <cell r="F10336" t="str">
            <v>YRED6A-C001</v>
          </cell>
          <cell r="G10336" t="str">
            <v>JOINT HOLE</v>
          </cell>
          <cell r="H10336" t="str">
            <v>ACC0226</v>
          </cell>
        </row>
        <row r="10337">
          <cell r="F10337" t="str">
            <v>YRED6A-C005</v>
          </cell>
          <cell r="G10337" t="str">
            <v>RUBBER SEAL</v>
          </cell>
          <cell r="H10337" t="str">
            <v>ACC0225</v>
          </cell>
        </row>
        <row r="10338">
          <cell r="F10338" t="str">
            <v>YRED6A-C004</v>
          </cell>
          <cell r="G10338" t="str">
            <v>CERAMIC PAD</v>
          </cell>
          <cell r="H10338" t="str">
            <v>ACC0224</v>
          </cell>
        </row>
        <row r="10339">
          <cell r="F10339">
            <v>410097</v>
          </cell>
          <cell r="G10339" t="str">
            <v>WIRE SEAL</v>
          </cell>
          <cell r="H10339" t="str">
            <v>ACC0223</v>
          </cell>
        </row>
        <row r="10340">
          <cell r="F10340" t="str">
            <v>BOBBIN WIRE(30M)</v>
          </cell>
          <cell r="G10340" t="str">
            <v>BOBBIN WIRE</v>
          </cell>
          <cell r="H10340" t="str">
            <v>ACC0212</v>
          </cell>
        </row>
        <row r="10341">
          <cell r="F10341" t="str">
            <v>BOBBIN WIRE(20M)</v>
          </cell>
          <cell r="G10341" t="str">
            <v>BOBBIN WIRE</v>
          </cell>
          <cell r="H10341" t="str">
            <v>ACC0211</v>
          </cell>
        </row>
        <row r="10342">
          <cell r="F10342" t="str">
            <v>55001SR</v>
          </cell>
          <cell r="G10342" t="str">
            <v>WIRE SEAL</v>
          </cell>
          <cell r="H10342" t="str">
            <v>ACC0210</v>
          </cell>
        </row>
        <row r="10343">
          <cell r="F10343" t="str">
            <v>TPE-V Y-180AB</v>
          </cell>
          <cell r="G10343" t="str">
            <v>RESIN</v>
          </cell>
          <cell r="H10343" t="str">
            <v>ACC0209</v>
          </cell>
        </row>
        <row r="10344">
          <cell r="F10344" t="str">
            <v>BOBBIN WIRE(15M)</v>
          </cell>
          <cell r="G10344" t="str">
            <v>BOBBIN WIRE</v>
          </cell>
          <cell r="H10344" t="str">
            <v>ACC0208</v>
          </cell>
        </row>
        <row r="10345">
          <cell r="F10345" t="str">
            <v>YEL STICKER</v>
          </cell>
          <cell r="G10345" t="str">
            <v>STICKER</v>
          </cell>
          <cell r="H10345" t="str">
            <v>ACC0207</v>
          </cell>
        </row>
        <row r="10346">
          <cell r="F10346" t="str">
            <v>ORG STICKER</v>
          </cell>
          <cell r="G10346" t="str">
            <v>STICKER</v>
          </cell>
          <cell r="H10346" t="str">
            <v>ACC0206</v>
          </cell>
        </row>
        <row r="10347">
          <cell r="F10347" t="str">
            <v>RED STICKER</v>
          </cell>
          <cell r="G10347" t="str">
            <v>STICKER</v>
          </cell>
          <cell r="H10347" t="str">
            <v>ACC0205</v>
          </cell>
        </row>
        <row r="10348">
          <cell r="F10348" t="str">
            <v>WHT STICKER</v>
          </cell>
          <cell r="G10348" t="str">
            <v>STICKER</v>
          </cell>
          <cell r="H10348" t="str">
            <v>ACC0204</v>
          </cell>
        </row>
        <row r="10349">
          <cell r="F10349" t="str">
            <v>VIO STICKER</v>
          </cell>
          <cell r="G10349" t="str">
            <v>STICKER</v>
          </cell>
          <cell r="H10349" t="str">
            <v>ACC0203</v>
          </cell>
        </row>
        <row r="10350">
          <cell r="F10350" t="str">
            <v>GRN STICKER</v>
          </cell>
          <cell r="G10350" t="str">
            <v>STICKER</v>
          </cell>
          <cell r="H10350" t="str">
            <v>ACC0202</v>
          </cell>
        </row>
        <row r="10351">
          <cell r="F10351" t="str">
            <v>BLU STICKER</v>
          </cell>
          <cell r="G10351" t="str">
            <v>STICKER</v>
          </cell>
          <cell r="H10351" t="str">
            <v>ACC0201</v>
          </cell>
        </row>
        <row r="10352">
          <cell r="F10352" t="str">
            <v>T30R-HSB</v>
          </cell>
          <cell r="G10352" t="str">
            <v>CABLE TIE</v>
          </cell>
          <cell r="H10352" t="str">
            <v>ACC0200</v>
          </cell>
        </row>
        <row r="10353">
          <cell r="F10353" t="str">
            <v>F410400</v>
          </cell>
          <cell r="G10353" t="str">
            <v>WIRE SEAL</v>
          </cell>
          <cell r="H10353" t="str">
            <v>ACC0193</v>
          </cell>
        </row>
        <row r="10354">
          <cell r="F10354" t="str">
            <v>7165-0076</v>
          </cell>
          <cell r="G10354" t="str">
            <v>WIRE SEAL</v>
          </cell>
          <cell r="H10354" t="str">
            <v>ACC0192</v>
          </cell>
        </row>
        <row r="10355">
          <cell r="F10355" t="str">
            <v>JW917308-01</v>
          </cell>
          <cell r="G10355" t="str">
            <v>CLIP</v>
          </cell>
          <cell r="H10355" t="str">
            <v>ACC0191</v>
          </cell>
        </row>
        <row r="10356">
          <cell r="F10356" t="str">
            <v>0-0368269-2</v>
          </cell>
          <cell r="G10356" t="str">
            <v>CLIP</v>
          </cell>
          <cell r="H10356" t="str">
            <v>ACC0190</v>
          </cell>
        </row>
        <row r="10357">
          <cell r="F10357">
            <v>33400771</v>
          </cell>
          <cell r="G10357" t="str">
            <v>CLIP</v>
          </cell>
          <cell r="H10357" t="str">
            <v>ACC0189</v>
          </cell>
        </row>
        <row r="10358">
          <cell r="F10358">
            <v>33324552</v>
          </cell>
          <cell r="G10358" t="str">
            <v>CLIP</v>
          </cell>
          <cell r="H10358" t="str">
            <v>ACC0188</v>
          </cell>
        </row>
        <row r="10359">
          <cell r="F10359">
            <v>33258694</v>
          </cell>
          <cell r="G10359" t="str">
            <v>CLIP</v>
          </cell>
          <cell r="H10359" t="str">
            <v>ACC0187</v>
          </cell>
        </row>
        <row r="10360">
          <cell r="F10360" t="str">
            <v>KPP011-98011</v>
          </cell>
          <cell r="G10360" t="str">
            <v>BAND CABLE(B)</v>
          </cell>
          <cell r="H10360" t="str">
            <v>ACC0186</v>
          </cell>
        </row>
        <row r="10361">
          <cell r="F10361" t="str">
            <v>NON-PVC JACKET[300FOBE-90AW]</v>
          </cell>
          <cell r="G10361" t="str">
            <v>RESIN</v>
          </cell>
          <cell r="H10361" t="str">
            <v>ACC0185</v>
          </cell>
        </row>
        <row r="10362">
          <cell r="F10362" t="str">
            <v>DACLB 200AS-B</v>
          </cell>
          <cell r="G10362" t="str">
            <v>CLIP TIE B</v>
          </cell>
          <cell r="H10362" t="str">
            <v>ACC0184</v>
          </cell>
        </row>
        <row r="10363">
          <cell r="F10363" t="str">
            <v>OS180-FT7-LH</v>
          </cell>
          <cell r="G10363" t="str">
            <v>ZIP TIE</v>
          </cell>
          <cell r="H10363" t="str">
            <v>ACC0183</v>
          </cell>
        </row>
        <row r="10364">
          <cell r="F10364" t="str">
            <v>BOBBIN</v>
          </cell>
          <cell r="G10364" t="str">
            <v>BOBBIN</v>
          </cell>
          <cell r="H10364" t="str">
            <v>ACC0182</v>
          </cell>
        </row>
        <row r="10365">
          <cell r="F10365" t="str">
            <v>31400-Z0013A-PP NEW</v>
          </cell>
          <cell r="G10365" t="str">
            <v>ASSY SCOTCH ROCK INJECTION(NEW)</v>
          </cell>
          <cell r="H10365" t="str">
            <v>ACC0181</v>
          </cell>
        </row>
        <row r="10366">
          <cell r="F10366" t="str">
            <v>CABLE-530J</v>
          </cell>
          <cell r="G10366" t="str">
            <v>HARNESS WIRE</v>
          </cell>
          <cell r="H10366" t="str">
            <v>ACC0180</v>
          </cell>
        </row>
        <row r="10367">
          <cell r="F10367" t="str">
            <v>CABLE-552E</v>
          </cell>
          <cell r="G10367" t="str">
            <v>HARNESS WIRE</v>
          </cell>
          <cell r="H10367" t="str">
            <v>ACC0179</v>
          </cell>
        </row>
        <row r="10368">
          <cell r="F10368" t="str">
            <v>CABLE-530H</v>
          </cell>
          <cell r="G10368" t="str">
            <v>HARNESS WIRE</v>
          </cell>
          <cell r="H10368" t="str">
            <v>ACC0178</v>
          </cell>
        </row>
        <row r="10369">
          <cell r="F10369" t="str">
            <v>TPV(BK 65%)</v>
          </cell>
          <cell r="G10369" t="str">
            <v>PVC RESIN</v>
          </cell>
          <cell r="H10369" t="str">
            <v>ACC0169</v>
          </cell>
        </row>
        <row r="10370">
          <cell r="F10370" t="str">
            <v>CABLE-651C</v>
          </cell>
          <cell r="G10370" t="str">
            <v>LEAD WIRE</v>
          </cell>
          <cell r="H10370" t="str">
            <v>ACC0168</v>
          </cell>
        </row>
        <row r="10371">
          <cell r="F10371" t="str">
            <v>HONEYWELL Xenon 1900 SR, 2</v>
          </cell>
          <cell r="G10371" t="str">
            <v>WIRED SCANNER</v>
          </cell>
          <cell r="H10371" t="str">
            <v>ACC0167</v>
          </cell>
        </row>
        <row r="10372">
          <cell r="F10372" t="str">
            <v>31400-Z0013A-PP</v>
          </cell>
          <cell r="G10372" t="str">
            <v>ASSY SCOTCH ROCK INJECTION</v>
          </cell>
          <cell r="H10372" t="str">
            <v>ACC0166</v>
          </cell>
        </row>
        <row r="10373">
          <cell r="F10373" t="str">
            <v>373005FEM</v>
          </cell>
          <cell r="G10373" t="str">
            <v>PGHSINCHU TERMINAL BULLET</v>
          </cell>
          <cell r="H10373" t="str">
            <v>ACC0164</v>
          </cell>
        </row>
        <row r="10374">
          <cell r="F10374" t="str">
            <v>375004FEM</v>
          </cell>
          <cell r="G10374" t="str">
            <v>PGHSINCHU TERMINAL BULLET</v>
          </cell>
          <cell r="H10374" t="str">
            <v>ACC0163</v>
          </cell>
        </row>
        <row r="10375">
          <cell r="F10375" t="str">
            <v>CABLE-1567C</v>
          </cell>
          <cell r="G10375" t="str">
            <v>LEAD WIRE</v>
          </cell>
          <cell r="H10375" t="str">
            <v>ACC0162</v>
          </cell>
        </row>
        <row r="10376">
          <cell r="F10376" t="str">
            <v>CABLE-652A</v>
          </cell>
          <cell r="G10376" t="str">
            <v>HARNESS WIRE</v>
          </cell>
          <cell r="H10376" t="str">
            <v>ACC0161</v>
          </cell>
        </row>
        <row r="10377">
          <cell r="F10377" t="str">
            <v>CABLE-651D</v>
          </cell>
          <cell r="G10377" t="str">
            <v>LEAD WIRE</v>
          </cell>
          <cell r="H10377" t="str">
            <v>ACC0160</v>
          </cell>
        </row>
        <row r="10378">
          <cell r="F10378" t="str">
            <v>CABLE-651B</v>
          </cell>
          <cell r="G10378" t="str">
            <v>HARNESS WIRE</v>
          </cell>
          <cell r="H10378" t="str">
            <v>ACC0159</v>
          </cell>
        </row>
        <row r="10379">
          <cell r="F10379" t="str">
            <v>CABLE-552H</v>
          </cell>
          <cell r="G10379" t="str">
            <v>LEAD WIRE</v>
          </cell>
          <cell r="H10379" t="str">
            <v>ACC0158</v>
          </cell>
        </row>
        <row r="10380">
          <cell r="F10380" t="str">
            <v>CABLE-499F</v>
          </cell>
          <cell r="G10380" t="str">
            <v>LEAD WIRE</v>
          </cell>
          <cell r="H10380" t="str">
            <v>ACC0157</v>
          </cell>
        </row>
        <row r="10381">
          <cell r="F10381" t="str">
            <v>CABLE-499E</v>
          </cell>
          <cell r="G10381" t="str">
            <v>LEAD WIRE</v>
          </cell>
          <cell r="H10381" t="str">
            <v>ACC0156</v>
          </cell>
        </row>
        <row r="10382">
          <cell r="F10382" t="str">
            <v>TREE-TIE(145mm)</v>
          </cell>
          <cell r="G10382" t="str">
            <v>TREE-TIE</v>
          </cell>
          <cell r="H10382" t="str">
            <v>ACC0154</v>
          </cell>
        </row>
        <row r="10383">
          <cell r="F10383" t="str">
            <v>MG685432</v>
          </cell>
          <cell r="G10383" t="str">
            <v>WIRE SEAL</v>
          </cell>
          <cell r="H10383" t="str">
            <v>ACC0153</v>
          </cell>
        </row>
        <row r="10384">
          <cell r="F10384" t="str">
            <v>INR-318H</v>
          </cell>
          <cell r="G10384" t="str">
            <v>FLUX</v>
          </cell>
          <cell r="H10384" t="str">
            <v>ACC0152</v>
          </cell>
        </row>
        <row r="10385">
          <cell r="F10385" t="str">
            <v>MG685435</v>
          </cell>
          <cell r="G10385" t="str">
            <v>DUMMY SEAL</v>
          </cell>
          <cell r="H10385" t="str">
            <v>ACC0151</v>
          </cell>
        </row>
        <row r="10386">
          <cell r="F10386" t="str">
            <v>MG685433</v>
          </cell>
          <cell r="G10386" t="str">
            <v>WIRE SEAL</v>
          </cell>
          <cell r="H10386" t="str">
            <v>ACC0150</v>
          </cell>
        </row>
        <row r="10387">
          <cell r="F10387" t="str">
            <v>MG685431</v>
          </cell>
          <cell r="G10387" t="str">
            <v>WIRE SEAL</v>
          </cell>
          <cell r="H10387" t="str">
            <v>ACC0149</v>
          </cell>
        </row>
        <row r="10388">
          <cell r="F10388" t="str">
            <v>ULCERTIFICATION CE-5</v>
          </cell>
          <cell r="G10388" t="str">
            <v>CLOSS CONNECT</v>
          </cell>
          <cell r="H10388" t="str">
            <v>ACC0145</v>
          </cell>
        </row>
        <row r="10389">
          <cell r="F10389" t="str">
            <v>2W 8K ohm</v>
          </cell>
          <cell r="G10389" t="str">
            <v>HEATER THERMO</v>
          </cell>
          <cell r="H10389" t="str">
            <v>ACC0139</v>
          </cell>
        </row>
        <row r="10390">
          <cell r="F10390" t="str">
            <v>1897989-6</v>
          </cell>
          <cell r="G10390" t="str">
            <v>WIRE SEAL</v>
          </cell>
          <cell r="H10390" t="str">
            <v>ACC0138</v>
          </cell>
        </row>
        <row r="10391">
          <cell r="F10391" t="str">
            <v>794995-1</v>
          </cell>
          <cell r="G10391" t="str">
            <v>WIRE SEAL</v>
          </cell>
          <cell r="H10391" t="str">
            <v>ACC0136</v>
          </cell>
        </row>
        <row r="10392">
          <cell r="F10392" t="str">
            <v>DC66-10003A</v>
          </cell>
          <cell r="G10392" t="str">
            <v>WIRE-VINIL</v>
          </cell>
          <cell r="H10392" t="str">
            <v>ACC0135</v>
          </cell>
        </row>
        <row r="10393">
          <cell r="F10393" t="str">
            <v>DDE 3611203350(LF94-1)</v>
          </cell>
          <cell r="G10393" t="str">
            <v>CLAMP CORD POWER</v>
          </cell>
          <cell r="H10393" t="str">
            <v>ACC0134</v>
          </cell>
        </row>
        <row r="10394">
          <cell r="F10394" t="str">
            <v>EARTH MANUAL</v>
          </cell>
          <cell r="G10394" t="str">
            <v>ASSY LABEL CAUTION</v>
          </cell>
          <cell r="H10394" t="str">
            <v>ACC0133</v>
          </cell>
        </row>
        <row r="10395">
          <cell r="F10395" t="str">
            <v>GS 60℃ LF P</v>
          </cell>
          <cell r="G10395" t="str">
            <v>PVC RESIN</v>
          </cell>
          <cell r="H10395" t="str">
            <v>ACC0132</v>
          </cell>
        </row>
        <row r="10396">
          <cell r="F10396" t="str">
            <v>MG684699</v>
          </cell>
          <cell r="G10396" t="str">
            <v>WIRE SEAL</v>
          </cell>
          <cell r="H10396" t="str">
            <v>ACC0131</v>
          </cell>
        </row>
        <row r="10397">
          <cell r="F10397" t="str">
            <v>2005877-2</v>
          </cell>
          <cell r="G10397" t="str">
            <v>WIRE SEAL18-26</v>
          </cell>
          <cell r="H10397" t="str">
            <v>ACC0130</v>
          </cell>
        </row>
        <row r="10398">
          <cell r="F10398" t="str">
            <v>PG-11</v>
          </cell>
          <cell r="G10398" t="str">
            <v>BRASS CABLE GLAND</v>
          </cell>
          <cell r="H10398" t="str">
            <v>ACC0129</v>
          </cell>
        </row>
        <row r="10399">
          <cell r="F10399" t="str">
            <v>3625-01 PLY(RED)</v>
          </cell>
          <cell r="G10399" t="str">
            <v>CASTER</v>
          </cell>
          <cell r="H10399" t="str">
            <v>ACC0128</v>
          </cell>
        </row>
        <row r="10400">
          <cell r="F10400" t="str">
            <v>CABLE-TIE140mm(BLK)</v>
          </cell>
          <cell r="G10400" t="str">
            <v>CABLE-TIE140mm(BLK)</v>
          </cell>
          <cell r="H10400" t="str">
            <v>ACC0123</v>
          </cell>
        </row>
        <row r="10401">
          <cell r="F10401" t="str">
            <v>MG681266</v>
          </cell>
          <cell r="G10401" t="str">
            <v>WIRE SEAL</v>
          </cell>
          <cell r="H10401" t="str">
            <v>ACC0122</v>
          </cell>
        </row>
        <row r="10402">
          <cell r="F10402" t="str">
            <v>MG680450</v>
          </cell>
          <cell r="G10402" t="str">
            <v>WIRE SEAL</v>
          </cell>
          <cell r="H10402" t="str">
            <v>ACC0121</v>
          </cell>
        </row>
        <row r="10403">
          <cell r="F10403" t="str">
            <v>MG680449</v>
          </cell>
          <cell r="G10403" t="str">
            <v>WIRE SEAL</v>
          </cell>
          <cell r="H10403" t="str">
            <v>ACC0120</v>
          </cell>
        </row>
        <row r="10404">
          <cell r="F10404" t="str">
            <v>368120-2</v>
          </cell>
          <cell r="G10404" t="str">
            <v>WIRE SEAL</v>
          </cell>
          <cell r="H10404" t="str">
            <v>ACC0119</v>
          </cell>
        </row>
        <row r="10405">
          <cell r="F10405" t="str">
            <v>CABLE-TIE100mm (BLK)</v>
          </cell>
          <cell r="G10405" t="str">
            <v>CABLE-TIE100mm (BLK)</v>
          </cell>
          <cell r="H10405" t="str">
            <v>ACC0118</v>
          </cell>
        </row>
        <row r="10406">
          <cell r="F10406" t="str">
            <v>N3RC-K32D ORG</v>
          </cell>
          <cell r="G10406" t="str">
            <v>SENSOR</v>
          </cell>
          <cell r="H10406" t="str">
            <v>ACC0117</v>
          </cell>
        </row>
        <row r="10407">
          <cell r="F10407" t="str">
            <v>N3JC-K41A WHT</v>
          </cell>
          <cell r="G10407" t="str">
            <v>SENSOR</v>
          </cell>
          <cell r="H10407" t="str">
            <v>ACC0116</v>
          </cell>
        </row>
        <row r="10408">
          <cell r="F10408" t="str">
            <v>DDE 3012811360</v>
          </cell>
          <cell r="G10408" t="str">
            <v>HEATER</v>
          </cell>
          <cell r="H10408" t="str">
            <v>ACC0115</v>
          </cell>
        </row>
        <row r="10409">
          <cell r="F10409" t="str">
            <v>2W 27K ohm</v>
          </cell>
          <cell r="G10409" t="str">
            <v>HEATER THERMO</v>
          </cell>
          <cell r="H10409" t="str">
            <v>ACC0114</v>
          </cell>
        </row>
        <row r="10410">
          <cell r="F10410" t="str">
            <v>PMT-152</v>
          </cell>
          <cell r="G10410" t="str">
            <v>PUSH MOUNT TIE</v>
          </cell>
          <cell r="H10410" t="str">
            <v>ACC0113</v>
          </cell>
        </row>
        <row r="10411">
          <cell r="F10411" t="str">
            <v>DASS-4N(T)</v>
          </cell>
          <cell r="G10411" t="str">
            <v>SPACER SUPPORTS</v>
          </cell>
          <cell r="H10411" t="str">
            <v>ACC0110</v>
          </cell>
        </row>
        <row r="10412">
          <cell r="F10412" t="str">
            <v>PE-FILM 0.4X30X40</v>
          </cell>
          <cell r="G10412" t="str">
            <v>PE FILM</v>
          </cell>
          <cell r="H10412" t="str">
            <v>ACC0108</v>
          </cell>
        </row>
        <row r="10413">
          <cell r="F10413" t="str">
            <v>T0.6,P15,L70,1.5mm</v>
          </cell>
          <cell r="G10413" t="str">
            <v>SPRING</v>
          </cell>
          <cell r="H10413" t="str">
            <v>ACC0106</v>
          </cell>
        </row>
        <row r="10414">
          <cell r="F10414" t="str">
            <v>DA61-02609B(7.1XL55) STS304</v>
          </cell>
          <cell r="G10414" t="str">
            <v>SPRING</v>
          </cell>
          <cell r="H10414" t="str">
            <v>ACC0103</v>
          </cell>
        </row>
        <row r="10415">
          <cell r="F10415" t="str">
            <v>DC66-10003B</v>
          </cell>
          <cell r="G10415" t="str">
            <v>WIRE-VINIL</v>
          </cell>
          <cell r="H10415" t="str">
            <v>ACC0100</v>
          </cell>
        </row>
        <row r="10416">
          <cell r="F10416" t="str">
            <v>5X18(STS410)</v>
          </cell>
          <cell r="G10416" t="str">
            <v>SCREW</v>
          </cell>
          <cell r="H10416" t="str">
            <v>ACC0097</v>
          </cell>
        </row>
        <row r="10417">
          <cell r="F10417" t="str">
            <v>DA61-05045A</v>
          </cell>
          <cell r="G10417" t="str">
            <v>SUPPORT HARNESS HINGE</v>
          </cell>
          <cell r="H10417" t="str">
            <v>ACC0095</v>
          </cell>
        </row>
        <row r="10418">
          <cell r="F10418" t="str">
            <v>35214-2010</v>
          </cell>
          <cell r="G10418" t="str">
            <v>CLOSS CONNECT</v>
          </cell>
          <cell r="H10418" t="str">
            <v>ACC0094</v>
          </cell>
        </row>
        <row r="10419">
          <cell r="F10419" t="str">
            <v>35214-5510</v>
          </cell>
          <cell r="G10419" t="str">
            <v>CLOSS CONNECT</v>
          </cell>
          <cell r="H10419" t="str">
            <v>ACC0092</v>
          </cell>
        </row>
        <row r="10420">
          <cell r="F10420" t="str">
            <v>T0.6,P12,L370,1.5mm</v>
          </cell>
          <cell r="G10420" t="str">
            <v>SPRING</v>
          </cell>
          <cell r="H10420" t="str">
            <v>ACC0090</v>
          </cell>
        </row>
        <row r="10421">
          <cell r="F10421" t="str">
            <v>T0.5,P12,L270,1.5mm</v>
          </cell>
          <cell r="G10421" t="str">
            <v>SPRING</v>
          </cell>
          <cell r="H10421" t="str">
            <v>ACC0083</v>
          </cell>
        </row>
        <row r="10422">
          <cell r="F10422" t="str">
            <v>T0.5,P12,L300,1.5mm</v>
          </cell>
          <cell r="G10422" t="str">
            <v>SPRING</v>
          </cell>
          <cell r="H10422" t="str">
            <v>ACC0082</v>
          </cell>
        </row>
        <row r="10423">
          <cell r="F10423" t="str">
            <v>1.4Ø(HARD WIRE)</v>
          </cell>
          <cell r="G10423" t="str">
            <v>FIXER CLIP</v>
          </cell>
          <cell r="H10423" t="str">
            <v>ACC0081</v>
          </cell>
        </row>
        <row r="10424">
          <cell r="F10424" t="str">
            <v>6501-000131(200mmX4.8)</v>
          </cell>
          <cell r="G10424" t="str">
            <v>CABLE-TIE(DA-200m/m)</v>
          </cell>
          <cell r="H10424" t="str">
            <v>ACC0039</v>
          </cell>
        </row>
        <row r="10425">
          <cell r="F10425" t="str">
            <v>DK65-10002A</v>
          </cell>
          <cell r="G10425" t="str">
            <v>CABLE-TIE(DA-140m/m)</v>
          </cell>
          <cell r="H10425" t="str">
            <v>ACC0038</v>
          </cell>
        </row>
        <row r="10426">
          <cell r="F10426" t="str">
            <v>6501-000113,000130</v>
          </cell>
          <cell r="G10426" t="str">
            <v>CABLE-TIE100mm</v>
          </cell>
          <cell r="H10426" t="str">
            <v>ACC0037</v>
          </cell>
        </row>
        <row r="10427">
          <cell r="F10427" t="str">
            <v>DA60-10110A(5X18)</v>
          </cell>
          <cell r="G10427" t="str">
            <v>BBCVOLT M/S FH</v>
          </cell>
          <cell r="H10427" t="str">
            <v>ACC0014</v>
          </cell>
        </row>
        <row r="10428">
          <cell r="F10428">
            <v>150</v>
          </cell>
          <cell r="G10428" t="str">
            <v>CABLE-TIE</v>
          </cell>
          <cell r="H10428" t="str">
            <v>ACC0007</v>
          </cell>
        </row>
        <row r="10429">
          <cell r="F10429" t="str">
            <v>P/HSG</v>
          </cell>
          <cell r="G10429" t="str">
            <v>WIRE SEAL</v>
          </cell>
          <cell r="H10429" t="str">
            <v>ACC0004</v>
          </cell>
        </row>
        <row r="10430">
          <cell r="F10430" t="str">
            <v>AR1915SV23</v>
          </cell>
          <cell r="G10430" t="str">
            <v>TAPE ETC</v>
          </cell>
          <cell r="H10430" t="str">
            <v>A1919-151SI</v>
          </cell>
        </row>
        <row r="10431">
          <cell r="F10431" t="str">
            <v>F2515BK50B</v>
          </cell>
          <cell r="G10431" t="str">
            <v>TAPE ETC</v>
          </cell>
          <cell r="H10431" t="str">
            <v>A1525-151B0</v>
          </cell>
        </row>
        <row r="10432">
          <cell r="F10432" t="str">
            <v>F1915BK50B</v>
          </cell>
          <cell r="G10432" t="str">
            <v>TAPE ETC</v>
          </cell>
          <cell r="H10432" t="str">
            <v>A1519-151B0</v>
          </cell>
        </row>
        <row r="10433">
          <cell r="F10433" t="str">
            <v>M1020BK090</v>
          </cell>
          <cell r="G10433" t="str">
            <v>PAPER TAPE</v>
          </cell>
          <cell r="H10433" t="str">
            <v>A0410-201B0</v>
          </cell>
        </row>
        <row r="10434">
          <cell r="F10434" t="str">
            <v>25x20(B)H/P</v>
          </cell>
          <cell r="G10434" t="str">
            <v>HEAT PROOF TAPE</v>
          </cell>
          <cell r="H10434" t="str">
            <v>A0325-201B0</v>
          </cell>
        </row>
        <row r="10435">
          <cell r="F10435" t="str">
            <v>19x20(B)H/P</v>
          </cell>
          <cell r="G10435" t="str">
            <v>HEAT PROOF TAPE</v>
          </cell>
          <cell r="H10435" t="str">
            <v>A0319-201B0</v>
          </cell>
        </row>
        <row r="10436">
          <cell r="F10436" t="str">
            <v>J5030BK181</v>
          </cell>
          <cell r="G10436" t="str">
            <v>JOINT TAPE</v>
          </cell>
          <cell r="H10436" t="str">
            <v>A0150-301B0</v>
          </cell>
        </row>
        <row r="10437">
          <cell r="F10437" t="str">
            <v>UD4010BK40L</v>
          </cell>
          <cell r="G10437" t="str">
            <v>PE TAPE</v>
          </cell>
          <cell r="H10437" t="str">
            <v>A0140-10B0L</v>
          </cell>
        </row>
        <row r="10438">
          <cell r="F10438" t="str">
            <v>H2520BK131</v>
          </cell>
          <cell r="G10438" t="str">
            <v>VINYL TAPE</v>
          </cell>
          <cell r="H10438" t="str">
            <v>A0125-201B0</v>
          </cell>
        </row>
        <row r="10439">
          <cell r="F10439" t="str">
            <v>25X15(PE)</v>
          </cell>
          <cell r="G10439" t="str">
            <v>PE TAPE</v>
          </cell>
          <cell r="H10439" t="str">
            <v>A0125-151B0</v>
          </cell>
        </row>
        <row r="10440">
          <cell r="F10440" t="str">
            <v>TAPE 19x20(Y)</v>
          </cell>
          <cell r="G10440" t="str">
            <v>VINYL TAPE</v>
          </cell>
          <cell r="H10440" t="str">
            <v>A0119-201Y0</v>
          </cell>
        </row>
        <row r="10441">
          <cell r="F10441" t="str">
            <v>TAPE 19x20(W)</v>
          </cell>
          <cell r="G10441" t="str">
            <v>VINYL TAPE</v>
          </cell>
          <cell r="H10441" t="str">
            <v>A0119-201W0</v>
          </cell>
        </row>
        <row r="10442">
          <cell r="F10442" t="str">
            <v>H1920RE132</v>
          </cell>
          <cell r="G10442" t="str">
            <v>VINYL TAPE</v>
          </cell>
          <cell r="H10442" t="str">
            <v>A0119-201R0</v>
          </cell>
        </row>
        <row r="10443">
          <cell r="F10443" t="str">
            <v>H1920OR132</v>
          </cell>
          <cell r="G10443" t="str">
            <v>VINYL TAPE</v>
          </cell>
          <cell r="H10443" t="str">
            <v>A0119-201OR</v>
          </cell>
        </row>
        <row r="10444">
          <cell r="F10444" t="str">
            <v>H1920BL132</v>
          </cell>
          <cell r="G10444" t="str">
            <v>VINYL TAPE</v>
          </cell>
          <cell r="H10444" t="str">
            <v>A0119-201L0</v>
          </cell>
        </row>
        <row r="10445">
          <cell r="F10445" t="str">
            <v>H1920GRY132</v>
          </cell>
          <cell r="G10445" t="str">
            <v>VINYL TAPE</v>
          </cell>
          <cell r="H10445" t="str">
            <v>A0119-201GR</v>
          </cell>
        </row>
        <row r="10446">
          <cell r="F10446" t="str">
            <v>H1920GR132</v>
          </cell>
          <cell r="G10446" t="str">
            <v>VINYL TAPE</v>
          </cell>
          <cell r="H10446" t="str">
            <v>A0119-201G0</v>
          </cell>
        </row>
        <row r="10447">
          <cell r="F10447" t="str">
            <v>H1920BK131</v>
          </cell>
          <cell r="G10447" t="str">
            <v>VINYL TAPE</v>
          </cell>
          <cell r="H10447" t="str">
            <v>A0119-201B0</v>
          </cell>
        </row>
        <row r="10448">
          <cell r="F10448" t="str">
            <v>19X15(B)PE</v>
          </cell>
          <cell r="G10448" t="str">
            <v>PE TAPE</v>
          </cell>
          <cell r="H10448" t="str">
            <v>A0119-151B0</v>
          </cell>
        </row>
        <row r="10449">
          <cell r="F10449" t="str">
            <v>TAPE 10x20(B)</v>
          </cell>
          <cell r="G10449" t="str">
            <v>OPTION TAPE</v>
          </cell>
          <cell r="H10449" t="str">
            <v>A0110-20B01</v>
          </cell>
        </row>
        <row r="10450">
          <cell r="F10450" t="str">
            <v>10X10(G)</v>
          </cell>
          <cell r="G10450" t="str">
            <v>TAPE 10x10(G)</v>
          </cell>
          <cell r="H10450" t="str">
            <v>A0110-101G0</v>
          </cell>
        </row>
        <row r="10451">
          <cell r="F10451" t="str">
            <v>NQ5HEV FRONT SUB</v>
          </cell>
          <cell r="G10451" t="str">
            <v>CORD</v>
          </cell>
          <cell r="H10451" t="str">
            <v>9S200-CH01F</v>
          </cell>
        </row>
        <row r="10452">
          <cell r="F10452" t="str">
            <v>91871-DO06B</v>
          </cell>
          <cell r="G10452" t="str">
            <v>CABLE</v>
          </cell>
          <cell r="H10452" t="str">
            <v>918ET-DO06B</v>
          </cell>
        </row>
        <row r="10453">
          <cell r="F10453" t="str">
            <v>91871-DO05B</v>
          </cell>
          <cell r="G10453" t="str">
            <v>CABLE</v>
          </cell>
          <cell r="H10453" t="str">
            <v>918ET-DO05B</v>
          </cell>
        </row>
        <row r="10454">
          <cell r="F10454" t="str">
            <v>91840-AT040-CUT</v>
          </cell>
          <cell r="G10454" t="str">
            <v>SG2_HEV FEM-WC</v>
          </cell>
          <cell r="H10454" t="str">
            <v>91840-AT040-CUT</v>
          </cell>
        </row>
        <row r="10455">
          <cell r="F10455" t="str">
            <v>91840-AT010-CUT</v>
          </cell>
          <cell r="G10455" t="str">
            <v>NQ5 ASS_DR-WC</v>
          </cell>
          <cell r="H10455" t="str">
            <v>91840-AT010-CUT</v>
          </cell>
        </row>
        <row r="10456">
          <cell r="F10456" t="str">
            <v>91840-AO010-CUT</v>
          </cell>
          <cell r="G10456" t="str">
            <v>SG2_EV FEM-WC</v>
          </cell>
          <cell r="H10456" t="str">
            <v>91840-AO010-CUT</v>
          </cell>
        </row>
        <row r="10457">
          <cell r="F10457" t="str">
            <v>91650-P2010-CUT</v>
          </cell>
          <cell r="G10457" t="str">
            <v>MQ4 T/GATE-WC</v>
          </cell>
          <cell r="H10457" t="str">
            <v>91650-P2010-CUT</v>
          </cell>
        </row>
        <row r="10458">
          <cell r="F10458" t="str">
            <v>91611-P1540-CUT</v>
          </cell>
          <cell r="G10458" t="str">
            <v>NQ5 ASS_DR-WC</v>
          </cell>
          <cell r="H10458" t="str">
            <v>91611-P1540-CUT</v>
          </cell>
        </row>
        <row r="10459">
          <cell r="F10459" t="str">
            <v>91610-P1810-CUT</v>
          </cell>
          <cell r="G10459" t="str">
            <v>NQ5 ASS_DR-WC</v>
          </cell>
          <cell r="H10459" t="str">
            <v>91610-P1810-CUT</v>
          </cell>
        </row>
        <row r="10460">
          <cell r="F10460" t="str">
            <v>91610-P1270-CUT</v>
          </cell>
          <cell r="G10460" t="str">
            <v>NQ5 ASS_DR-WC</v>
          </cell>
          <cell r="H10460" t="str">
            <v>91610-P1270-CUT</v>
          </cell>
        </row>
        <row r="10461">
          <cell r="F10461" t="str">
            <v>91610-P1250-CUT</v>
          </cell>
          <cell r="G10461" t="str">
            <v>NQ5 ASS_DR-WC</v>
          </cell>
          <cell r="H10461" t="str">
            <v>91610-P1250-CUT</v>
          </cell>
        </row>
        <row r="10462">
          <cell r="F10462" t="str">
            <v>91610-P1200-CUT</v>
          </cell>
          <cell r="G10462" t="str">
            <v>NQ5 ASS_DR-WC</v>
          </cell>
          <cell r="H10462" t="str">
            <v>91610-P1200-CUT</v>
          </cell>
        </row>
        <row r="10463">
          <cell r="F10463" t="str">
            <v>91600-O6200-CUT</v>
          </cell>
          <cell r="G10463" t="str">
            <v>AX1 DRI_DR-WC</v>
          </cell>
          <cell r="H10463" t="str">
            <v>91600-O6200-CUT</v>
          </cell>
        </row>
        <row r="10464">
          <cell r="F10464" t="str">
            <v>91600-O6060-CUT</v>
          </cell>
          <cell r="G10464" t="str">
            <v>AX1 DRI_DR-WC</v>
          </cell>
          <cell r="H10464" t="str">
            <v>91600-O6060-CUT</v>
          </cell>
        </row>
        <row r="10465">
          <cell r="F10465" t="str">
            <v>91221-P1020-CUT(15)</v>
          </cell>
          <cell r="G10465" t="str">
            <v>NQ5 FRONT-WC</v>
          </cell>
          <cell r="H10465" t="str">
            <v>91221-P1020-CUT</v>
          </cell>
        </row>
        <row r="10466">
          <cell r="F10466" t="str">
            <v>91221-P1010-CUT(15)</v>
          </cell>
          <cell r="G10466" t="str">
            <v>NQ5 FRONT-WC</v>
          </cell>
          <cell r="H10466" t="str">
            <v>91221-P1010-CUT</v>
          </cell>
        </row>
        <row r="10467">
          <cell r="F10467" t="str">
            <v>FRONT_SUB</v>
          </cell>
          <cell r="G10467" t="str">
            <v>FRONT_SUB</v>
          </cell>
          <cell r="H10467" t="str">
            <v>9120S-P6L30</v>
          </cell>
        </row>
        <row r="10468">
          <cell r="F10468" t="str">
            <v>FRONT_SUB</v>
          </cell>
          <cell r="G10468" t="str">
            <v>FRONT_SUB</v>
          </cell>
          <cell r="H10468" t="str">
            <v>9120S-P6L20</v>
          </cell>
        </row>
        <row r="10469">
          <cell r="F10469" t="str">
            <v>FRONT_SUB</v>
          </cell>
          <cell r="G10469" t="str">
            <v>FRONT_SUB</v>
          </cell>
          <cell r="H10469" t="str">
            <v>9120S-P6L10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절압지도서"/>
      <sheetName val="PT"/>
      <sheetName val="DATA(STRIP LENGTH)"/>
      <sheetName val="인장력"/>
      <sheetName val="이원화"/>
      <sheetName val="절압지도서 (A)"/>
      <sheetName val="절압지도서 (C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형명 (색상별 구분 작성)</v>
          </cell>
          <cell r="B1" t="str">
            <v>형명 (색상별 구분 작성)</v>
          </cell>
        </row>
        <row r="2">
          <cell r="A2" t="str">
            <v>35965-0200</v>
          </cell>
          <cell r="B2" t="str">
            <v>MG615695-002</v>
          </cell>
        </row>
        <row r="3">
          <cell r="A3" t="str">
            <v>35965-0202</v>
          </cell>
          <cell r="B3" t="str">
            <v>MG615695-102</v>
          </cell>
        </row>
        <row r="4">
          <cell r="A4" t="str">
            <v>35965-0203</v>
          </cell>
          <cell r="B4" t="str">
            <v>MG615695-302</v>
          </cell>
        </row>
        <row r="5">
          <cell r="A5" t="str">
            <v>35965-0204</v>
          </cell>
          <cell r="B5" t="str">
            <v>MG615695-202</v>
          </cell>
        </row>
        <row r="6">
          <cell r="A6" t="str">
            <v>35965-9200</v>
          </cell>
          <cell r="B6" t="str">
            <v>MG615695-002</v>
          </cell>
        </row>
        <row r="7">
          <cell r="A7" t="str">
            <v>35965-9202</v>
          </cell>
          <cell r="B7" t="str">
            <v>MG615695-102</v>
          </cell>
        </row>
        <row r="8">
          <cell r="A8" t="str">
            <v>35965-9203</v>
          </cell>
          <cell r="B8" t="str">
            <v>MG615695-302</v>
          </cell>
        </row>
        <row r="9">
          <cell r="A9" t="str">
            <v>35965-9204</v>
          </cell>
          <cell r="B9" t="str">
            <v>MG615695-202</v>
          </cell>
        </row>
        <row r="10">
          <cell r="A10" t="str">
            <v>35965-0210</v>
          </cell>
          <cell r="B10" t="str">
            <v>MG615696-002</v>
          </cell>
        </row>
        <row r="11">
          <cell r="A11" t="str">
            <v>35965-0212</v>
          </cell>
          <cell r="B11" t="str">
            <v>MG615696-102</v>
          </cell>
        </row>
        <row r="12">
          <cell r="A12" t="str">
            <v>35965-0213</v>
          </cell>
          <cell r="B12" t="str">
            <v>MG615696-302</v>
          </cell>
        </row>
        <row r="13">
          <cell r="A13" t="str">
            <v>35965-0214</v>
          </cell>
          <cell r="B13" t="str">
            <v>MG615696-202</v>
          </cell>
        </row>
        <row r="14">
          <cell r="A14" t="str">
            <v>35965-9210</v>
          </cell>
          <cell r="B14" t="str">
            <v>MG615696-002</v>
          </cell>
        </row>
        <row r="15">
          <cell r="A15" t="str">
            <v>35965-9212</v>
          </cell>
          <cell r="B15" t="str">
            <v>MG615696-102</v>
          </cell>
        </row>
        <row r="16">
          <cell r="A16" t="str">
            <v>35965-9213</v>
          </cell>
          <cell r="B16" t="str">
            <v>MG615696-302</v>
          </cell>
        </row>
        <row r="17">
          <cell r="A17" t="str">
            <v>35965-9214</v>
          </cell>
          <cell r="B17" t="str">
            <v>MG615696-202</v>
          </cell>
        </row>
        <row r="18">
          <cell r="A18" t="str">
            <v>35965-0220</v>
          </cell>
          <cell r="B18" t="str">
            <v>MG615697-002</v>
          </cell>
        </row>
        <row r="19">
          <cell r="A19" t="str">
            <v>35965-0222</v>
          </cell>
          <cell r="B19" t="str">
            <v>MG615697-102</v>
          </cell>
        </row>
        <row r="20">
          <cell r="A20" t="str">
            <v>35965-0223</v>
          </cell>
          <cell r="B20" t="str">
            <v>MG615697-302</v>
          </cell>
        </row>
        <row r="21">
          <cell r="A21" t="str">
            <v>35965-0224</v>
          </cell>
          <cell r="B21" t="str">
            <v>MG615697-202</v>
          </cell>
        </row>
        <row r="22">
          <cell r="A22" t="str">
            <v>35965-9220</v>
          </cell>
          <cell r="B22" t="str">
            <v>MG615697-002</v>
          </cell>
        </row>
        <row r="23">
          <cell r="A23" t="str">
            <v>35965-9222</v>
          </cell>
          <cell r="B23" t="str">
            <v>MG615697-102</v>
          </cell>
        </row>
        <row r="24">
          <cell r="A24" t="str">
            <v>35965-9223</v>
          </cell>
          <cell r="B24" t="str">
            <v>MG615697-302</v>
          </cell>
        </row>
        <row r="25">
          <cell r="A25" t="str">
            <v>35965-9224</v>
          </cell>
          <cell r="B25" t="str">
            <v>MG615697-202</v>
          </cell>
        </row>
        <row r="26">
          <cell r="A26" t="str">
            <v>35965-0290</v>
          </cell>
          <cell r="B26" t="str">
            <v>MG636074-002</v>
          </cell>
        </row>
        <row r="27">
          <cell r="A27" t="str">
            <v>35965-0292</v>
          </cell>
          <cell r="B27" t="str">
            <v>MG636074-102</v>
          </cell>
        </row>
        <row r="28">
          <cell r="A28" t="str">
            <v>35965-0293</v>
          </cell>
          <cell r="B28" t="str">
            <v>MG636074-302</v>
          </cell>
        </row>
        <row r="29">
          <cell r="A29" t="str">
            <v>35965-0294</v>
          </cell>
          <cell r="B29" t="str">
            <v>MG636074-202</v>
          </cell>
        </row>
        <row r="30">
          <cell r="A30" t="str">
            <v>104081-0280</v>
          </cell>
          <cell r="B30" t="str">
            <v>MG636079-002</v>
          </cell>
        </row>
        <row r="31">
          <cell r="A31" t="str">
            <v>104081-0282</v>
          </cell>
          <cell r="B31" t="str">
            <v>MG636079-102</v>
          </cell>
        </row>
        <row r="32">
          <cell r="A32" t="str">
            <v>104081-0283</v>
          </cell>
          <cell r="B32" t="str">
            <v>MG636079-302</v>
          </cell>
        </row>
        <row r="33">
          <cell r="A33" t="str">
            <v>104081-0284</v>
          </cell>
          <cell r="B33" t="str">
            <v>MG636079-202</v>
          </cell>
        </row>
        <row r="34">
          <cell r="A34" t="str">
            <v>49547-0390</v>
          </cell>
          <cell r="B34" t="str">
            <v>MG636080-003</v>
          </cell>
        </row>
        <row r="35">
          <cell r="A35" t="str">
            <v>49547-0392</v>
          </cell>
          <cell r="B35" t="str">
            <v>MG636080-103</v>
          </cell>
        </row>
        <row r="36">
          <cell r="A36" t="str">
            <v>49547-0393</v>
          </cell>
          <cell r="B36" t="str">
            <v>MG636080-303</v>
          </cell>
        </row>
        <row r="37">
          <cell r="A37" t="str">
            <v>49547-0394</v>
          </cell>
          <cell r="B37" t="str">
            <v>MG636080-203</v>
          </cell>
        </row>
        <row r="38">
          <cell r="A38" t="str">
            <v>49548-0390</v>
          </cell>
          <cell r="B38" t="str">
            <v>MG636081-003</v>
          </cell>
        </row>
        <row r="39">
          <cell r="A39" t="str">
            <v>49548-0392</v>
          </cell>
          <cell r="B39" t="str">
            <v>MG636081-103</v>
          </cell>
        </row>
        <row r="40">
          <cell r="A40" t="str">
            <v>49548-0393</v>
          </cell>
          <cell r="B40" t="str">
            <v>MG636081-303</v>
          </cell>
        </row>
        <row r="41">
          <cell r="A41" t="str">
            <v>49548-0394</v>
          </cell>
          <cell r="B41" t="str">
            <v>MG636081-203</v>
          </cell>
        </row>
        <row r="42">
          <cell r="A42" t="str">
            <v>35180-0400</v>
          </cell>
          <cell r="B42" t="str">
            <v>MG625501-004</v>
          </cell>
        </row>
        <row r="43">
          <cell r="A43" t="str">
            <v>35180-0402</v>
          </cell>
          <cell r="B43" t="str">
            <v>MG625501-104</v>
          </cell>
        </row>
        <row r="44">
          <cell r="A44" t="str">
            <v>35180-0403</v>
          </cell>
          <cell r="B44" t="str">
            <v>MG625501-304</v>
          </cell>
        </row>
        <row r="45">
          <cell r="A45" t="str">
            <v>35180-0404</v>
          </cell>
          <cell r="B45" t="str">
            <v>MG625501-204</v>
          </cell>
        </row>
        <row r="46">
          <cell r="A46" t="str">
            <v>35180-0409</v>
          </cell>
          <cell r="B46" t="str">
            <v>MG625501-004</v>
          </cell>
        </row>
        <row r="47">
          <cell r="A47" t="str">
            <v>35180-2409</v>
          </cell>
          <cell r="B47" t="str">
            <v>MG625501-104</v>
          </cell>
        </row>
        <row r="48">
          <cell r="A48" t="str">
            <v>35180-3409</v>
          </cell>
          <cell r="B48" t="str">
            <v>MG625501-304</v>
          </cell>
        </row>
        <row r="49">
          <cell r="A49" t="str">
            <v>35180-4409</v>
          </cell>
          <cell r="B49" t="str">
            <v>MG625501-204</v>
          </cell>
        </row>
        <row r="50">
          <cell r="A50" t="str">
            <v>35180-0600</v>
          </cell>
          <cell r="B50" t="str">
            <v>MG625502-006</v>
          </cell>
        </row>
        <row r="51">
          <cell r="A51" t="str">
            <v>35180-0602</v>
          </cell>
          <cell r="B51" t="str">
            <v>MG625502-106</v>
          </cell>
        </row>
        <row r="52">
          <cell r="A52" t="str">
            <v>35180-0603</v>
          </cell>
          <cell r="B52" t="str">
            <v>MG625502-306</v>
          </cell>
        </row>
        <row r="53">
          <cell r="A53" t="str">
            <v>35180-0604</v>
          </cell>
          <cell r="B53" t="str">
            <v>MG625502-206</v>
          </cell>
        </row>
        <row r="54">
          <cell r="A54" t="str">
            <v>35180-0609</v>
          </cell>
          <cell r="B54" t="str">
            <v>MG625502-006</v>
          </cell>
        </row>
        <row r="55">
          <cell r="A55" t="str">
            <v>35180-2609</v>
          </cell>
          <cell r="B55" t="str">
            <v>MG625502-106</v>
          </cell>
        </row>
        <row r="56">
          <cell r="A56" t="str">
            <v>35180-3609</v>
          </cell>
          <cell r="B56" t="str">
            <v>MG625502-306</v>
          </cell>
        </row>
        <row r="57">
          <cell r="A57" t="str">
            <v>35180-4609</v>
          </cell>
          <cell r="B57" t="str">
            <v>MG625502-206</v>
          </cell>
        </row>
        <row r="58">
          <cell r="A58" t="str">
            <v>35182-0290</v>
          </cell>
          <cell r="B58" t="str">
            <v>MG636075-002</v>
          </cell>
        </row>
        <row r="59">
          <cell r="A59" t="str">
            <v>35182-0292</v>
          </cell>
          <cell r="B59" t="str">
            <v>MG636075-102</v>
          </cell>
        </row>
        <row r="60">
          <cell r="A60" t="str">
            <v>35182-0293</v>
          </cell>
          <cell r="B60" t="str">
            <v>MG636075-302</v>
          </cell>
        </row>
        <row r="61">
          <cell r="A61" t="str">
            <v>35182-0294</v>
          </cell>
          <cell r="B61" t="str">
            <v>MG636075-202</v>
          </cell>
        </row>
        <row r="62">
          <cell r="A62" t="str">
            <v>35182-0390</v>
          </cell>
          <cell r="B62" t="str">
            <v>MG636076-003</v>
          </cell>
        </row>
        <row r="63">
          <cell r="A63" t="str">
            <v>35182-0392</v>
          </cell>
          <cell r="B63" t="str">
            <v>MG636076-103</v>
          </cell>
        </row>
        <row r="64">
          <cell r="A64" t="str">
            <v>35182-0393</v>
          </cell>
          <cell r="B64" t="str">
            <v>MG636076-303</v>
          </cell>
        </row>
        <row r="65">
          <cell r="A65" t="str">
            <v>35182-0394</v>
          </cell>
          <cell r="B65" t="str">
            <v>MG636076-203</v>
          </cell>
        </row>
        <row r="66">
          <cell r="A66" t="str">
            <v>35746-0410</v>
          </cell>
          <cell r="B66" t="str">
            <v>ST731433-3S</v>
          </cell>
        </row>
        <row r="67">
          <cell r="A67" t="str">
            <v>35746-0110</v>
          </cell>
          <cell r="B67" t="str">
            <v>ST731433-3M</v>
          </cell>
        </row>
        <row r="68">
          <cell r="A68" t="str">
            <v>35746-0210</v>
          </cell>
          <cell r="B68" t="str">
            <v>ST731433-3L</v>
          </cell>
        </row>
        <row r="69">
          <cell r="A69" t="str">
            <v>35746-0310</v>
          </cell>
          <cell r="B69" t="str">
            <v>ST731433-3DW</v>
          </cell>
        </row>
        <row r="70">
          <cell r="A70" t="str">
            <v>35748-0410</v>
          </cell>
          <cell r="B70" t="str">
            <v>ST731434-3S</v>
          </cell>
        </row>
        <row r="71">
          <cell r="A71" t="str">
            <v>35748-0110</v>
          </cell>
          <cell r="B71" t="str">
            <v>ST731434-3M</v>
          </cell>
        </row>
        <row r="72">
          <cell r="A72" t="str">
            <v>35748-0210</v>
          </cell>
          <cell r="B72" t="str">
            <v>ST731434-3L</v>
          </cell>
        </row>
        <row r="73">
          <cell r="A73" t="str">
            <v>35748-0310</v>
          </cell>
          <cell r="B73" t="str">
            <v>ST731434-3DW</v>
          </cell>
        </row>
        <row r="74">
          <cell r="A74" t="str">
            <v>35745-0410</v>
          </cell>
          <cell r="B74" t="str">
            <v>ST741435-3S</v>
          </cell>
        </row>
        <row r="75">
          <cell r="A75" t="str">
            <v>35745-0110</v>
          </cell>
          <cell r="B75" t="str">
            <v>ST741435-3M</v>
          </cell>
        </row>
        <row r="76">
          <cell r="A76" t="str">
            <v>35745-0210</v>
          </cell>
          <cell r="B76" t="str">
            <v>ST741435-3L</v>
          </cell>
        </row>
        <row r="77">
          <cell r="A77" t="str">
            <v>35745-0310</v>
          </cell>
          <cell r="B77" t="str">
            <v>ST741435-3DW</v>
          </cell>
        </row>
        <row r="78">
          <cell r="A78" t="str">
            <v>35747-0410</v>
          </cell>
          <cell r="B78" t="str">
            <v>ST741436-3S</v>
          </cell>
        </row>
        <row r="79">
          <cell r="A79" t="str">
            <v>35747-0110</v>
          </cell>
          <cell r="B79" t="str">
            <v>ST741436-3M</v>
          </cell>
        </row>
        <row r="80">
          <cell r="A80" t="str">
            <v>35747-0210</v>
          </cell>
          <cell r="B80" t="str">
            <v>ST741436-3L</v>
          </cell>
        </row>
        <row r="81">
          <cell r="A81" t="str">
            <v>35747-0310</v>
          </cell>
          <cell r="B81" t="str">
            <v>ST741436-3DW</v>
          </cell>
        </row>
        <row r="82">
          <cell r="A82" t="str">
            <v>SMH200-H03H3</v>
          </cell>
          <cell r="B82" t="str">
            <v>MG615708-003</v>
          </cell>
        </row>
        <row r="83">
          <cell r="A83" t="str">
            <v>SMH200-H04H3</v>
          </cell>
          <cell r="B83" t="str">
            <v>MG615708-004</v>
          </cell>
        </row>
        <row r="84">
          <cell r="A84" t="str">
            <v>SMH200-H05H3</v>
          </cell>
          <cell r="B84" t="str">
            <v>MG615708-005</v>
          </cell>
        </row>
        <row r="85">
          <cell r="A85" t="str">
            <v>SMH200-H06H3</v>
          </cell>
          <cell r="B85" t="str">
            <v>MG615708-006</v>
          </cell>
        </row>
        <row r="86">
          <cell r="A86" t="str">
            <v>SMH200-H07H3</v>
          </cell>
          <cell r="B86" t="str">
            <v>MG615708-007</v>
          </cell>
        </row>
        <row r="87">
          <cell r="A87" t="str">
            <v>SMH200-H08H3</v>
          </cell>
          <cell r="B87" t="str">
            <v>MG615708-008</v>
          </cell>
        </row>
        <row r="88">
          <cell r="A88" t="str">
            <v>SMH200-H09H3</v>
          </cell>
          <cell r="B88" t="str">
            <v>MG615708-009</v>
          </cell>
        </row>
        <row r="89">
          <cell r="A89" t="str">
            <v>SMH200-H10H3</v>
          </cell>
          <cell r="B89" t="str">
            <v>MG615708-010</v>
          </cell>
        </row>
        <row r="90">
          <cell r="A90" t="str">
            <v>SMH200-H11H3</v>
          </cell>
          <cell r="B90" t="str">
            <v>MG615708-011</v>
          </cell>
        </row>
        <row r="91">
          <cell r="A91" t="str">
            <v>SMH200-H12H3</v>
          </cell>
          <cell r="B91" t="str">
            <v>MG615708-012</v>
          </cell>
        </row>
        <row r="92">
          <cell r="A92" t="str">
            <v>SMH200-H13H3</v>
          </cell>
          <cell r="B92" t="str">
            <v>MG615708-013</v>
          </cell>
        </row>
        <row r="93">
          <cell r="A93" t="str">
            <v>SMH200-H14H3</v>
          </cell>
          <cell r="B93" t="str">
            <v>MG615708-014</v>
          </cell>
        </row>
        <row r="94">
          <cell r="A94" t="str">
            <v>SMH200-03HRT(RE)</v>
          </cell>
          <cell r="B94" t="str">
            <v>MG636089-203</v>
          </cell>
        </row>
        <row r="95">
          <cell r="A95" t="str">
            <v>SMH200-04HRT(RE)</v>
          </cell>
          <cell r="B95" t="str">
            <v>MG636089-204</v>
          </cell>
        </row>
        <row r="96">
          <cell r="A96" t="str">
            <v>SMH200-05HRT(RE)</v>
          </cell>
          <cell r="B96" t="str">
            <v>MG636089-205</v>
          </cell>
        </row>
        <row r="97">
          <cell r="A97" t="str">
            <v>SMH200-06HRT(RE)</v>
          </cell>
          <cell r="B97" t="str">
            <v>MG636089-206</v>
          </cell>
        </row>
        <row r="98">
          <cell r="A98" t="str">
            <v>SMH200-07HRT(RE)</v>
          </cell>
          <cell r="B98" t="str">
            <v>MG636089-207</v>
          </cell>
        </row>
        <row r="99">
          <cell r="A99" t="str">
            <v>SMH200-08HRT(RE)</v>
          </cell>
          <cell r="B99" t="str">
            <v>MG636089-208</v>
          </cell>
        </row>
        <row r="100">
          <cell r="A100" t="str">
            <v>SMH200-09HRT(RE)</v>
          </cell>
          <cell r="B100" t="str">
            <v>MG636089-209</v>
          </cell>
        </row>
        <row r="101">
          <cell r="A101" t="str">
            <v>SMH200-10HRT(RE)</v>
          </cell>
          <cell r="B101" t="str">
            <v>MG636089-210</v>
          </cell>
        </row>
        <row r="102">
          <cell r="A102" t="str">
            <v>SMH200-11HRT(RE)</v>
          </cell>
          <cell r="B102" t="str">
            <v>MG636089-211</v>
          </cell>
        </row>
        <row r="103">
          <cell r="A103" t="str">
            <v>SMH200-12HRT(RE)</v>
          </cell>
          <cell r="B103" t="str">
            <v>MG636089-212</v>
          </cell>
        </row>
        <row r="104">
          <cell r="A104" t="str">
            <v>SMH200-13HRT(RE)</v>
          </cell>
          <cell r="B104" t="str">
            <v>MG636089-213</v>
          </cell>
        </row>
        <row r="105">
          <cell r="A105" t="str">
            <v>SMH200-14HRT(RE)</v>
          </cell>
          <cell r="B105" t="str">
            <v>MG636089-214</v>
          </cell>
        </row>
        <row r="106">
          <cell r="A106" t="str">
            <v>YST200-H3</v>
          </cell>
          <cell r="B106" t="str">
            <v>ST731594-3T</v>
          </cell>
        </row>
        <row r="107">
          <cell r="A107" t="str">
            <v>WB20M-028-411</v>
          </cell>
          <cell r="B107" t="str">
            <v>MG615674-028</v>
          </cell>
        </row>
        <row r="108">
          <cell r="A108" t="str">
            <v>WB20M-026-411</v>
          </cell>
          <cell r="B108" t="str">
            <v>MG615674-026</v>
          </cell>
        </row>
        <row r="109">
          <cell r="A109" t="str">
            <v>WB20M-024-411</v>
          </cell>
          <cell r="B109" t="str">
            <v>MG615674-024</v>
          </cell>
        </row>
        <row r="110">
          <cell r="A110" t="str">
            <v>WB20M-028-454</v>
          </cell>
          <cell r="B110" t="str">
            <v>MG635939-214</v>
          </cell>
        </row>
        <row r="111">
          <cell r="A111" t="str">
            <v>WB20M-026-454</v>
          </cell>
          <cell r="B111" t="str">
            <v>MG635939-213</v>
          </cell>
        </row>
        <row r="112">
          <cell r="A112" t="str">
            <v>WB20M-024-454</v>
          </cell>
          <cell r="B112" t="str">
            <v>MG635939-212</v>
          </cell>
        </row>
        <row r="113">
          <cell r="A113" t="str">
            <v>YDH236-02(W)</v>
          </cell>
          <cell r="B113" t="str">
            <v>MG615653-002</v>
          </cell>
        </row>
        <row r="114">
          <cell r="A114" t="str">
            <v>YDH236-01(W)</v>
          </cell>
          <cell r="B114" t="str">
            <v>MG615653-001</v>
          </cell>
        </row>
        <row r="115">
          <cell r="A115" t="str">
            <v>YDH236-01(BL)</v>
          </cell>
          <cell r="B115" t="str">
            <v>MG615653-201</v>
          </cell>
        </row>
        <row r="116">
          <cell r="A116" t="str">
            <v>YT236-(M)SB</v>
          </cell>
          <cell r="B116" t="str">
            <v>ST731506-3M</v>
          </cell>
        </row>
        <row r="117">
          <cell r="A117" t="str">
            <v>YT236-(L)SB</v>
          </cell>
          <cell r="B117" t="str">
            <v>ST731506-3L</v>
          </cell>
        </row>
        <row r="118">
          <cell r="A118" t="str">
            <v>WB20L-61209</v>
          </cell>
          <cell r="B118" t="str">
            <v>ST731509-3T</v>
          </cell>
        </row>
        <row r="119">
          <cell r="A119" t="str">
            <v>WB20L-66209</v>
          </cell>
          <cell r="B119" t="str">
            <v>ST731509-3S</v>
          </cell>
        </row>
        <row r="120">
          <cell r="A120" t="str">
            <v>25045HP-03AZ</v>
          </cell>
          <cell r="B120" t="str">
            <v>MG625500-003</v>
          </cell>
        </row>
        <row r="121">
          <cell r="A121" t="str">
            <v>25045HP-04AZ</v>
          </cell>
          <cell r="B121" t="str">
            <v>MG625500-004</v>
          </cell>
        </row>
        <row r="122">
          <cell r="A122" t="str">
            <v>25045HP-05AZ</v>
          </cell>
          <cell r="B122" t="str">
            <v>MG625500-005</v>
          </cell>
        </row>
        <row r="123">
          <cell r="A123" t="str">
            <v>25045HP-06AZ</v>
          </cell>
          <cell r="B123" t="str">
            <v>MG625500-006</v>
          </cell>
        </row>
        <row r="124">
          <cell r="A124" t="str">
            <v>25045HP-07AZ</v>
          </cell>
          <cell r="B124" t="str">
            <v>MG625500-007</v>
          </cell>
        </row>
        <row r="125">
          <cell r="A125" t="str">
            <v>25045HP-08AZ</v>
          </cell>
          <cell r="B125" t="str">
            <v>MG625500-008</v>
          </cell>
        </row>
        <row r="126">
          <cell r="A126" t="str">
            <v>25045HP-09AZ</v>
          </cell>
          <cell r="B126" t="str">
            <v>MG625500-009</v>
          </cell>
        </row>
        <row r="127">
          <cell r="A127" t="str">
            <v>25045HP-10AZ</v>
          </cell>
          <cell r="B127" t="str">
            <v>MG625500-010</v>
          </cell>
        </row>
        <row r="128">
          <cell r="A128" t="str">
            <v>25045HP-11AZ</v>
          </cell>
          <cell r="B128" t="str">
            <v>MG625500-011</v>
          </cell>
        </row>
        <row r="129">
          <cell r="A129" t="str">
            <v>25045HP-12AZ</v>
          </cell>
          <cell r="B129" t="str">
            <v>MG625500-012</v>
          </cell>
        </row>
        <row r="130">
          <cell r="A130" t="str">
            <v>25045HP-13AZ</v>
          </cell>
          <cell r="B130" t="str">
            <v>MG625500-013</v>
          </cell>
        </row>
        <row r="131">
          <cell r="A131" t="str">
            <v>25045HP-14AZ</v>
          </cell>
          <cell r="B131" t="str">
            <v>MG625500-014</v>
          </cell>
        </row>
        <row r="132">
          <cell r="A132" t="str">
            <v>25045HP-15AZ</v>
          </cell>
          <cell r="B132" t="str">
            <v>MG625500-015</v>
          </cell>
        </row>
        <row r="133">
          <cell r="A133" t="str">
            <v>SMH250-03LZ</v>
          </cell>
          <cell r="B133" t="str">
            <v>MG615632-003</v>
          </cell>
        </row>
        <row r="134">
          <cell r="A134" t="str">
            <v>SMH250-04LZ</v>
          </cell>
          <cell r="B134" t="str">
            <v>MG615632-004</v>
          </cell>
        </row>
        <row r="135">
          <cell r="A135" t="str">
            <v>SMH250-05LZ</v>
          </cell>
          <cell r="B135" t="str">
            <v>MG615632-005</v>
          </cell>
        </row>
        <row r="136">
          <cell r="A136" t="str">
            <v>SMH250-06LZ</v>
          </cell>
          <cell r="B136" t="str">
            <v>MG615632-006</v>
          </cell>
        </row>
        <row r="137">
          <cell r="A137" t="str">
            <v>SMH250-07LZ</v>
          </cell>
          <cell r="B137" t="str">
            <v>MG615632-007</v>
          </cell>
        </row>
        <row r="138">
          <cell r="A138" t="str">
            <v>SMH250-08LZ</v>
          </cell>
          <cell r="B138" t="str">
            <v>MG615632-008</v>
          </cell>
        </row>
        <row r="139">
          <cell r="A139" t="str">
            <v>SMH250-09LZ</v>
          </cell>
          <cell r="B139" t="str">
            <v>MG615632-009</v>
          </cell>
        </row>
        <row r="140">
          <cell r="A140" t="str">
            <v>SMH250-10LZ</v>
          </cell>
          <cell r="B140" t="str">
            <v>MG615632-010</v>
          </cell>
        </row>
        <row r="141">
          <cell r="A141" t="str">
            <v>SMH250-11LZ</v>
          </cell>
          <cell r="B141" t="str">
            <v>MG615632-011</v>
          </cell>
        </row>
        <row r="142">
          <cell r="A142" t="str">
            <v>SMH250-12LZ</v>
          </cell>
          <cell r="B142" t="str">
            <v>MG615632-012</v>
          </cell>
        </row>
        <row r="143">
          <cell r="A143" t="str">
            <v>SMH250-13LZ</v>
          </cell>
          <cell r="B143" t="str">
            <v>MG615632-013</v>
          </cell>
        </row>
        <row r="144">
          <cell r="A144" t="str">
            <v>SMH250-14LZ</v>
          </cell>
          <cell r="B144" t="str">
            <v>MG615632-014</v>
          </cell>
        </row>
        <row r="145">
          <cell r="A145" t="str">
            <v>SMH250-15LZ</v>
          </cell>
          <cell r="B145" t="str">
            <v>MG615632-015</v>
          </cell>
        </row>
        <row r="146">
          <cell r="A146" t="str">
            <v>YST025L3</v>
          </cell>
          <cell r="B146" t="str">
            <v>ST731454-3SS</v>
          </cell>
        </row>
        <row r="147">
          <cell r="A147" t="str">
            <v>SMH250J-03RT(RE)</v>
          </cell>
          <cell r="B147" t="str">
            <v>MG635826-203</v>
          </cell>
        </row>
        <row r="148">
          <cell r="A148" t="str">
            <v>SMH250J-04RT(RE)</v>
          </cell>
          <cell r="B148" t="str">
            <v>MG635826-204</v>
          </cell>
        </row>
        <row r="149">
          <cell r="A149" t="str">
            <v>SMH250J-05RT(RE)</v>
          </cell>
          <cell r="B149" t="str">
            <v>MG635826-205</v>
          </cell>
        </row>
        <row r="150">
          <cell r="A150" t="str">
            <v>SMH250J-06RT(RE)</v>
          </cell>
          <cell r="B150" t="str">
            <v>MG635826-206</v>
          </cell>
        </row>
        <row r="151">
          <cell r="A151" t="str">
            <v>SMH250J-07RT(RE)</v>
          </cell>
          <cell r="B151" t="str">
            <v>MG635826-207</v>
          </cell>
        </row>
        <row r="152">
          <cell r="A152" t="str">
            <v>SMH250J-08RT(RE)</v>
          </cell>
          <cell r="B152" t="str">
            <v>MG635826-208</v>
          </cell>
        </row>
        <row r="153">
          <cell r="A153" t="str">
            <v>SMH250J-09RT(RE)</v>
          </cell>
          <cell r="B153" t="str">
            <v>MG635826-209</v>
          </cell>
        </row>
        <row r="154">
          <cell r="A154" t="str">
            <v>SMH250J-10RT(RE)</v>
          </cell>
          <cell r="B154" t="str">
            <v>MG635826-210</v>
          </cell>
        </row>
        <row r="155">
          <cell r="A155" t="str">
            <v>SMH250J-11RT(RE)</v>
          </cell>
          <cell r="B155" t="str">
            <v>MG635826-211</v>
          </cell>
        </row>
        <row r="156">
          <cell r="A156" t="str">
            <v>SMH250J-12RT(RE)</v>
          </cell>
          <cell r="B156" t="str">
            <v>MG635826-212</v>
          </cell>
        </row>
        <row r="157">
          <cell r="A157" t="str">
            <v>SMH250J-13RT(RE)</v>
          </cell>
          <cell r="B157" t="str">
            <v>MG635826-213</v>
          </cell>
        </row>
        <row r="158">
          <cell r="A158" t="str">
            <v>SMH250J-14RT(RE)</v>
          </cell>
          <cell r="B158" t="str">
            <v>MG635826-214</v>
          </cell>
        </row>
        <row r="159">
          <cell r="A159" t="str">
            <v>SMH250J-15RT(RE)</v>
          </cell>
          <cell r="B159" t="str">
            <v>MG635826-215</v>
          </cell>
        </row>
        <row r="160">
          <cell r="A160" t="str">
            <v>25045TP</v>
          </cell>
          <cell r="B160" t="str">
            <v>ST741461-3T</v>
          </cell>
        </row>
        <row r="161">
          <cell r="A161" t="str">
            <v>35151-0210</v>
          </cell>
          <cell r="B161" t="str">
            <v>MG615304</v>
          </cell>
        </row>
        <row r="162">
          <cell r="A162" t="str">
            <v>35151-0212</v>
          </cell>
          <cell r="B162" t="str">
            <v>MG615304-1</v>
          </cell>
        </row>
        <row r="163">
          <cell r="A163" t="str">
            <v>35151-0213</v>
          </cell>
          <cell r="B163" t="str">
            <v>MG615304-3</v>
          </cell>
        </row>
        <row r="164">
          <cell r="A164" t="str">
            <v>35151-0214</v>
          </cell>
          <cell r="B164" t="str">
            <v>MG615304-2</v>
          </cell>
        </row>
        <row r="165">
          <cell r="A165" t="str">
            <v>35151-0219</v>
          </cell>
          <cell r="B165" t="str">
            <v>MG615304T</v>
          </cell>
        </row>
        <row r="166">
          <cell r="A166" t="str">
            <v>35151-2219</v>
          </cell>
          <cell r="B166" t="str">
            <v>MG615304T-1</v>
          </cell>
        </row>
        <row r="167">
          <cell r="A167" t="str">
            <v>35151-3219</v>
          </cell>
          <cell r="B167" t="str">
            <v>MG615304T-3</v>
          </cell>
        </row>
        <row r="168">
          <cell r="A168" t="str">
            <v>35151-4219</v>
          </cell>
          <cell r="B168" t="str">
            <v>MG615304T-2</v>
          </cell>
        </row>
        <row r="169">
          <cell r="A169" t="str">
            <v>35150-0210</v>
          </cell>
          <cell r="B169" t="str">
            <v>MG625305</v>
          </cell>
        </row>
        <row r="170">
          <cell r="A170" t="str">
            <v>35150-0212</v>
          </cell>
          <cell r="B170" t="str">
            <v>MG625305-1</v>
          </cell>
        </row>
        <row r="171">
          <cell r="A171" t="str">
            <v>35150-0213</v>
          </cell>
          <cell r="B171" t="str">
            <v>MG625305-3</v>
          </cell>
        </row>
        <row r="172">
          <cell r="A172" t="str">
            <v>35150-0214</v>
          </cell>
          <cell r="B172" t="str">
            <v>MG625305-2</v>
          </cell>
        </row>
        <row r="173">
          <cell r="A173" t="str">
            <v>35150-0219</v>
          </cell>
          <cell r="B173" t="str">
            <v>MG625305T</v>
          </cell>
        </row>
        <row r="174">
          <cell r="A174" t="str">
            <v>35150-2219</v>
          </cell>
          <cell r="B174" t="str">
            <v>MG625305T-1</v>
          </cell>
        </row>
        <row r="175">
          <cell r="A175" t="str">
            <v>35150-3219</v>
          </cell>
          <cell r="B175" t="str">
            <v>MG625305T-3</v>
          </cell>
        </row>
        <row r="176">
          <cell r="A176" t="str">
            <v>35150-4219</v>
          </cell>
          <cell r="B176" t="str">
            <v>MG625305T-2</v>
          </cell>
        </row>
        <row r="177">
          <cell r="A177" t="str">
            <v>35150-0200</v>
          </cell>
          <cell r="B177" t="str">
            <v>MG625306</v>
          </cell>
        </row>
        <row r="178">
          <cell r="A178" t="str">
            <v>35150-0202</v>
          </cell>
          <cell r="B178" t="str">
            <v>MG625306-1</v>
          </cell>
        </row>
        <row r="179">
          <cell r="A179" t="str">
            <v>35150-0203</v>
          </cell>
          <cell r="B179" t="str">
            <v>MG625306-3</v>
          </cell>
        </row>
        <row r="180">
          <cell r="A180" t="str">
            <v>35150-0204</v>
          </cell>
          <cell r="B180" t="str">
            <v>MG625306-2</v>
          </cell>
        </row>
        <row r="181">
          <cell r="A181" t="str">
            <v>35150-0209</v>
          </cell>
          <cell r="B181" t="str">
            <v>MG625306T</v>
          </cell>
        </row>
        <row r="182">
          <cell r="A182" t="str">
            <v>35150-2209</v>
          </cell>
          <cell r="B182" t="str">
            <v>MG625306T-1</v>
          </cell>
        </row>
        <row r="183">
          <cell r="A183" t="str">
            <v>35150-3209</v>
          </cell>
          <cell r="B183" t="str">
            <v>MG625306T-3</v>
          </cell>
        </row>
        <row r="184">
          <cell r="A184" t="str">
            <v>35150-4209</v>
          </cell>
          <cell r="B184" t="str">
            <v>MG625306T-2</v>
          </cell>
        </row>
        <row r="185">
          <cell r="A185" t="str">
            <v>35151-0310</v>
          </cell>
          <cell r="B185" t="str">
            <v>MG615307</v>
          </cell>
        </row>
        <row r="186">
          <cell r="A186" t="str">
            <v>35151-0312</v>
          </cell>
          <cell r="B186" t="str">
            <v>MG615307-1</v>
          </cell>
        </row>
        <row r="187">
          <cell r="A187" t="str">
            <v>35151-0313</v>
          </cell>
          <cell r="B187" t="str">
            <v>MG615307-3</v>
          </cell>
        </row>
        <row r="188">
          <cell r="A188" t="str">
            <v>35151-0314</v>
          </cell>
          <cell r="B188" t="str">
            <v>MG615307-2</v>
          </cell>
        </row>
        <row r="189">
          <cell r="A189" t="str">
            <v>35151-0319</v>
          </cell>
          <cell r="B189" t="str">
            <v>MG615307T</v>
          </cell>
        </row>
        <row r="190">
          <cell r="A190" t="str">
            <v>35151-2319</v>
          </cell>
          <cell r="B190" t="str">
            <v>MG615307T-1</v>
          </cell>
        </row>
        <row r="191">
          <cell r="A191" t="str">
            <v>35151-3319</v>
          </cell>
          <cell r="B191" t="str">
            <v>MG615307T-3</v>
          </cell>
        </row>
        <row r="192">
          <cell r="A192" t="str">
            <v>35151-4319</v>
          </cell>
          <cell r="B192" t="str">
            <v>MG615307T-2</v>
          </cell>
        </row>
        <row r="193">
          <cell r="A193" t="str">
            <v>35150-0310</v>
          </cell>
          <cell r="B193" t="str">
            <v>MG625308</v>
          </cell>
        </row>
        <row r="194">
          <cell r="A194" t="str">
            <v>35150-0312</v>
          </cell>
          <cell r="B194" t="str">
            <v>MG625308-1</v>
          </cell>
        </row>
        <row r="195">
          <cell r="A195" t="str">
            <v>35150-0313</v>
          </cell>
          <cell r="B195" t="str">
            <v>MG62530-3</v>
          </cell>
        </row>
        <row r="196">
          <cell r="A196" t="str">
            <v>35150-0314</v>
          </cell>
          <cell r="B196" t="str">
            <v>MG625308-2</v>
          </cell>
        </row>
        <row r="197">
          <cell r="A197" t="str">
            <v>35150-0319</v>
          </cell>
          <cell r="B197" t="str">
            <v>MG625308T</v>
          </cell>
        </row>
        <row r="198">
          <cell r="A198" t="str">
            <v>35150-2319</v>
          </cell>
          <cell r="B198" t="str">
            <v>MG625308T-1</v>
          </cell>
        </row>
        <row r="199">
          <cell r="A199" t="str">
            <v>35150-3319</v>
          </cell>
          <cell r="B199" t="str">
            <v>MG625308T-3</v>
          </cell>
        </row>
        <row r="200">
          <cell r="A200" t="str">
            <v>35150-4319</v>
          </cell>
          <cell r="B200" t="str">
            <v>MG625308T-2</v>
          </cell>
        </row>
        <row r="201">
          <cell r="A201" t="str">
            <v>35150-0300</v>
          </cell>
          <cell r="B201" t="str">
            <v>MG625309</v>
          </cell>
        </row>
        <row r="202">
          <cell r="A202" t="str">
            <v>35150-0302</v>
          </cell>
          <cell r="B202" t="str">
            <v>MG625309-1</v>
          </cell>
        </row>
        <row r="203">
          <cell r="A203" t="str">
            <v>35150-0303</v>
          </cell>
          <cell r="B203" t="str">
            <v>MG625309-3</v>
          </cell>
        </row>
        <row r="204">
          <cell r="A204" t="str">
            <v>35150-0304</v>
          </cell>
          <cell r="B204" t="str">
            <v>MG625309-2</v>
          </cell>
        </row>
        <row r="205">
          <cell r="A205" t="str">
            <v>35150-0309</v>
          </cell>
          <cell r="B205" t="str">
            <v>MG625309T</v>
          </cell>
        </row>
        <row r="206">
          <cell r="A206" t="str">
            <v>35150-2309</v>
          </cell>
          <cell r="B206" t="str">
            <v>MG625309T-1</v>
          </cell>
        </row>
        <row r="207">
          <cell r="A207" t="str">
            <v>35150-3309</v>
          </cell>
          <cell r="B207" t="str">
            <v>MG625309T-3</v>
          </cell>
        </row>
        <row r="208">
          <cell r="A208" t="str">
            <v>35150-4309</v>
          </cell>
          <cell r="B208" t="str">
            <v>MG625309T-2</v>
          </cell>
        </row>
        <row r="209">
          <cell r="A209" t="str">
            <v>35151-0410</v>
          </cell>
          <cell r="B209" t="str">
            <v>MG615310</v>
          </cell>
        </row>
        <row r="210">
          <cell r="A210" t="str">
            <v>35151-0412</v>
          </cell>
          <cell r="B210" t="str">
            <v>MG615310-1</v>
          </cell>
        </row>
        <row r="211">
          <cell r="A211" t="str">
            <v>35151-0413</v>
          </cell>
          <cell r="B211" t="str">
            <v>MG615310-3</v>
          </cell>
        </row>
        <row r="212">
          <cell r="A212" t="str">
            <v>35151-0414</v>
          </cell>
          <cell r="B212" t="str">
            <v>MG615310-2</v>
          </cell>
        </row>
        <row r="213">
          <cell r="A213" t="str">
            <v>35151-0419</v>
          </cell>
          <cell r="B213" t="str">
            <v>MG615310T</v>
          </cell>
        </row>
        <row r="214">
          <cell r="A214" t="str">
            <v>35151-2419</v>
          </cell>
          <cell r="B214" t="str">
            <v>MG615310T-1</v>
          </cell>
        </row>
        <row r="215">
          <cell r="A215" t="str">
            <v>35151-3419</v>
          </cell>
          <cell r="B215" t="str">
            <v>MG615310T-3</v>
          </cell>
        </row>
        <row r="216">
          <cell r="A216" t="str">
            <v>35151-4419</v>
          </cell>
          <cell r="B216" t="str">
            <v>MG615310T-2</v>
          </cell>
        </row>
        <row r="217">
          <cell r="A217" t="str">
            <v>35150-0410</v>
          </cell>
          <cell r="B217" t="str">
            <v>MG625311</v>
          </cell>
        </row>
        <row r="218">
          <cell r="A218" t="str">
            <v>35150-0412</v>
          </cell>
          <cell r="B218" t="str">
            <v>MG625311-1</v>
          </cell>
        </row>
        <row r="219">
          <cell r="A219" t="str">
            <v>35150-0413</v>
          </cell>
          <cell r="B219" t="str">
            <v>MG625311-3</v>
          </cell>
        </row>
        <row r="220">
          <cell r="A220" t="str">
            <v>35150-0414</v>
          </cell>
          <cell r="B220" t="str">
            <v>MG625311-2</v>
          </cell>
        </row>
        <row r="221">
          <cell r="A221" t="str">
            <v>35150-0419</v>
          </cell>
          <cell r="B221" t="str">
            <v>MG625311T</v>
          </cell>
        </row>
        <row r="222">
          <cell r="A222" t="str">
            <v>35150-2419</v>
          </cell>
          <cell r="B222" t="str">
            <v>MG625311T-1</v>
          </cell>
        </row>
        <row r="223">
          <cell r="A223" t="str">
            <v>35150-3419</v>
          </cell>
          <cell r="B223" t="str">
            <v>MG625311T-3</v>
          </cell>
        </row>
        <row r="224">
          <cell r="A224" t="str">
            <v>35150-4419</v>
          </cell>
          <cell r="B224" t="str">
            <v>MG625311T-2</v>
          </cell>
        </row>
        <row r="225">
          <cell r="A225" t="str">
            <v>35150-0400</v>
          </cell>
          <cell r="B225" t="str">
            <v>MG625312</v>
          </cell>
        </row>
        <row r="226">
          <cell r="A226" t="str">
            <v>35150-0402</v>
          </cell>
          <cell r="B226" t="str">
            <v>MG625312-1</v>
          </cell>
        </row>
        <row r="227">
          <cell r="A227" t="str">
            <v>35150-0403</v>
          </cell>
          <cell r="B227" t="str">
            <v>MG625312-3</v>
          </cell>
        </row>
        <row r="228">
          <cell r="A228" t="str">
            <v>35150-0404</v>
          </cell>
          <cell r="B228" t="str">
            <v>MG625312-2</v>
          </cell>
        </row>
        <row r="229">
          <cell r="A229" t="str">
            <v>35150-0409</v>
          </cell>
          <cell r="B229" t="str">
            <v>MG625312T</v>
          </cell>
        </row>
        <row r="230">
          <cell r="A230" t="str">
            <v>35150-2409</v>
          </cell>
          <cell r="B230" t="str">
            <v>MG625312T-1</v>
          </cell>
        </row>
        <row r="231">
          <cell r="A231" t="str">
            <v>35150-3409</v>
          </cell>
          <cell r="B231" t="str">
            <v>MG625312T-3</v>
          </cell>
        </row>
        <row r="232">
          <cell r="A232" t="str">
            <v>35150-4409</v>
          </cell>
          <cell r="B232" t="str">
            <v>MG625312T-2</v>
          </cell>
        </row>
        <row r="233">
          <cell r="A233" t="str">
            <v>35151-0610</v>
          </cell>
          <cell r="B233" t="str">
            <v>MG615313</v>
          </cell>
        </row>
        <row r="234">
          <cell r="A234" t="str">
            <v>35151-0612</v>
          </cell>
          <cell r="B234" t="str">
            <v>MG615313-1</v>
          </cell>
        </row>
        <row r="235">
          <cell r="A235" t="str">
            <v>35151-0613</v>
          </cell>
          <cell r="B235" t="str">
            <v>MG61531-3</v>
          </cell>
        </row>
        <row r="236">
          <cell r="A236" t="str">
            <v>35151-0614</v>
          </cell>
          <cell r="B236" t="str">
            <v>MG615313-2</v>
          </cell>
        </row>
        <row r="237">
          <cell r="A237" t="str">
            <v>35151-0619</v>
          </cell>
          <cell r="B237" t="str">
            <v>MG615313T</v>
          </cell>
        </row>
        <row r="238">
          <cell r="A238" t="str">
            <v>35151-2619</v>
          </cell>
          <cell r="B238" t="str">
            <v>MG615313T-1</v>
          </cell>
        </row>
        <row r="239">
          <cell r="A239" t="str">
            <v>35151-3619</v>
          </cell>
          <cell r="B239" t="str">
            <v>MG615313T-3</v>
          </cell>
        </row>
        <row r="240">
          <cell r="A240" t="str">
            <v>35151-4619</v>
          </cell>
          <cell r="B240" t="str">
            <v>MG615313T-2</v>
          </cell>
        </row>
        <row r="241">
          <cell r="A241" t="str">
            <v>35150-0610</v>
          </cell>
          <cell r="B241" t="str">
            <v>MG625314</v>
          </cell>
        </row>
        <row r="242">
          <cell r="A242" t="str">
            <v>35150-0612</v>
          </cell>
          <cell r="B242" t="str">
            <v>MG625314-1</v>
          </cell>
        </row>
        <row r="243">
          <cell r="A243" t="str">
            <v>35150-0613</v>
          </cell>
          <cell r="B243" t="str">
            <v>MG625314-3</v>
          </cell>
        </row>
        <row r="244">
          <cell r="A244" t="str">
            <v>35150-0614</v>
          </cell>
          <cell r="B244" t="str">
            <v>MG625314-2</v>
          </cell>
        </row>
        <row r="245">
          <cell r="A245" t="str">
            <v>35150-0619</v>
          </cell>
          <cell r="B245" t="str">
            <v>MG625314T</v>
          </cell>
        </row>
        <row r="246">
          <cell r="A246" t="str">
            <v>35150-2619</v>
          </cell>
          <cell r="B246" t="str">
            <v>MG625314T-1</v>
          </cell>
        </row>
        <row r="247">
          <cell r="A247" t="str">
            <v>35150-3619</v>
          </cell>
          <cell r="B247" t="str">
            <v>MG625314T-3</v>
          </cell>
        </row>
        <row r="248">
          <cell r="A248" t="str">
            <v>35150-4619</v>
          </cell>
          <cell r="B248" t="str">
            <v>MG625314T-2</v>
          </cell>
        </row>
        <row r="249">
          <cell r="A249" t="str">
            <v>35150-0600</v>
          </cell>
          <cell r="B249" t="str">
            <v>MG625315</v>
          </cell>
        </row>
        <row r="250">
          <cell r="A250" t="str">
            <v>35150-0602</v>
          </cell>
          <cell r="B250" t="str">
            <v>MG625315-1</v>
          </cell>
        </row>
        <row r="251">
          <cell r="A251" t="str">
            <v>35150-0603</v>
          </cell>
          <cell r="B251" t="str">
            <v>MG625315-3</v>
          </cell>
        </row>
        <row r="252">
          <cell r="A252" t="str">
            <v>35150-0604</v>
          </cell>
          <cell r="B252" t="str">
            <v>MG625315-2</v>
          </cell>
        </row>
        <row r="253">
          <cell r="A253" t="str">
            <v>35150-0609</v>
          </cell>
          <cell r="B253" t="str">
            <v>MG625315T</v>
          </cell>
        </row>
        <row r="254">
          <cell r="A254" t="str">
            <v>35150-2609</v>
          </cell>
          <cell r="B254" t="str">
            <v>MG625315T-1</v>
          </cell>
        </row>
        <row r="255">
          <cell r="A255" t="str">
            <v>35150-3609</v>
          </cell>
          <cell r="B255" t="str">
            <v>MG625315T-3</v>
          </cell>
        </row>
        <row r="256">
          <cell r="A256" t="str">
            <v>35150-4609</v>
          </cell>
          <cell r="B256" t="str">
            <v>MG625315T-2</v>
          </cell>
        </row>
        <row r="257">
          <cell r="A257" t="str">
            <v>35150-0290</v>
          </cell>
          <cell r="B257" t="str">
            <v>MG635317</v>
          </cell>
        </row>
        <row r="258">
          <cell r="A258" t="str">
            <v>35150-0292</v>
          </cell>
          <cell r="B258" t="str">
            <v>MG635317-1</v>
          </cell>
        </row>
        <row r="259">
          <cell r="A259" t="str">
            <v>35150-0390</v>
          </cell>
          <cell r="B259" t="str">
            <v>MG635318</v>
          </cell>
        </row>
        <row r="260">
          <cell r="A260" t="str">
            <v>35150-0392</v>
          </cell>
          <cell r="B260" t="str">
            <v>MG635318-1</v>
          </cell>
        </row>
        <row r="261">
          <cell r="A261" t="str">
            <v>35746-0410</v>
          </cell>
          <cell r="B261" t="str">
            <v>ST731433-3S</v>
          </cell>
        </row>
        <row r="262">
          <cell r="A262" t="str">
            <v>35746-0110</v>
          </cell>
          <cell r="B262" t="str">
            <v>ST731433-3M</v>
          </cell>
        </row>
        <row r="263">
          <cell r="A263" t="str">
            <v>35746-0210</v>
          </cell>
          <cell r="B263" t="str">
            <v>ST731433-3L</v>
          </cell>
        </row>
        <row r="264">
          <cell r="A264" t="str">
            <v>35746-0310</v>
          </cell>
          <cell r="B264" t="str">
            <v>ST731433-3DW</v>
          </cell>
        </row>
        <row r="265">
          <cell r="A265" t="str">
            <v>35748-0410</v>
          </cell>
          <cell r="B265" t="str">
            <v>ST731434-3S</v>
          </cell>
        </row>
        <row r="266">
          <cell r="A266" t="str">
            <v>35748-0110</v>
          </cell>
          <cell r="B266" t="str">
            <v>ST731434-3M</v>
          </cell>
        </row>
        <row r="267">
          <cell r="A267" t="str">
            <v>35748-0210</v>
          </cell>
          <cell r="B267" t="str">
            <v>ST731434-3L</v>
          </cell>
        </row>
        <row r="268">
          <cell r="A268" t="str">
            <v>35748-0310</v>
          </cell>
          <cell r="B268" t="str">
            <v>ST731434-3DW</v>
          </cell>
        </row>
        <row r="269">
          <cell r="A269" t="str">
            <v>35745-0410</v>
          </cell>
          <cell r="B269" t="str">
            <v>ST741435-3S</v>
          </cell>
        </row>
        <row r="270">
          <cell r="A270" t="str">
            <v>35745-0110</v>
          </cell>
          <cell r="B270" t="str">
            <v>ST741435-3M</v>
          </cell>
        </row>
        <row r="271">
          <cell r="A271" t="str">
            <v>35745-0210</v>
          </cell>
          <cell r="B271" t="str">
            <v>ST741435-3L</v>
          </cell>
        </row>
        <row r="272">
          <cell r="A272" t="str">
            <v>35745-0310</v>
          </cell>
          <cell r="B272" t="str">
            <v>ST741435-3DW</v>
          </cell>
        </row>
        <row r="273">
          <cell r="A273" t="str">
            <v>35747-0410</v>
          </cell>
          <cell r="B273" t="str">
            <v>ST741436-3S</v>
          </cell>
        </row>
        <row r="274">
          <cell r="A274" t="str">
            <v>35747-0110</v>
          </cell>
          <cell r="B274" t="str">
            <v>ST741436-3M</v>
          </cell>
        </row>
        <row r="275">
          <cell r="A275" t="str">
            <v>35747-0210</v>
          </cell>
          <cell r="B275" t="str">
            <v>ST741436-3L</v>
          </cell>
        </row>
        <row r="276">
          <cell r="A276" t="str">
            <v>35747-0310</v>
          </cell>
          <cell r="B276" t="str">
            <v>ST741436-3DW</v>
          </cell>
        </row>
        <row r="277">
          <cell r="A277" t="str">
            <v>MG615695-002</v>
          </cell>
          <cell r="B277" t="str">
            <v>35965-0200</v>
          </cell>
        </row>
        <row r="278">
          <cell r="A278" t="str">
            <v>MG615695-102</v>
          </cell>
          <cell r="B278" t="str">
            <v>35965-0202</v>
          </cell>
        </row>
        <row r="279">
          <cell r="A279" t="str">
            <v>MG615695-302</v>
          </cell>
          <cell r="B279" t="str">
            <v>35965-0203</v>
          </cell>
        </row>
        <row r="280">
          <cell r="A280" t="str">
            <v>MG615695-202</v>
          </cell>
          <cell r="B280" t="str">
            <v>35965-0204</v>
          </cell>
        </row>
        <row r="281">
          <cell r="A281" t="str">
            <v>MG615695-002</v>
          </cell>
          <cell r="B281" t="str">
            <v>35965-9200</v>
          </cell>
        </row>
        <row r="282">
          <cell r="A282" t="str">
            <v>MG615695-102</v>
          </cell>
          <cell r="B282" t="str">
            <v>35965-9202</v>
          </cell>
        </row>
        <row r="283">
          <cell r="A283" t="str">
            <v>MG615695-302</v>
          </cell>
          <cell r="B283" t="str">
            <v>35965-9203</v>
          </cell>
        </row>
        <row r="284">
          <cell r="A284" t="str">
            <v>MG615695-202</v>
          </cell>
          <cell r="B284" t="str">
            <v>35965-9204</v>
          </cell>
        </row>
        <row r="285">
          <cell r="A285" t="str">
            <v>MG615696-002</v>
          </cell>
          <cell r="B285" t="str">
            <v>35965-0210</v>
          </cell>
        </row>
        <row r="286">
          <cell r="A286" t="str">
            <v>MG615696-102</v>
          </cell>
          <cell r="B286" t="str">
            <v>35965-0212</v>
          </cell>
        </row>
        <row r="287">
          <cell r="A287" t="str">
            <v>MG615696-302</v>
          </cell>
          <cell r="B287" t="str">
            <v>35965-0213</v>
          </cell>
        </row>
        <row r="288">
          <cell r="A288" t="str">
            <v>MG615696-202</v>
          </cell>
          <cell r="B288" t="str">
            <v>35965-0214</v>
          </cell>
        </row>
        <row r="289">
          <cell r="A289" t="str">
            <v>MG615696-002</v>
          </cell>
          <cell r="B289" t="str">
            <v>35965-9210</v>
          </cell>
        </row>
        <row r="290">
          <cell r="A290" t="str">
            <v>MG615696-102</v>
          </cell>
          <cell r="B290" t="str">
            <v>35965-9212</v>
          </cell>
        </row>
        <row r="291">
          <cell r="A291" t="str">
            <v>MG615696-302</v>
          </cell>
          <cell r="B291" t="str">
            <v>35965-9213</v>
          </cell>
        </row>
        <row r="292">
          <cell r="A292" t="str">
            <v>MG615696-202</v>
          </cell>
          <cell r="B292" t="str">
            <v>35965-9214</v>
          </cell>
        </row>
        <row r="293">
          <cell r="A293" t="str">
            <v>MG615697-002</v>
          </cell>
          <cell r="B293" t="str">
            <v>35965-0220</v>
          </cell>
        </row>
        <row r="294">
          <cell r="A294" t="str">
            <v>MG615697-102</v>
          </cell>
          <cell r="B294" t="str">
            <v>35965-0222</v>
          </cell>
        </row>
        <row r="295">
          <cell r="A295" t="str">
            <v>MG615697-302</v>
          </cell>
          <cell r="B295" t="str">
            <v>35965-0223</v>
          </cell>
        </row>
        <row r="296">
          <cell r="A296" t="str">
            <v>MG615697-202</v>
          </cell>
          <cell r="B296" t="str">
            <v>35965-0224</v>
          </cell>
        </row>
        <row r="297">
          <cell r="A297" t="str">
            <v>MG615697-002</v>
          </cell>
          <cell r="B297" t="str">
            <v>35965-9220</v>
          </cell>
        </row>
        <row r="298">
          <cell r="A298" t="str">
            <v>MG615697-102</v>
          </cell>
          <cell r="B298" t="str">
            <v>35965-9222</v>
          </cell>
        </row>
        <row r="299">
          <cell r="A299" t="str">
            <v>MG615697-302</v>
          </cell>
          <cell r="B299" t="str">
            <v>35965-9223</v>
          </cell>
        </row>
        <row r="300">
          <cell r="A300" t="str">
            <v>MG615697-202</v>
          </cell>
          <cell r="B300" t="str">
            <v>35965-9224</v>
          </cell>
        </row>
        <row r="301">
          <cell r="A301" t="str">
            <v>MG636074-002</v>
          </cell>
          <cell r="B301" t="str">
            <v>35965-0290</v>
          </cell>
        </row>
        <row r="302">
          <cell r="A302" t="str">
            <v>MG636074-102</v>
          </cell>
          <cell r="B302" t="str">
            <v>35965-0292</v>
          </cell>
        </row>
        <row r="303">
          <cell r="A303" t="str">
            <v>MG636074-302</v>
          </cell>
          <cell r="B303" t="str">
            <v>35965-0293</v>
          </cell>
        </row>
        <row r="304">
          <cell r="A304" t="str">
            <v>MG636074-202</v>
          </cell>
          <cell r="B304" t="str">
            <v>35965-0294</v>
          </cell>
        </row>
        <row r="305">
          <cell r="A305" t="str">
            <v>MG636079-002</v>
          </cell>
          <cell r="B305" t="str">
            <v>104081-0280</v>
          </cell>
        </row>
        <row r="306">
          <cell r="A306" t="str">
            <v>MG636079-102</v>
          </cell>
          <cell r="B306" t="str">
            <v>104081-0282</v>
          </cell>
        </row>
        <row r="307">
          <cell r="A307" t="str">
            <v>MG636079-302</v>
          </cell>
          <cell r="B307" t="str">
            <v>104081-0283</v>
          </cell>
        </row>
        <row r="308">
          <cell r="A308" t="str">
            <v>MG636079-202</v>
          </cell>
          <cell r="B308" t="str">
            <v>104081-0284</v>
          </cell>
        </row>
        <row r="309">
          <cell r="A309" t="str">
            <v>MG636080-003</v>
          </cell>
          <cell r="B309" t="str">
            <v>49547-0390</v>
          </cell>
        </row>
        <row r="310">
          <cell r="A310" t="str">
            <v>MG636080-103</v>
          </cell>
          <cell r="B310" t="str">
            <v>49547-0392</v>
          </cell>
        </row>
        <row r="311">
          <cell r="A311" t="str">
            <v>MG636080-303</v>
          </cell>
          <cell r="B311" t="str">
            <v>49547-0393</v>
          </cell>
        </row>
        <row r="312">
          <cell r="A312" t="str">
            <v>MG636080-203</v>
          </cell>
          <cell r="B312" t="str">
            <v>49547-0394</v>
          </cell>
        </row>
        <row r="313">
          <cell r="A313" t="str">
            <v>MG636081-003</v>
          </cell>
          <cell r="B313" t="str">
            <v>49548-0390</v>
          </cell>
        </row>
        <row r="314">
          <cell r="A314" t="str">
            <v>MG636081-103</v>
          </cell>
          <cell r="B314" t="str">
            <v>49548-0392</v>
          </cell>
        </row>
        <row r="315">
          <cell r="A315" t="str">
            <v>MG636081-303</v>
          </cell>
          <cell r="B315" t="str">
            <v>49548-0393</v>
          </cell>
        </row>
        <row r="316">
          <cell r="A316" t="str">
            <v>MG636081-203</v>
          </cell>
          <cell r="B316" t="str">
            <v>49548-0394</v>
          </cell>
        </row>
        <row r="317">
          <cell r="A317" t="str">
            <v>MG625501-004</v>
          </cell>
          <cell r="B317" t="str">
            <v>35180-0400</v>
          </cell>
        </row>
        <row r="318">
          <cell r="A318" t="str">
            <v>MG625501-104</v>
          </cell>
          <cell r="B318" t="str">
            <v>35180-0402</v>
          </cell>
        </row>
        <row r="319">
          <cell r="A319" t="str">
            <v>MG625501-304</v>
          </cell>
          <cell r="B319" t="str">
            <v>35180-0403</v>
          </cell>
        </row>
        <row r="320">
          <cell r="A320" t="str">
            <v>MG625501-204</v>
          </cell>
          <cell r="B320" t="str">
            <v>35180-0404</v>
          </cell>
        </row>
        <row r="321">
          <cell r="A321" t="str">
            <v>MG625501-004</v>
          </cell>
          <cell r="B321" t="str">
            <v>35180-0409</v>
          </cell>
        </row>
        <row r="322">
          <cell r="A322" t="str">
            <v>MG625501-104</v>
          </cell>
          <cell r="B322" t="str">
            <v>35180-2409</v>
          </cell>
        </row>
        <row r="323">
          <cell r="A323" t="str">
            <v>MG625501-304</v>
          </cell>
          <cell r="B323" t="str">
            <v>35180-3409</v>
          </cell>
        </row>
        <row r="324">
          <cell r="A324" t="str">
            <v>MG625501-204</v>
          </cell>
          <cell r="B324" t="str">
            <v>35180-4409</v>
          </cell>
        </row>
        <row r="325">
          <cell r="A325" t="str">
            <v>MG625502-006</v>
          </cell>
          <cell r="B325" t="str">
            <v>35180-0600</v>
          </cell>
        </row>
        <row r="326">
          <cell r="A326" t="str">
            <v>MG625502-106</v>
          </cell>
          <cell r="B326" t="str">
            <v>35180-0602</v>
          </cell>
        </row>
        <row r="327">
          <cell r="A327" t="str">
            <v>MG625502-306</v>
          </cell>
          <cell r="B327" t="str">
            <v>35180-0603</v>
          </cell>
        </row>
        <row r="328">
          <cell r="A328" t="str">
            <v>MG625502-206</v>
          </cell>
          <cell r="B328" t="str">
            <v>35180-0604</v>
          </cell>
        </row>
        <row r="329">
          <cell r="A329" t="str">
            <v>MG625502-006</v>
          </cell>
          <cell r="B329" t="str">
            <v>35180-0609</v>
          </cell>
        </row>
        <row r="330">
          <cell r="A330" t="str">
            <v>MG625502-106</v>
          </cell>
          <cell r="B330" t="str">
            <v>35180-2609</v>
          </cell>
        </row>
        <row r="331">
          <cell r="A331" t="str">
            <v>MG625502-306</v>
          </cell>
          <cell r="B331" t="str">
            <v>35180-3609</v>
          </cell>
        </row>
        <row r="332">
          <cell r="A332" t="str">
            <v>MG625502-206</v>
          </cell>
          <cell r="B332" t="str">
            <v>35180-4609</v>
          </cell>
        </row>
        <row r="333">
          <cell r="A333" t="str">
            <v>MG636075-002</v>
          </cell>
          <cell r="B333" t="str">
            <v>35182-0290</v>
          </cell>
        </row>
        <row r="334">
          <cell r="A334" t="str">
            <v>MG636075-102</v>
          </cell>
          <cell r="B334" t="str">
            <v>35182-0292</v>
          </cell>
        </row>
        <row r="335">
          <cell r="A335" t="str">
            <v>MG636075-302</v>
          </cell>
          <cell r="B335" t="str">
            <v>35182-0293</v>
          </cell>
        </row>
        <row r="336">
          <cell r="A336" t="str">
            <v>MG636075-202</v>
          </cell>
          <cell r="B336" t="str">
            <v>35182-0294</v>
          </cell>
        </row>
        <row r="337">
          <cell r="A337" t="str">
            <v>MG636076-003</v>
          </cell>
          <cell r="B337" t="str">
            <v>35182-0390</v>
          </cell>
        </row>
        <row r="338">
          <cell r="A338" t="str">
            <v>MG636076-103</v>
          </cell>
          <cell r="B338" t="str">
            <v>35182-0392</v>
          </cell>
        </row>
        <row r="339">
          <cell r="A339" t="str">
            <v>MG636076-303</v>
          </cell>
          <cell r="B339" t="str">
            <v>35182-0393</v>
          </cell>
        </row>
        <row r="340">
          <cell r="A340" t="str">
            <v>MG636076-203</v>
          </cell>
          <cell r="B340" t="str">
            <v>35182-0394</v>
          </cell>
        </row>
        <row r="341">
          <cell r="A341" t="str">
            <v>ST731433-3S</v>
          </cell>
          <cell r="B341" t="str">
            <v>35746-0410</v>
          </cell>
        </row>
        <row r="342">
          <cell r="A342" t="str">
            <v>ST731433-3M</v>
          </cell>
          <cell r="B342" t="str">
            <v>35746-0110</v>
          </cell>
        </row>
        <row r="343">
          <cell r="A343" t="str">
            <v>ST731433-3L</v>
          </cell>
          <cell r="B343" t="str">
            <v>35746-0210</v>
          </cell>
        </row>
        <row r="344">
          <cell r="A344" t="str">
            <v>ST731433-3DW</v>
          </cell>
          <cell r="B344" t="str">
            <v>35746-0310</v>
          </cell>
        </row>
        <row r="345">
          <cell r="A345" t="str">
            <v>ST731434-3S</v>
          </cell>
          <cell r="B345" t="str">
            <v>35748-0410</v>
          </cell>
        </row>
        <row r="346">
          <cell r="A346" t="str">
            <v>ST731434-3M</v>
          </cell>
          <cell r="B346" t="str">
            <v>35748-0110</v>
          </cell>
        </row>
        <row r="347">
          <cell r="A347" t="str">
            <v>ST731434-3L</v>
          </cell>
          <cell r="B347" t="str">
            <v>35748-0210</v>
          </cell>
        </row>
        <row r="348">
          <cell r="A348" t="str">
            <v>ST731434-3DW</v>
          </cell>
          <cell r="B348" t="str">
            <v>35748-0310</v>
          </cell>
        </row>
        <row r="349">
          <cell r="A349" t="str">
            <v>ST741435-3S</v>
          </cell>
          <cell r="B349" t="str">
            <v>35745-0410</v>
          </cell>
        </row>
        <row r="350">
          <cell r="A350" t="str">
            <v>ST741435-3M</v>
          </cell>
          <cell r="B350" t="str">
            <v>35745-0110</v>
          </cell>
        </row>
        <row r="351">
          <cell r="A351" t="str">
            <v>ST741435-3L</v>
          </cell>
          <cell r="B351" t="str">
            <v>35745-0210</v>
          </cell>
        </row>
        <row r="352">
          <cell r="A352" t="str">
            <v>ST741435-3DW</v>
          </cell>
          <cell r="B352" t="str">
            <v>35745-0310</v>
          </cell>
        </row>
        <row r="353">
          <cell r="A353" t="str">
            <v>ST741436-3S</v>
          </cell>
          <cell r="B353" t="str">
            <v>35747-0410</v>
          </cell>
        </row>
        <row r="354">
          <cell r="A354" t="str">
            <v>ST741436-3M</v>
          </cell>
          <cell r="B354" t="str">
            <v>35747-0110</v>
          </cell>
        </row>
        <row r="355">
          <cell r="A355" t="str">
            <v>ST741436-3L</v>
          </cell>
          <cell r="B355" t="str">
            <v>35747-0210</v>
          </cell>
        </row>
        <row r="356">
          <cell r="A356" t="str">
            <v>ST741436-3DW</v>
          </cell>
          <cell r="B356" t="str">
            <v>35747-0310</v>
          </cell>
        </row>
        <row r="357">
          <cell r="A357" t="str">
            <v>MG615708-003</v>
          </cell>
          <cell r="B357" t="str">
            <v>SMH200-H03H3</v>
          </cell>
        </row>
        <row r="358">
          <cell r="A358" t="str">
            <v>MG615708-004</v>
          </cell>
          <cell r="B358" t="str">
            <v>SMH200-H04H3</v>
          </cell>
        </row>
        <row r="359">
          <cell r="A359" t="str">
            <v>MG615708-005</v>
          </cell>
          <cell r="B359" t="str">
            <v>SMH200-H05H3</v>
          </cell>
        </row>
        <row r="360">
          <cell r="A360" t="str">
            <v>MG615708-006</v>
          </cell>
          <cell r="B360" t="str">
            <v>SMH200-H06H3</v>
          </cell>
        </row>
        <row r="361">
          <cell r="A361" t="str">
            <v>MG615708-007</v>
          </cell>
          <cell r="B361" t="str">
            <v>SMH200-H07H3</v>
          </cell>
        </row>
        <row r="362">
          <cell r="A362" t="str">
            <v>MG615708-008</v>
          </cell>
          <cell r="B362" t="str">
            <v>SMH200-H08H3</v>
          </cell>
        </row>
        <row r="363">
          <cell r="A363" t="str">
            <v>MG615708-009</v>
          </cell>
          <cell r="B363" t="str">
            <v>SMH200-H09H3</v>
          </cell>
        </row>
        <row r="364">
          <cell r="A364" t="str">
            <v>MG615708-010</v>
          </cell>
          <cell r="B364" t="str">
            <v>SMH200-H10H3</v>
          </cell>
        </row>
        <row r="365">
          <cell r="A365" t="str">
            <v>MG615708-011</v>
          </cell>
          <cell r="B365" t="str">
            <v>SMH200-H11H3</v>
          </cell>
        </row>
        <row r="366">
          <cell r="A366" t="str">
            <v>MG615708-012</v>
          </cell>
          <cell r="B366" t="str">
            <v>SMH200-H12H3</v>
          </cell>
        </row>
        <row r="367">
          <cell r="A367" t="str">
            <v>MG615708-013</v>
          </cell>
          <cell r="B367" t="str">
            <v>SMH200-H13H3</v>
          </cell>
        </row>
        <row r="368">
          <cell r="A368" t="str">
            <v>MG615708-014</v>
          </cell>
          <cell r="B368" t="str">
            <v>SMH200-H14H3</v>
          </cell>
        </row>
        <row r="369">
          <cell r="A369" t="str">
            <v>MG636089-203</v>
          </cell>
          <cell r="B369" t="str">
            <v>SMH200-03HRT(RE)</v>
          </cell>
        </row>
        <row r="370">
          <cell r="A370" t="str">
            <v>MG636089-204</v>
          </cell>
          <cell r="B370" t="str">
            <v>SMH200-04HRT(RE)</v>
          </cell>
        </row>
        <row r="371">
          <cell r="A371" t="str">
            <v>MG636089-205</v>
          </cell>
          <cell r="B371" t="str">
            <v>SMH200-05HRT(RE)</v>
          </cell>
        </row>
        <row r="372">
          <cell r="A372" t="str">
            <v>MG636089-206</v>
          </cell>
          <cell r="B372" t="str">
            <v>SMH200-06HRT(RE)</v>
          </cell>
        </row>
        <row r="373">
          <cell r="A373" t="str">
            <v>MG636089-207</v>
          </cell>
          <cell r="B373" t="str">
            <v>SMH200-07HRT(RE)</v>
          </cell>
        </row>
        <row r="374">
          <cell r="A374" t="str">
            <v>MG636089-208</v>
          </cell>
          <cell r="B374" t="str">
            <v>SMH200-08HRT(RE)</v>
          </cell>
        </row>
        <row r="375">
          <cell r="A375" t="str">
            <v>MG636089-209</v>
          </cell>
          <cell r="B375" t="str">
            <v>SMH200-09HRT(RE)</v>
          </cell>
        </row>
        <row r="376">
          <cell r="A376" t="str">
            <v>MG636089-210</v>
          </cell>
          <cell r="B376" t="str">
            <v>SMH200-10HRT(RE)</v>
          </cell>
        </row>
        <row r="377">
          <cell r="A377" t="str">
            <v>MG636089-211</v>
          </cell>
          <cell r="B377" t="str">
            <v>SMH200-11HRT(RE)</v>
          </cell>
        </row>
        <row r="378">
          <cell r="A378" t="str">
            <v>MG636089-212</v>
          </cell>
          <cell r="B378" t="str">
            <v>SMH200-12HRT(RE)</v>
          </cell>
        </row>
        <row r="379">
          <cell r="A379" t="str">
            <v>MG636089-213</v>
          </cell>
          <cell r="B379" t="str">
            <v>SMH200-13HRT(RE)</v>
          </cell>
        </row>
        <row r="380">
          <cell r="A380" t="str">
            <v>MG636089-214</v>
          </cell>
          <cell r="B380" t="str">
            <v>SMH200-14HRT(RE)</v>
          </cell>
        </row>
        <row r="381">
          <cell r="A381" t="str">
            <v>ST731594-3T</v>
          </cell>
          <cell r="B381" t="str">
            <v>YST200-H3</v>
          </cell>
        </row>
        <row r="382">
          <cell r="A382" t="str">
            <v>MG615674-028</v>
          </cell>
          <cell r="B382" t="str">
            <v>WB20M-028-411</v>
          </cell>
        </row>
        <row r="383">
          <cell r="A383" t="str">
            <v>MG615674-026</v>
          </cell>
          <cell r="B383" t="str">
            <v>WB20M-026-411</v>
          </cell>
        </row>
        <row r="384">
          <cell r="A384" t="str">
            <v>MG615674-024</v>
          </cell>
          <cell r="B384" t="str">
            <v>WB20M-024-411</v>
          </cell>
        </row>
        <row r="385">
          <cell r="A385" t="str">
            <v>MG635939-214</v>
          </cell>
          <cell r="B385" t="str">
            <v>WB20M-028-454</v>
          </cell>
        </row>
        <row r="386">
          <cell r="A386" t="str">
            <v>MG635939-213</v>
          </cell>
          <cell r="B386" t="str">
            <v>WB20M-026-454</v>
          </cell>
        </row>
        <row r="387">
          <cell r="A387" t="str">
            <v>MG635939-212</v>
          </cell>
          <cell r="B387" t="str">
            <v>WB20M-024-454</v>
          </cell>
        </row>
        <row r="388">
          <cell r="A388" t="str">
            <v>MG615653-002</v>
          </cell>
          <cell r="B388" t="str">
            <v>YDH236-02(W)</v>
          </cell>
        </row>
        <row r="389">
          <cell r="A389" t="str">
            <v>MG615653-001</v>
          </cell>
          <cell r="B389" t="str">
            <v>YDH236-01(W)</v>
          </cell>
        </row>
        <row r="390">
          <cell r="A390" t="str">
            <v>MG615653-201</v>
          </cell>
          <cell r="B390" t="str">
            <v>YDH236-01(BL)</v>
          </cell>
        </row>
        <row r="391">
          <cell r="A391" t="str">
            <v>ST731506-3M</v>
          </cell>
          <cell r="B391" t="str">
            <v>YT236-(M)SB</v>
          </cell>
        </row>
        <row r="392">
          <cell r="A392" t="str">
            <v>ST731506-3L</v>
          </cell>
          <cell r="B392" t="str">
            <v>YT236-(L)SB</v>
          </cell>
        </row>
        <row r="393">
          <cell r="A393" t="str">
            <v>ST731509-3T</v>
          </cell>
          <cell r="B393" t="str">
            <v>WB20L-61209</v>
          </cell>
        </row>
        <row r="394">
          <cell r="A394" t="str">
            <v>ST731509-3S</v>
          </cell>
          <cell r="B394" t="str">
            <v>WB20L-66209</v>
          </cell>
        </row>
        <row r="395">
          <cell r="A395" t="str">
            <v>MG625500-003</v>
          </cell>
          <cell r="B395" t="str">
            <v>25045HP-03AZ</v>
          </cell>
        </row>
        <row r="396">
          <cell r="A396" t="str">
            <v>MG625500-004</v>
          </cell>
          <cell r="B396" t="str">
            <v>25045HP-04AZ</v>
          </cell>
        </row>
        <row r="397">
          <cell r="A397" t="str">
            <v>MG625500-005</v>
          </cell>
          <cell r="B397" t="str">
            <v>25045HP-05AZ</v>
          </cell>
        </row>
        <row r="398">
          <cell r="A398" t="str">
            <v>MG625500-006</v>
          </cell>
          <cell r="B398" t="str">
            <v>25045HP-06AZ</v>
          </cell>
        </row>
        <row r="399">
          <cell r="A399" t="str">
            <v>MG625500-007</v>
          </cell>
          <cell r="B399" t="str">
            <v>25045HP-07AZ</v>
          </cell>
        </row>
        <row r="400">
          <cell r="A400" t="str">
            <v>MG625500-008</v>
          </cell>
          <cell r="B400" t="str">
            <v>25045HP-08AZ</v>
          </cell>
        </row>
        <row r="401">
          <cell r="A401" t="str">
            <v>MG625500-009</v>
          </cell>
          <cell r="B401" t="str">
            <v>25045HP-09AZ</v>
          </cell>
        </row>
        <row r="402">
          <cell r="A402" t="str">
            <v>MG625500-010</v>
          </cell>
          <cell r="B402" t="str">
            <v>25045HP-10AZ</v>
          </cell>
        </row>
        <row r="403">
          <cell r="A403" t="str">
            <v>MG625500-011</v>
          </cell>
          <cell r="B403" t="str">
            <v>25045HP-11AZ</v>
          </cell>
        </row>
        <row r="404">
          <cell r="A404" t="str">
            <v>MG625500-012</v>
          </cell>
          <cell r="B404" t="str">
            <v>25045HP-12AZ</v>
          </cell>
        </row>
        <row r="405">
          <cell r="A405" t="str">
            <v>MG625500-013</v>
          </cell>
          <cell r="B405" t="str">
            <v>25045HP-13AZ</v>
          </cell>
        </row>
        <row r="406">
          <cell r="A406" t="str">
            <v>MG625500-014</v>
          </cell>
          <cell r="B406" t="str">
            <v>25045HP-14AZ</v>
          </cell>
        </row>
        <row r="407">
          <cell r="A407" t="str">
            <v>MG625500-015</v>
          </cell>
          <cell r="B407" t="str">
            <v>25045HP-15AZ</v>
          </cell>
        </row>
        <row r="408">
          <cell r="A408" t="str">
            <v>MG615632-003</v>
          </cell>
          <cell r="B408" t="str">
            <v>SMH250-03LZ</v>
          </cell>
        </row>
        <row r="409">
          <cell r="A409" t="str">
            <v>MG615632-004</v>
          </cell>
          <cell r="B409" t="str">
            <v>SMH250-04LZ</v>
          </cell>
        </row>
        <row r="410">
          <cell r="A410" t="str">
            <v>MG615632-005</v>
          </cell>
          <cell r="B410" t="str">
            <v>SMH250-05LZ</v>
          </cell>
        </row>
        <row r="411">
          <cell r="A411" t="str">
            <v>MG615632-006</v>
          </cell>
          <cell r="B411" t="str">
            <v>SMH250-06LZ</v>
          </cell>
        </row>
        <row r="412">
          <cell r="A412" t="str">
            <v>MG615632-007</v>
          </cell>
          <cell r="B412" t="str">
            <v>SMH250-07LZ</v>
          </cell>
        </row>
        <row r="413">
          <cell r="A413" t="str">
            <v>MG615632-008</v>
          </cell>
          <cell r="B413" t="str">
            <v>SMH250-08LZ</v>
          </cell>
        </row>
        <row r="414">
          <cell r="A414" t="str">
            <v>MG615632-009</v>
          </cell>
          <cell r="B414" t="str">
            <v>SMH250-09LZ</v>
          </cell>
        </row>
        <row r="415">
          <cell r="A415" t="str">
            <v>MG615632-010</v>
          </cell>
          <cell r="B415" t="str">
            <v>SMH250-10LZ</v>
          </cell>
        </row>
        <row r="416">
          <cell r="A416" t="str">
            <v>MG615632-011</v>
          </cell>
          <cell r="B416" t="str">
            <v>SMH250-11LZ</v>
          </cell>
        </row>
        <row r="417">
          <cell r="A417" t="str">
            <v>MG615632-012</v>
          </cell>
          <cell r="B417" t="str">
            <v>SMH250-12LZ</v>
          </cell>
        </row>
        <row r="418">
          <cell r="A418" t="str">
            <v>MG615632-013</v>
          </cell>
          <cell r="B418" t="str">
            <v>SMH250-13LZ</v>
          </cell>
        </row>
        <row r="419">
          <cell r="A419" t="str">
            <v>MG615632-014</v>
          </cell>
          <cell r="B419" t="str">
            <v>SMH250-14LZ</v>
          </cell>
        </row>
        <row r="420">
          <cell r="A420" t="str">
            <v>MG615632-015</v>
          </cell>
          <cell r="B420" t="str">
            <v>SMH250-15LZ</v>
          </cell>
        </row>
        <row r="421">
          <cell r="A421" t="str">
            <v>ST731454-3SS</v>
          </cell>
          <cell r="B421" t="str">
            <v>YST025L3</v>
          </cell>
        </row>
        <row r="422">
          <cell r="A422" t="str">
            <v>MG635826-203</v>
          </cell>
          <cell r="B422" t="str">
            <v>SMH250J-03RT(RE)</v>
          </cell>
        </row>
        <row r="423">
          <cell r="A423" t="str">
            <v>MG635826-204</v>
          </cell>
          <cell r="B423" t="str">
            <v>SMH250J-04RT(RE)</v>
          </cell>
        </row>
        <row r="424">
          <cell r="A424" t="str">
            <v>MG635826-205</v>
          </cell>
          <cell r="B424" t="str">
            <v>SMH250J-05RT(RE)</v>
          </cell>
        </row>
        <row r="425">
          <cell r="A425" t="str">
            <v>MG635826-206</v>
          </cell>
          <cell r="B425" t="str">
            <v>SMH250J-06RT(RE)</v>
          </cell>
        </row>
        <row r="426">
          <cell r="A426" t="str">
            <v>MG635826-207</v>
          </cell>
          <cell r="B426" t="str">
            <v>SMH250J-07RT(RE)</v>
          </cell>
        </row>
        <row r="427">
          <cell r="A427" t="str">
            <v>MG635826-208</v>
          </cell>
          <cell r="B427" t="str">
            <v>SMH250J-08RT(RE)</v>
          </cell>
        </row>
        <row r="428">
          <cell r="A428" t="str">
            <v>MG635826-209</v>
          </cell>
          <cell r="B428" t="str">
            <v>SMH250J-09RT(RE)</v>
          </cell>
        </row>
        <row r="429">
          <cell r="A429" t="str">
            <v>MG635826-210</v>
          </cell>
          <cell r="B429" t="str">
            <v>SMH250J-10RT(RE)</v>
          </cell>
        </row>
        <row r="430">
          <cell r="A430" t="str">
            <v>MG635826-211</v>
          </cell>
          <cell r="B430" t="str">
            <v>SMH250J-11RT(RE)</v>
          </cell>
        </row>
        <row r="431">
          <cell r="A431" t="str">
            <v>MG635826-212</v>
          </cell>
          <cell r="B431" t="str">
            <v>SMH250J-12RT(RE)</v>
          </cell>
        </row>
        <row r="432">
          <cell r="A432" t="str">
            <v>MG635826-213</v>
          </cell>
          <cell r="B432" t="str">
            <v>SMH250J-13RT(RE)</v>
          </cell>
        </row>
        <row r="433">
          <cell r="A433" t="str">
            <v>MG635826-214</v>
          </cell>
          <cell r="B433" t="str">
            <v>SMH250J-14RT(RE)</v>
          </cell>
        </row>
        <row r="434">
          <cell r="A434" t="str">
            <v>MG635826-215</v>
          </cell>
          <cell r="B434" t="str">
            <v>SMH250J-15RT(RE)</v>
          </cell>
        </row>
        <row r="435">
          <cell r="A435" t="str">
            <v>ST741461-3T</v>
          </cell>
          <cell r="B435" t="str">
            <v>25045TP</v>
          </cell>
        </row>
        <row r="436">
          <cell r="A436" t="str">
            <v>MG615304</v>
          </cell>
          <cell r="B436" t="str">
            <v>35151-0210</v>
          </cell>
        </row>
        <row r="437">
          <cell r="A437" t="str">
            <v>MG615304-1</v>
          </cell>
          <cell r="B437" t="str">
            <v>35151-0212</v>
          </cell>
        </row>
        <row r="438">
          <cell r="A438" t="str">
            <v>MG615304-3</v>
          </cell>
          <cell r="B438" t="str">
            <v>35151-0213</v>
          </cell>
        </row>
        <row r="439">
          <cell r="A439" t="str">
            <v>MG615304-2</v>
          </cell>
          <cell r="B439" t="str">
            <v>35151-0214</v>
          </cell>
        </row>
        <row r="440">
          <cell r="A440" t="str">
            <v>MG615304T</v>
          </cell>
          <cell r="B440" t="str">
            <v>35151-0219</v>
          </cell>
        </row>
        <row r="441">
          <cell r="A441" t="str">
            <v>MG615304T-1</v>
          </cell>
          <cell r="B441" t="str">
            <v>35151-2219</v>
          </cell>
        </row>
        <row r="442">
          <cell r="A442" t="str">
            <v>MG615304T-3</v>
          </cell>
          <cell r="B442" t="str">
            <v>35151-3219</v>
          </cell>
        </row>
        <row r="443">
          <cell r="A443" t="str">
            <v>MG615304T-2</v>
          </cell>
          <cell r="B443" t="str">
            <v>35151-4219</v>
          </cell>
        </row>
        <row r="444">
          <cell r="A444" t="str">
            <v>MG625305</v>
          </cell>
          <cell r="B444" t="str">
            <v>35150-0210</v>
          </cell>
        </row>
        <row r="445">
          <cell r="A445" t="str">
            <v>MG625305-1</v>
          </cell>
          <cell r="B445" t="str">
            <v>35150-0212</v>
          </cell>
        </row>
        <row r="446">
          <cell r="A446" t="str">
            <v>MG625305-3</v>
          </cell>
          <cell r="B446" t="str">
            <v>35150-0213</v>
          </cell>
        </row>
        <row r="447">
          <cell r="A447" t="str">
            <v>MG625305-2</v>
          </cell>
          <cell r="B447" t="str">
            <v>35150-0214</v>
          </cell>
        </row>
        <row r="448">
          <cell r="A448" t="str">
            <v>MG625305T</v>
          </cell>
          <cell r="B448" t="str">
            <v>35150-0219</v>
          </cell>
        </row>
        <row r="449">
          <cell r="A449" t="str">
            <v>MG625305T-1</v>
          </cell>
          <cell r="B449" t="str">
            <v>35150-2219</v>
          </cell>
        </row>
        <row r="450">
          <cell r="A450" t="str">
            <v>MG625305T-3</v>
          </cell>
          <cell r="B450" t="str">
            <v>35150-3219</v>
          </cell>
        </row>
        <row r="451">
          <cell r="A451" t="str">
            <v>MG625305T-2</v>
          </cell>
          <cell r="B451" t="str">
            <v>35150-4219</v>
          </cell>
        </row>
        <row r="452">
          <cell r="A452" t="str">
            <v>MG625306</v>
          </cell>
          <cell r="B452" t="str">
            <v>35150-0200</v>
          </cell>
        </row>
        <row r="453">
          <cell r="A453" t="str">
            <v>MG625306-1</v>
          </cell>
          <cell r="B453" t="str">
            <v>35150-0202</v>
          </cell>
        </row>
        <row r="454">
          <cell r="A454" t="str">
            <v>MG625306-3</v>
          </cell>
          <cell r="B454" t="str">
            <v>35150-0203</v>
          </cell>
        </row>
        <row r="455">
          <cell r="A455" t="str">
            <v>MG625306-2</v>
          </cell>
          <cell r="B455" t="str">
            <v>35150-0204</v>
          </cell>
        </row>
        <row r="456">
          <cell r="A456" t="str">
            <v>MG625306T</v>
          </cell>
          <cell r="B456" t="str">
            <v>35150-0209</v>
          </cell>
        </row>
        <row r="457">
          <cell r="A457" t="str">
            <v>MG625306T-1</v>
          </cell>
          <cell r="B457" t="str">
            <v>35150-2209</v>
          </cell>
        </row>
        <row r="458">
          <cell r="A458" t="str">
            <v>MG625306T-3</v>
          </cell>
          <cell r="B458" t="str">
            <v>35150-3209</v>
          </cell>
        </row>
        <row r="459">
          <cell r="A459" t="str">
            <v>MG625306T-2</v>
          </cell>
          <cell r="B459" t="str">
            <v>35150-4209</v>
          </cell>
        </row>
        <row r="460">
          <cell r="A460" t="str">
            <v>MG615307</v>
          </cell>
          <cell r="B460" t="str">
            <v>35151-0310</v>
          </cell>
        </row>
        <row r="461">
          <cell r="A461" t="str">
            <v>MG615307-1</v>
          </cell>
          <cell r="B461" t="str">
            <v>35151-0312</v>
          </cell>
        </row>
        <row r="462">
          <cell r="A462" t="str">
            <v>MG615307-3</v>
          </cell>
          <cell r="B462" t="str">
            <v>35151-0313</v>
          </cell>
        </row>
        <row r="463">
          <cell r="A463" t="str">
            <v>MG615307-2</v>
          </cell>
          <cell r="B463" t="str">
            <v>35151-0314</v>
          </cell>
        </row>
        <row r="464">
          <cell r="A464" t="str">
            <v>MG615307T</v>
          </cell>
          <cell r="B464" t="str">
            <v>35151-0319</v>
          </cell>
        </row>
        <row r="465">
          <cell r="A465" t="str">
            <v>MG615307T-1</v>
          </cell>
          <cell r="B465" t="str">
            <v>35151-2319</v>
          </cell>
        </row>
        <row r="466">
          <cell r="A466" t="str">
            <v>MG615307T-3</v>
          </cell>
          <cell r="B466" t="str">
            <v>35151-3319</v>
          </cell>
        </row>
        <row r="467">
          <cell r="A467" t="str">
            <v>MG615307T-2</v>
          </cell>
          <cell r="B467" t="str">
            <v>35151-4319</v>
          </cell>
        </row>
        <row r="468">
          <cell r="A468" t="str">
            <v>MG625308</v>
          </cell>
          <cell r="B468" t="str">
            <v>35150-0310</v>
          </cell>
        </row>
        <row r="469">
          <cell r="A469" t="str">
            <v>MG625308-1</v>
          </cell>
          <cell r="B469" t="str">
            <v>35150-0312</v>
          </cell>
        </row>
        <row r="470">
          <cell r="A470" t="str">
            <v>MG62530-3</v>
          </cell>
          <cell r="B470" t="str">
            <v>35150-0313</v>
          </cell>
        </row>
        <row r="471">
          <cell r="A471" t="str">
            <v>MG625308-2</v>
          </cell>
          <cell r="B471" t="str">
            <v>35150-0314</v>
          </cell>
        </row>
        <row r="472">
          <cell r="A472" t="str">
            <v>MG625308T</v>
          </cell>
          <cell r="B472" t="str">
            <v>35150-0319</v>
          </cell>
        </row>
        <row r="473">
          <cell r="A473" t="str">
            <v>MG625308T-1</v>
          </cell>
          <cell r="B473" t="str">
            <v>35150-2319</v>
          </cell>
        </row>
        <row r="474">
          <cell r="A474" t="str">
            <v>MG625308T-3</v>
          </cell>
          <cell r="B474" t="str">
            <v>35150-3319</v>
          </cell>
        </row>
        <row r="475">
          <cell r="A475" t="str">
            <v>MG625308T-2</v>
          </cell>
          <cell r="B475" t="str">
            <v>35150-4319</v>
          </cell>
        </row>
        <row r="476">
          <cell r="A476" t="str">
            <v>MG625309</v>
          </cell>
          <cell r="B476" t="str">
            <v>35150-0300</v>
          </cell>
        </row>
        <row r="477">
          <cell r="A477" t="str">
            <v>MG625309-1</v>
          </cell>
          <cell r="B477" t="str">
            <v>35150-0302</v>
          </cell>
        </row>
        <row r="478">
          <cell r="A478" t="str">
            <v>MG625309-3</v>
          </cell>
          <cell r="B478" t="str">
            <v>35150-0303</v>
          </cell>
        </row>
        <row r="479">
          <cell r="A479" t="str">
            <v>MG625309-2</v>
          </cell>
          <cell r="B479" t="str">
            <v>35150-0304</v>
          </cell>
        </row>
        <row r="480">
          <cell r="A480" t="str">
            <v>MG625309T</v>
          </cell>
          <cell r="B480" t="str">
            <v>35150-0309</v>
          </cell>
        </row>
        <row r="481">
          <cell r="A481" t="str">
            <v>MG625309T-1</v>
          </cell>
          <cell r="B481" t="str">
            <v>35150-2309</v>
          </cell>
        </row>
        <row r="482">
          <cell r="A482" t="str">
            <v>MG625309T-3</v>
          </cell>
          <cell r="B482" t="str">
            <v>35150-3309</v>
          </cell>
        </row>
        <row r="483">
          <cell r="A483" t="str">
            <v>MG625309T-2</v>
          </cell>
          <cell r="B483" t="str">
            <v>35150-4309</v>
          </cell>
        </row>
        <row r="484">
          <cell r="A484" t="str">
            <v>MG615310</v>
          </cell>
          <cell r="B484" t="str">
            <v>35151-0410</v>
          </cell>
        </row>
        <row r="485">
          <cell r="A485" t="str">
            <v>MG615310-1</v>
          </cell>
          <cell r="B485" t="str">
            <v>35151-0412</v>
          </cell>
        </row>
        <row r="486">
          <cell r="A486" t="str">
            <v>MG615310-3</v>
          </cell>
          <cell r="B486" t="str">
            <v>35151-0413</v>
          </cell>
        </row>
        <row r="487">
          <cell r="A487" t="str">
            <v>MG615310-2</v>
          </cell>
          <cell r="B487" t="str">
            <v>35151-0414</v>
          </cell>
        </row>
        <row r="488">
          <cell r="A488" t="str">
            <v>MG615310T</v>
          </cell>
          <cell r="B488" t="str">
            <v>35151-0419</v>
          </cell>
        </row>
        <row r="489">
          <cell r="A489" t="str">
            <v>MG615310T-1</v>
          </cell>
          <cell r="B489" t="str">
            <v>35151-2419</v>
          </cell>
        </row>
        <row r="490">
          <cell r="A490" t="str">
            <v>MG615310T-3</v>
          </cell>
          <cell r="B490" t="str">
            <v>35151-3419</v>
          </cell>
        </row>
        <row r="491">
          <cell r="A491" t="str">
            <v>MG615310T-2</v>
          </cell>
          <cell r="B491" t="str">
            <v>35151-4419</v>
          </cell>
        </row>
        <row r="492">
          <cell r="A492" t="str">
            <v>MG625311</v>
          </cell>
          <cell r="B492" t="str">
            <v>35150-0410</v>
          </cell>
        </row>
        <row r="493">
          <cell r="A493" t="str">
            <v>MG625311-1</v>
          </cell>
          <cell r="B493" t="str">
            <v>35150-0412</v>
          </cell>
        </row>
        <row r="494">
          <cell r="A494" t="str">
            <v>MG625311-3</v>
          </cell>
          <cell r="B494" t="str">
            <v>35150-0413</v>
          </cell>
        </row>
        <row r="495">
          <cell r="A495" t="str">
            <v>MG625311-2</v>
          </cell>
          <cell r="B495" t="str">
            <v>35150-0414</v>
          </cell>
        </row>
        <row r="496">
          <cell r="A496" t="str">
            <v>MG625311T</v>
          </cell>
          <cell r="B496" t="str">
            <v>35150-0419</v>
          </cell>
        </row>
        <row r="497">
          <cell r="A497" t="str">
            <v>MG625311T-1</v>
          </cell>
          <cell r="B497" t="str">
            <v>35150-2419</v>
          </cell>
        </row>
        <row r="498">
          <cell r="A498" t="str">
            <v>MG625311T-3</v>
          </cell>
          <cell r="B498" t="str">
            <v>35150-3419</v>
          </cell>
        </row>
        <row r="499">
          <cell r="A499" t="str">
            <v>MG625311T-2</v>
          </cell>
          <cell r="B499" t="str">
            <v>35150-4419</v>
          </cell>
        </row>
        <row r="500">
          <cell r="A500" t="str">
            <v>MG625312</v>
          </cell>
          <cell r="B500" t="str">
            <v>35150-0400</v>
          </cell>
        </row>
        <row r="501">
          <cell r="A501" t="str">
            <v>MG625312-1</v>
          </cell>
          <cell r="B501" t="str">
            <v>35150-0402</v>
          </cell>
        </row>
        <row r="502">
          <cell r="A502" t="str">
            <v>MG625312-3</v>
          </cell>
          <cell r="B502" t="str">
            <v>35150-0403</v>
          </cell>
        </row>
        <row r="503">
          <cell r="A503" t="str">
            <v>MG625312-2</v>
          </cell>
          <cell r="B503" t="str">
            <v>35150-0404</v>
          </cell>
        </row>
        <row r="504">
          <cell r="A504" t="str">
            <v>MG625312T</v>
          </cell>
          <cell r="B504" t="str">
            <v>35150-0409</v>
          </cell>
        </row>
        <row r="505">
          <cell r="A505" t="str">
            <v>MG625312T-1</v>
          </cell>
          <cell r="B505" t="str">
            <v>35150-2409</v>
          </cell>
        </row>
        <row r="506">
          <cell r="A506" t="str">
            <v>MG625312T-3</v>
          </cell>
          <cell r="B506" t="str">
            <v>35150-3409</v>
          </cell>
        </row>
        <row r="507">
          <cell r="A507" t="str">
            <v>MG625312T-2</v>
          </cell>
          <cell r="B507" t="str">
            <v>35150-4409</v>
          </cell>
        </row>
        <row r="508">
          <cell r="A508" t="str">
            <v>MG615313</v>
          </cell>
          <cell r="B508" t="str">
            <v>35151-0610</v>
          </cell>
        </row>
        <row r="509">
          <cell r="A509" t="str">
            <v>MG615313-1</v>
          </cell>
          <cell r="B509" t="str">
            <v>35151-0612</v>
          </cell>
        </row>
        <row r="510">
          <cell r="A510" t="str">
            <v>MG61531-3</v>
          </cell>
          <cell r="B510" t="str">
            <v>35151-0613</v>
          </cell>
        </row>
        <row r="511">
          <cell r="A511" t="str">
            <v>MG615313-2</v>
          </cell>
          <cell r="B511" t="str">
            <v>35151-0614</v>
          </cell>
        </row>
        <row r="512">
          <cell r="A512" t="str">
            <v>MG615313T</v>
          </cell>
          <cell r="B512" t="str">
            <v>35151-0619</v>
          </cell>
        </row>
        <row r="513">
          <cell r="A513" t="str">
            <v>MG615313T-1</v>
          </cell>
          <cell r="B513" t="str">
            <v>35151-2619</v>
          </cell>
        </row>
        <row r="514">
          <cell r="A514" t="str">
            <v>MG615313T-3</v>
          </cell>
          <cell r="B514" t="str">
            <v>35151-3619</v>
          </cell>
        </row>
        <row r="515">
          <cell r="A515" t="str">
            <v>MG615313T-2</v>
          </cell>
          <cell r="B515" t="str">
            <v>35151-4619</v>
          </cell>
        </row>
        <row r="516">
          <cell r="A516" t="str">
            <v>MG625314</v>
          </cell>
          <cell r="B516" t="str">
            <v>35150-0610</v>
          </cell>
        </row>
        <row r="517">
          <cell r="A517" t="str">
            <v>MG625314-1</v>
          </cell>
          <cell r="B517" t="str">
            <v>35150-0612</v>
          </cell>
        </row>
        <row r="518">
          <cell r="A518" t="str">
            <v>MG625314-3</v>
          </cell>
          <cell r="B518" t="str">
            <v>35150-0613</v>
          </cell>
        </row>
        <row r="519">
          <cell r="A519" t="str">
            <v>MG625314-2</v>
          </cell>
          <cell r="B519" t="str">
            <v>35150-0614</v>
          </cell>
        </row>
        <row r="520">
          <cell r="A520" t="str">
            <v>MG625314T</v>
          </cell>
          <cell r="B520" t="str">
            <v>35150-0619</v>
          </cell>
        </row>
        <row r="521">
          <cell r="A521" t="str">
            <v>MG625314T-1</v>
          </cell>
          <cell r="B521" t="str">
            <v>35150-2619</v>
          </cell>
        </row>
        <row r="522">
          <cell r="A522" t="str">
            <v>MG625314T-3</v>
          </cell>
          <cell r="B522" t="str">
            <v>35150-3619</v>
          </cell>
        </row>
        <row r="523">
          <cell r="A523" t="str">
            <v>MG625314T-2</v>
          </cell>
          <cell r="B523" t="str">
            <v>35150-4619</v>
          </cell>
        </row>
        <row r="524">
          <cell r="A524" t="str">
            <v>MG625315</v>
          </cell>
          <cell r="B524" t="str">
            <v>35150-0600</v>
          </cell>
        </row>
        <row r="525">
          <cell r="A525" t="str">
            <v>MG625315-1</v>
          </cell>
          <cell r="B525" t="str">
            <v>35150-0602</v>
          </cell>
        </row>
        <row r="526">
          <cell r="A526" t="str">
            <v>MG625315-3</v>
          </cell>
          <cell r="B526" t="str">
            <v>35150-0603</v>
          </cell>
        </row>
        <row r="527">
          <cell r="A527" t="str">
            <v>MG625315-2</v>
          </cell>
          <cell r="B527" t="str">
            <v>35150-0604</v>
          </cell>
        </row>
        <row r="528">
          <cell r="A528" t="str">
            <v>MG625315T</v>
          </cell>
          <cell r="B528" t="str">
            <v>35150-0609</v>
          </cell>
        </row>
        <row r="529">
          <cell r="A529" t="str">
            <v>MG625315T-1</v>
          </cell>
          <cell r="B529" t="str">
            <v>35150-2609</v>
          </cell>
        </row>
        <row r="530">
          <cell r="A530" t="str">
            <v>MG625315T-3</v>
          </cell>
          <cell r="B530" t="str">
            <v>35150-3609</v>
          </cell>
        </row>
        <row r="531">
          <cell r="A531" t="str">
            <v>MG625315T-2</v>
          </cell>
          <cell r="B531" t="str">
            <v>35150-4609</v>
          </cell>
        </row>
        <row r="532">
          <cell r="A532" t="str">
            <v>MG635317</v>
          </cell>
          <cell r="B532" t="str">
            <v>35150-0290</v>
          </cell>
        </row>
        <row r="533">
          <cell r="A533" t="str">
            <v>MG635317-1</v>
          </cell>
          <cell r="B533" t="str">
            <v>35150-0292</v>
          </cell>
        </row>
        <row r="534">
          <cell r="A534" t="str">
            <v>MG635318</v>
          </cell>
          <cell r="B534" t="str">
            <v>35150-0390</v>
          </cell>
        </row>
        <row r="535">
          <cell r="A535" t="str">
            <v>MG635318-1</v>
          </cell>
          <cell r="B535" t="str">
            <v>35150-0392</v>
          </cell>
        </row>
        <row r="536">
          <cell r="A536" t="str">
            <v>ST731433-3S</v>
          </cell>
          <cell r="B536" t="str">
            <v>35746-0410</v>
          </cell>
        </row>
        <row r="537">
          <cell r="A537" t="str">
            <v>ST731433-3M</v>
          </cell>
          <cell r="B537" t="str">
            <v>35746-0110</v>
          </cell>
        </row>
        <row r="538">
          <cell r="A538" t="str">
            <v>ST731433-3L</v>
          </cell>
          <cell r="B538" t="str">
            <v>35746-0210</v>
          </cell>
        </row>
        <row r="539">
          <cell r="A539" t="str">
            <v>ST731433-3DW</v>
          </cell>
          <cell r="B539" t="str">
            <v>35746-0310</v>
          </cell>
        </row>
        <row r="540">
          <cell r="A540" t="str">
            <v>ST731434-3S</v>
          </cell>
          <cell r="B540" t="str">
            <v>35748-0410</v>
          </cell>
        </row>
        <row r="541">
          <cell r="A541" t="str">
            <v>ST731434-3M</v>
          </cell>
          <cell r="B541" t="str">
            <v>35748-0110</v>
          </cell>
        </row>
        <row r="542">
          <cell r="A542" t="str">
            <v>ST731434-3L</v>
          </cell>
          <cell r="B542" t="str">
            <v>35748-0210</v>
          </cell>
        </row>
        <row r="543">
          <cell r="A543" t="str">
            <v>ST731434-3DW</v>
          </cell>
          <cell r="B543" t="str">
            <v>35748-0310</v>
          </cell>
        </row>
        <row r="544">
          <cell r="A544" t="str">
            <v>ST741435-3S</v>
          </cell>
          <cell r="B544" t="str">
            <v>35745-0410</v>
          </cell>
        </row>
        <row r="545">
          <cell r="A545" t="str">
            <v>ST741435-3M</v>
          </cell>
          <cell r="B545" t="str">
            <v>35745-0110</v>
          </cell>
        </row>
        <row r="546">
          <cell r="A546" t="str">
            <v>ST741435-3L</v>
          </cell>
          <cell r="B546" t="str">
            <v>35745-0210</v>
          </cell>
        </row>
        <row r="547">
          <cell r="A547" t="str">
            <v>ST741435-3DW</v>
          </cell>
          <cell r="B547" t="str">
            <v>35745-0310</v>
          </cell>
        </row>
        <row r="548">
          <cell r="A548" t="str">
            <v>ST741436-3S</v>
          </cell>
          <cell r="B548" t="str">
            <v>35747-0410</v>
          </cell>
        </row>
        <row r="549">
          <cell r="A549" t="str">
            <v>ST741436-3M</v>
          </cell>
          <cell r="B549" t="str">
            <v>35747-0110</v>
          </cell>
        </row>
        <row r="550">
          <cell r="A550" t="str">
            <v>ST741436-3L</v>
          </cell>
          <cell r="B550" t="str">
            <v>35747-0210</v>
          </cell>
        </row>
        <row r="551">
          <cell r="A551" t="str">
            <v>ST741436-3DW</v>
          </cell>
          <cell r="B551" t="str">
            <v>35747-0310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view="pageBreakPreview" zoomScaleNormal="100" zoomScaleSheetLayoutView="100" workbookViewId="0">
      <selection activeCell="D14" sqref="D14"/>
    </sheetView>
  </sheetViews>
  <sheetFormatPr defaultColWidth="10.69921875" defaultRowHeight="17.399999999999999"/>
  <cols>
    <col min="1" max="1" width="0.3984375" style="32" customWidth="1"/>
    <col min="2" max="2" width="19.3984375" style="34" customWidth="1"/>
    <col min="3" max="3" width="3.8984375" style="34" bestFit="1" customWidth="1"/>
    <col min="4" max="4" width="11" style="83" customWidth="1"/>
    <col min="5" max="5" width="6.09765625" style="34" customWidth="1"/>
    <col min="6" max="6" width="5.3984375" style="34" customWidth="1"/>
    <col min="7" max="7" width="4.59765625" style="34" customWidth="1"/>
    <col min="8" max="8" width="8.59765625" style="34" customWidth="1"/>
    <col min="9" max="9" width="9" style="34" customWidth="1"/>
    <col min="10" max="11" width="8.69921875" style="34" customWidth="1"/>
    <col min="12" max="12" width="12.3984375" style="34" customWidth="1"/>
    <col min="13" max="14" width="16.3984375" style="34" customWidth="1"/>
    <col min="15" max="15" width="5.69921875" style="83" customWidth="1"/>
    <col min="16" max="16" width="20.69921875" style="55" customWidth="1"/>
    <col min="17" max="17" width="5.69921875" style="55" customWidth="1"/>
    <col min="18" max="18" width="20.69921875" style="55" bestFit="1" customWidth="1"/>
    <col min="19" max="19" width="7.59765625" style="33" bestFit="1" customWidth="1"/>
    <col min="20" max="20" width="7.3984375" style="33" bestFit="1" customWidth="1"/>
    <col min="21" max="21" width="10" style="32" bestFit="1" customWidth="1"/>
    <col min="22" max="22" width="14.3984375" style="32" bestFit="1" customWidth="1"/>
    <col min="23" max="23" width="8.3984375" style="32" bestFit="1" customWidth="1"/>
    <col min="24" max="16384" width="10.69921875" style="32"/>
  </cols>
  <sheetData>
    <row r="1" spans="2:18" ht="24" customHeight="1">
      <c r="B1" s="136" t="s">
        <v>231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72"/>
      <c r="P1" s="48"/>
      <c r="Q1" s="48"/>
      <c r="R1" s="48"/>
    </row>
    <row r="2" spans="2:18" ht="16.5" customHeight="1"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72"/>
      <c r="P2" s="48"/>
      <c r="Q2" s="48"/>
      <c r="R2" s="48"/>
    </row>
    <row r="3" spans="2:18" ht="27.75" customHeight="1">
      <c r="B3" s="137" t="s">
        <v>230</v>
      </c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143" t="s">
        <v>11</v>
      </c>
      <c r="N3" s="143"/>
      <c r="O3" s="73"/>
      <c r="P3" s="49"/>
      <c r="Q3" s="49"/>
      <c r="R3" s="49"/>
    </row>
    <row r="4" spans="2:18" ht="27.75" customHeight="1"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1" t="s">
        <v>846</v>
      </c>
      <c r="N4" s="1" t="s">
        <v>847</v>
      </c>
      <c r="O4" s="73"/>
      <c r="P4" s="49"/>
      <c r="Q4" s="49"/>
      <c r="R4" s="49"/>
    </row>
    <row r="5" spans="2:18" ht="24" customHeight="1">
      <c r="B5" s="1" t="s">
        <v>12</v>
      </c>
      <c r="C5" s="144" t="s">
        <v>898</v>
      </c>
      <c r="D5" s="144"/>
      <c r="E5" s="145" t="s">
        <v>7</v>
      </c>
      <c r="F5" s="145"/>
      <c r="G5" s="145"/>
      <c r="H5" s="144" t="s">
        <v>1084</v>
      </c>
      <c r="I5" s="144"/>
      <c r="J5" s="144"/>
      <c r="K5" s="144"/>
      <c r="L5" s="144"/>
      <c r="M5" s="1" t="s">
        <v>8</v>
      </c>
      <c r="N5" s="35" t="s">
        <v>1015</v>
      </c>
      <c r="O5" s="74"/>
      <c r="P5" s="50"/>
      <c r="Q5" s="50"/>
      <c r="R5" s="50"/>
    </row>
    <row r="6" spans="2:18" s="33" customFormat="1" ht="21.6" customHeight="1">
      <c r="B6" s="153" t="s">
        <v>14</v>
      </c>
      <c r="C6" s="2" t="s">
        <v>9</v>
      </c>
      <c r="D6" s="2" t="s">
        <v>13</v>
      </c>
      <c r="E6" s="130" t="s">
        <v>840</v>
      </c>
      <c r="F6" s="130"/>
      <c r="G6" s="130"/>
      <c r="H6" s="130"/>
      <c r="I6" s="130"/>
      <c r="J6" s="24" t="s">
        <v>841</v>
      </c>
      <c r="K6" s="24" t="s">
        <v>842</v>
      </c>
      <c r="L6" s="24" t="s">
        <v>843</v>
      </c>
      <c r="M6" s="130" t="s">
        <v>15</v>
      </c>
      <c r="N6" s="130"/>
      <c r="O6" s="75"/>
      <c r="P6" s="51"/>
      <c r="Q6" s="51"/>
      <c r="R6" s="51"/>
    </row>
    <row r="7" spans="2:18" ht="16.5" customHeight="1">
      <c r="B7" s="154"/>
      <c r="C7" s="25">
        <v>1</v>
      </c>
      <c r="D7" s="26"/>
      <c r="E7" s="124" t="s">
        <v>861</v>
      </c>
      <c r="F7" s="124"/>
      <c r="G7" s="124"/>
      <c r="H7" s="124"/>
      <c r="I7" s="124"/>
      <c r="J7" s="27" t="s">
        <v>871</v>
      </c>
      <c r="K7" s="28"/>
      <c r="L7" s="27" t="s">
        <v>872</v>
      </c>
      <c r="M7" s="123"/>
      <c r="N7" s="124"/>
      <c r="O7" s="76"/>
      <c r="P7" s="52"/>
      <c r="Q7" s="52"/>
      <c r="R7" s="52"/>
    </row>
    <row r="8" spans="2:18" ht="16.5" customHeight="1">
      <c r="B8" s="154"/>
      <c r="C8" s="25">
        <v>2</v>
      </c>
      <c r="D8" s="26">
        <v>45931</v>
      </c>
      <c r="E8" s="124" t="s">
        <v>1028</v>
      </c>
      <c r="F8" s="124"/>
      <c r="G8" s="124"/>
      <c r="H8" s="124"/>
      <c r="I8" s="124"/>
      <c r="J8" s="27" t="s">
        <v>871</v>
      </c>
      <c r="K8" s="28"/>
      <c r="L8" s="27" t="s">
        <v>872</v>
      </c>
      <c r="M8" s="123"/>
      <c r="N8" s="124"/>
      <c r="O8" s="76"/>
      <c r="P8" s="52"/>
      <c r="Q8" s="52"/>
      <c r="R8" s="52"/>
    </row>
    <row r="9" spans="2:18" ht="16.5" customHeight="1">
      <c r="B9" s="154"/>
      <c r="C9" s="25">
        <v>3</v>
      </c>
      <c r="D9" s="26">
        <v>45932</v>
      </c>
      <c r="E9" s="152" t="s">
        <v>1030</v>
      </c>
      <c r="F9" s="152"/>
      <c r="G9" s="152"/>
      <c r="H9" s="152"/>
      <c r="I9" s="152"/>
      <c r="J9" s="27" t="s">
        <v>871</v>
      </c>
      <c r="K9" s="28"/>
      <c r="L9" s="27" t="s">
        <v>1029</v>
      </c>
      <c r="M9" s="123"/>
      <c r="N9" s="124"/>
      <c r="O9" s="76"/>
      <c r="P9" s="52"/>
      <c r="Q9" s="52"/>
      <c r="R9" s="52"/>
    </row>
    <row r="10" spans="2:18" ht="16.5" customHeight="1">
      <c r="B10" s="154"/>
      <c r="C10" s="25">
        <v>4</v>
      </c>
      <c r="D10" s="26">
        <v>45957</v>
      </c>
      <c r="E10" s="124" t="s">
        <v>1035</v>
      </c>
      <c r="F10" s="124"/>
      <c r="G10" s="124"/>
      <c r="H10" s="124"/>
      <c r="I10" s="124"/>
      <c r="J10" s="27" t="s">
        <v>871</v>
      </c>
      <c r="K10" s="28"/>
      <c r="L10" s="27" t="s">
        <v>1029</v>
      </c>
      <c r="M10" s="123"/>
      <c r="N10" s="124"/>
      <c r="O10" s="76"/>
      <c r="P10" s="52"/>
      <c r="Q10" s="52"/>
      <c r="R10" s="52"/>
    </row>
    <row r="11" spans="2:18" ht="16.5" customHeight="1">
      <c r="B11" s="154"/>
      <c r="C11" s="25">
        <v>5</v>
      </c>
      <c r="D11" s="26">
        <v>45973</v>
      </c>
      <c r="E11" s="124" t="s">
        <v>1065</v>
      </c>
      <c r="F11" s="124"/>
      <c r="G11" s="124"/>
      <c r="H11" s="124"/>
      <c r="I11" s="124"/>
      <c r="J11" s="27" t="s">
        <v>871</v>
      </c>
      <c r="K11" s="28"/>
      <c r="L11" s="27" t="s">
        <v>1029</v>
      </c>
      <c r="M11" s="123"/>
      <c r="N11" s="124"/>
      <c r="O11" s="76"/>
      <c r="P11" s="52"/>
      <c r="Q11" s="52"/>
      <c r="R11" s="52"/>
    </row>
    <row r="12" spans="2:18" ht="16.5" customHeight="1">
      <c r="B12" s="154"/>
      <c r="C12" s="25">
        <v>6</v>
      </c>
      <c r="D12" s="26">
        <v>45988</v>
      </c>
      <c r="E12" s="124" t="s">
        <v>1073</v>
      </c>
      <c r="F12" s="124"/>
      <c r="G12" s="124"/>
      <c r="H12" s="124"/>
      <c r="I12" s="124"/>
      <c r="J12" s="27" t="s">
        <v>871</v>
      </c>
      <c r="K12" s="28"/>
      <c r="L12" s="27" t="s">
        <v>1029</v>
      </c>
      <c r="M12" s="123"/>
      <c r="N12" s="124"/>
      <c r="O12" s="76"/>
      <c r="P12" s="52"/>
      <c r="Q12" s="52"/>
      <c r="R12" s="52"/>
    </row>
    <row r="13" spans="2:18" ht="16.5" customHeight="1">
      <c r="B13" s="154"/>
      <c r="C13" s="25">
        <v>7</v>
      </c>
      <c r="D13" s="26">
        <v>46043</v>
      </c>
      <c r="E13" s="125" t="s">
        <v>1082</v>
      </c>
      <c r="F13" s="125"/>
      <c r="G13" s="125"/>
      <c r="H13" s="125"/>
      <c r="I13" s="125"/>
      <c r="J13" s="27" t="s">
        <v>871</v>
      </c>
      <c r="K13" s="28"/>
      <c r="L13" s="27" t="s">
        <v>1029</v>
      </c>
      <c r="M13" s="123"/>
      <c r="N13" s="124"/>
      <c r="O13" s="76"/>
      <c r="P13" s="52"/>
      <c r="Q13" s="52"/>
      <c r="R13" s="52"/>
    </row>
    <row r="14" spans="2:18" ht="16.5" customHeight="1">
      <c r="B14" s="110"/>
      <c r="C14" s="25">
        <v>8</v>
      </c>
      <c r="D14" s="26">
        <v>46090</v>
      </c>
      <c r="E14" s="151" t="s">
        <v>1087</v>
      </c>
      <c r="F14" s="151"/>
      <c r="G14" s="151"/>
      <c r="H14" s="151"/>
      <c r="I14" s="151"/>
      <c r="J14" s="27" t="s">
        <v>871</v>
      </c>
      <c r="K14" s="28"/>
      <c r="L14" s="27" t="s">
        <v>1029</v>
      </c>
      <c r="M14" s="123"/>
      <c r="N14" s="124"/>
      <c r="O14" s="76"/>
      <c r="P14" s="52"/>
      <c r="Q14" s="52"/>
      <c r="R14" s="52"/>
    </row>
    <row r="15" spans="2:18" ht="16.5" customHeight="1">
      <c r="B15" s="127" t="s">
        <v>16</v>
      </c>
      <c r="C15" s="128" t="s">
        <v>182</v>
      </c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84"/>
      <c r="P15" s="54"/>
      <c r="Q15" s="54"/>
      <c r="R15" s="54"/>
    </row>
    <row r="16" spans="2:18" ht="16.5" customHeight="1"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84"/>
      <c r="P16" s="54"/>
      <c r="Q16" s="54"/>
      <c r="R16" s="54"/>
    </row>
    <row r="17" spans="1:23" ht="17.25" customHeight="1">
      <c r="B17" s="127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84"/>
      <c r="P17" s="54"/>
      <c r="Q17" s="54"/>
      <c r="R17" s="54"/>
    </row>
    <row r="18" spans="1:23" ht="17.25" customHeight="1"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84"/>
      <c r="P18" s="54"/>
      <c r="Q18" s="54"/>
      <c r="R18" s="54"/>
    </row>
    <row r="19" spans="1:23" ht="17.25" customHeight="1">
      <c r="B19" s="127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84"/>
      <c r="P19" s="54"/>
      <c r="Q19" s="54"/>
      <c r="R19" s="54"/>
    </row>
    <row r="20" spans="1:23" ht="17.25" customHeight="1">
      <c r="B20" s="127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84"/>
      <c r="P20" s="54"/>
      <c r="Q20" s="54"/>
      <c r="R20" s="54"/>
    </row>
    <row r="21" spans="1:23">
      <c r="B21" s="127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84"/>
      <c r="P21" s="54"/>
      <c r="Q21" s="54"/>
      <c r="R21" s="54"/>
    </row>
    <row r="22" spans="1:23" ht="16.5" customHeight="1">
      <c r="B22" s="127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84"/>
      <c r="P22" s="54"/>
      <c r="Q22" s="54"/>
      <c r="R22" s="54"/>
    </row>
    <row r="23" spans="1:23">
      <c r="B23" s="127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84"/>
      <c r="P23" s="54"/>
      <c r="Q23" s="54"/>
      <c r="R23" s="54"/>
    </row>
    <row r="24" spans="1:23" ht="22.5" customHeight="1">
      <c r="B24" s="2" t="s">
        <v>17</v>
      </c>
      <c r="C24" s="129" t="s">
        <v>20</v>
      </c>
      <c r="D24" s="129"/>
      <c r="E24" s="130" t="s">
        <v>21</v>
      </c>
      <c r="F24" s="130"/>
      <c r="G24" s="130"/>
      <c r="H24" s="130" t="s">
        <v>178</v>
      </c>
      <c r="I24" s="130"/>
      <c r="J24" s="130"/>
      <c r="K24" s="130"/>
      <c r="L24" s="130"/>
      <c r="M24" s="131" t="s">
        <v>18</v>
      </c>
      <c r="N24" s="131"/>
      <c r="O24" s="77"/>
      <c r="P24" s="53"/>
      <c r="Q24" s="53"/>
      <c r="R24" s="53"/>
    </row>
    <row r="25" spans="1:23" ht="27" customHeight="1">
      <c r="B25" s="130" t="s">
        <v>19</v>
      </c>
      <c r="C25" s="132" t="s">
        <v>179</v>
      </c>
      <c r="D25" s="133"/>
      <c r="E25" s="133"/>
      <c r="F25" s="133"/>
      <c r="G25" s="133"/>
      <c r="H25" s="130" t="s">
        <v>180</v>
      </c>
      <c r="I25" s="130"/>
      <c r="J25" s="130"/>
      <c r="K25" s="130"/>
      <c r="L25" s="130" t="s">
        <v>181</v>
      </c>
      <c r="M25" s="131"/>
      <c r="N25" s="131"/>
      <c r="O25" s="77"/>
      <c r="P25" s="53"/>
      <c r="Q25" s="53"/>
      <c r="R25" s="53"/>
      <c r="U25" s="33"/>
    </row>
    <row r="26" spans="1:23" ht="13.5" customHeight="1">
      <c r="B26" s="130"/>
      <c r="C26" s="133"/>
      <c r="D26" s="133"/>
      <c r="E26" s="133"/>
      <c r="F26" s="133"/>
      <c r="G26" s="133"/>
      <c r="H26" s="130" t="s">
        <v>10</v>
      </c>
      <c r="I26" s="130"/>
      <c r="J26" s="130" t="s">
        <v>22</v>
      </c>
      <c r="K26" s="130"/>
      <c r="L26" s="130"/>
      <c r="M26" s="130" t="s">
        <v>1</v>
      </c>
      <c r="N26" s="130" t="s">
        <v>2</v>
      </c>
      <c r="O26" s="75"/>
      <c r="P26" s="51"/>
      <c r="Q26" s="51"/>
      <c r="R26" s="51"/>
      <c r="S26" s="126" t="s">
        <v>176</v>
      </c>
      <c r="T26" s="126"/>
      <c r="U26" s="126" t="s">
        <v>232</v>
      </c>
      <c r="V26" s="126"/>
    </row>
    <row r="27" spans="1:23">
      <c r="B27" s="130"/>
      <c r="C27" s="2" t="s">
        <v>0</v>
      </c>
      <c r="D27" s="2" t="s">
        <v>3</v>
      </c>
      <c r="E27" s="2" t="s">
        <v>4</v>
      </c>
      <c r="F27" s="2" t="s">
        <v>875</v>
      </c>
      <c r="G27" s="2" t="s">
        <v>23</v>
      </c>
      <c r="H27" s="2" t="s">
        <v>5</v>
      </c>
      <c r="I27" s="2" t="s">
        <v>6</v>
      </c>
      <c r="J27" s="2" t="s">
        <v>5</v>
      </c>
      <c r="K27" s="2" t="s">
        <v>6</v>
      </c>
      <c r="L27" s="130"/>
      <c r="M27" s="150"/>
      <c r="N27" s="150"/>
      <c r="O27" s="134" t="s">
        <v>862</v>
      </c>
      <c r="P27" s="135"/>
      <c r="Q27" s="135" t="s">
        <v>863</v>
      </c>
      <c r="R27" s="135"/>
      <c r="S27" s="33" t="s">
        <v>177</v>
      </c>
      <c r="T27" s="33" t="s">
        <v>22</v>
      </c>
      <c r="U27" s="33" t="s">
        <v>177</v>
      </c>
      <c r="V27" s="33" t="s">
        <v>22</v>
      </c>
    </row>
    <row r="28" spans="1:23" ht="17.399999999999999" customHeight="1">
      <c r="A28" s="33"/>
      <c r="B28" s="157" t="s">
        <v>1021</v>
      </c>
      <c r="C28" s="101">
        <v>1</v>
      </c>
      <c r="D28" s="104" t="s">
        <v>905</v>
      </c>
      <c r="E28" s="100" t="s">
        <v>915</v>
      </c>
      <c r="F28" s="108">
        <f xml:space="preserve"> 10 + (90+20+40+50+40+90+60) +10</f>
        <v>410</v>
      </c>
      <c r="G28" s="4">
        <v>1</v>
      </c>
      <c r="H28" s="111">
        <f>IF(RIGHT(M28,5)="JOINT",IF(MID(D28,3,6)="1007#2","15","17"),IF(RIGHT(M28,6)="SPLICE",8,IF(AND(S28="",NOT(F28="")),#REF!,S28)))</f>
        <v>2.5</v>
      </c>
      <c r="I28" s="112" t="str">
        <f>IF(M28="", "", IF(OR(M28="반탈피", ISNUMBER(SEARCH("JOINT", M28))), "반", "완"))</f>
        <v>완</v>
      </c>
      <c r="J28" s="111">
        <f>IF(RIGHT(N28,5)="JOINT",IF(MID(D28,3,6)="1007#2","15","17"),IF(RIGHT(N28,6)="SPLICE",8,IF(AND(T28="",NOT(F28="")),#REF!,T28)))</f>
        <v>1.9</v>
      </c>
      <c r="K28" s="112" t="str">
        <f t="shared" ref="K28" si="0">IF(N28="", "", IF(OR(N28="반탈피", ISNUMBER(SEARCH("JOINT", N28))), "반", "완"))</f>
        <v>완</v>
      </c>
      <c r="L28" s="4"/>
      <c r="M28" s="4" t="s">
        <v>58</v>
      </c>
      <c r="N28" s="4" t="s">
        <v>1036</v>
      </c>
      <c r="O28" s="122">
        <v>2</v>
      </c>
      <c r="P28" s="3" t="s">
        <v>951</v>
      </c>
      <c r="Q28" s="122">
        <v>7</v>
      </c>
      <c r="R28" s="97" t="s">
        <v>1048</v>
      </c>
      <c r="S28" s="33">
        <f>IFERROR(VLOOKUP(M28,'DATA(STRIP LENGTH)'!A:C,3,0),"")</f>
        <v>2.5</v>
      </c>
      <c r="T28" s="33">
        <f>IFERROR(VLOOKUP(N28,'DATA(STRIP LENGTH)'!A:C,3,0),"")</f>
        <v>1.9</v>
      </c>
      <c r="U28" s="32" t="str">
        <f>IFERROR(VLOOKUP(M28,이원화!A:B,2,0),"")</f>
        <v>WB20L-61209</v>
      </c>
      <c r="V28" s="32" t="str">
        <f>IFERROR(VLOOKUP(N28,이원화!A:B,2,0),"")</f>
        <v>YST025L3</v>
      </c>
      <c r="W28" s="82" t="str">
        <f>IF(C28&gt;0,IF(B28=0,W27,B28),"")</f>
        <v xml:space="preserve">1767C-1
</v>
      </c>
    </row>
    <row r="29" spans="1:23" ht="17.399999999999999" customHeight="1">
      <c r="A29" s="33"/>
      <c r="B29" s="158"/>
      <c r="C29" s="101">
        <v>2</v>
      </c>
      <c r="D29" s="104" t="s">
        <v>905</v>
      </c>
      <c r="E29" s="100" t="s">
        <v>915</v>
      </c>
      <c r="F29" s="108">
        <f xml:space="preserve"> 10 + (90+20+40+50+40+90+60) +10</f>
        <v>410</v>
      </c>
      <c r="G29" s="4">
        <v>1</v>
      </c>
      <c r="H29" s="111">
        <f>IF(RIGHT(M29,5)="JOINT",IF(MID(D29,3,6)="1007#2","15","17"),IF(RIGHT(M29,6)="SPLICE",8,IF(AND(S29="",NOT(F29="")),#REF!,S29)))</f>
        <v>2.5</v>
      </c>
      <c r="I29" s="112" t="str">
        <f t="shared" ref="I29:I79" si="1">IF(M29="", "", IF(OR(M29="반탈피", ISNUMBER(SEARCH("JOINT", M29))), "반", "완"))</f>
        <v>완</v>
      </c>
      <c r="J29" s="111">
        <f>IF(RIGHT(N29,5)="JOINT",IF(MID(D29,3,6)="1007#2","15","17"),IF(RIGHT(N29,6)="SPLICE",8,IF(AND(T29="",NOT(F29="")),#REF!,T29)))</f>
        <v>1.9</v>
      </c>
      <c r="K29" s="112" t="str">
        <f t="shared" ref="K29:K79" si="2">IF(N29="", "", IF(OR(N29="반탈피", ISNUMBER(SEARCH("JOINT", N29))), "반", "완"))</f>
        <v>완</v>
      </c>
      <c r="L29" s="4"/>
      <c r="M29" s="4" t="s">
        <v>58</v>
      </c>
      <c r="N29" s="4" t="s">
        <v>1036</v>
      </c>
      <c r="O29" s="114"/>
      <c r="P29" s="3" t="s">
        <v>952</v>
      </c>
      <c r="Q29" s="114"/>
      <c r="R29" s="97" t="s">
        <v>1049</v>
      </c>
      <c r="S29" s="33">
        <f>IFERROR(VLOOKUP(M29,'DATA(STRIP LENGTH)'!A:C,3,0),"")</f>
        <v>2.5</v>
      </c>
      <c r="T29" s="33">
        <f>IFERROR(VLOOKUP(N29,'DATA(STRIP LENGTH)'!A:C,3,0),"")</f>
        <v>1.9</v>
      </c>
      <c r="U29" s="32" t="str">
        <f>IFERROR(VLOOKUP(M29,이원화!A:B,2,0),"")</f>
        <v>WB20L-61209</v>
      </c>
      <c r="V29" s="32" t="str">
        <f>IFERROR(VLOOKUP(N29,이원화!A:B,2,0),"")</f>
        <v>YST025L3</v>
      </c>
      <c r="W29" s="82" t="str">
        <f>IF(C29&gt;0,IF(B29=0,W28,B29),"")</f>
        <v xml:space="preserve">1767C-1
</v>
      </c>
    </row>
    <row r="30" spans="1:23" ht="17.399999999999999" customHeight="1">
      <c r="B30" s="158"/>
      <c r="C30" s="101">
        <v>63</v>
      </c>
      <c r="D30" s="104" t="s">
        <v>905</v>
      </c>
      <c r="E30" s="100" t="s">
        <v>921</v>
      </c>
      <c r="F30" s="108">
        <f t="shared" ref="F30:F31" si="3" xml:space="preserve"> 10 + (90+20+40+50+40+90+60) +10</f>
        <v>410</v>
      </c>
      <c r="G30" s="4">
        <v>1</v>
      </c>
      <c r="H30" s="111">
        <f>IF(RIGHT(M30,5)="JOINT",IF(MID(D30,3,6)="1007#2","15","17"),IF(RIGHT(M30,6)="SPLICE",8,IF(AND(S30="",NOT(F30="")),#REF!,S30)))</f>
        <v>2.5</v>
      </c>
      <c r="I30" s="112" t="str">
        <f>IF(M30="", "", IF(OR(M30="반탈피", ISNUMBER(SEARCH("JOINT", M30))), "반", "완"))</f>
        <v>완</v>
      </c>
      <c r="J30" s="111">
        <f>IF(RIGHT(N30,5)="JOINT",IF(MID(D30,3,6)="1007#2","15","17"),IF(RIGHT(N30,6)="SPLICE",8,IF(AND(T30="",NOT(F30="")),#REF!,T30)))</f>
        <v>1.9</v>
      </c>
      <c r="K30" s="112" t="str">
        <f>IF(N30="", "", IF(OR(N30="반탈피", ISNUMBER(SEARCH("JOINT", N30))), "반", "완"))</f>
        <v>완</v>
      </c>
      <c r="L30" s="4"/>
      <c r="M30" s="4" t="s">
        <v>58</v>
      </c>
      <c r="N30" s="4" t="s">
        <v>1036</v>
      </c>
      <c r="O30" s="114"/>
      <c r="P30" s="3" t="s">
        <v>996</v>
      </c>
      <c r="Q30" s="114"/>
      <c r="R30" s="97" t="s">
        <v>1050</v>
      </c>
      <c r="S30" s="33">
        <f>IFERROR(VLOOKUP(M30,'DATA(STRIP LENGTH)'!A:C,3,0),"")</f>
        <v>2.5</v>
      </c>
      <c r="T30" s="33">
        <f>IFERROR(VLOOKUP(N30,'DATA(STRIP LENGTH)'!A:C,3,0),"")</f>
        <v>1.9</v>
      </c>
      <c r="U30" s="32" t="str">
        <f>IFERROR(VLOOKUP(M30,이원화!A:B,2,0),"")</f>
        <v>WB20L-61209</v>
      </c>
      <c r="V30" s="32" t="str">
        <f>IFERROR(VLOOKUP(N30,이원화!A:B,2,0),"")</f>
        <v>YST025L3</v>
      </c>
      <c r="W30" s="82" t="e">
        <f>IF(C30&gt;0,IF(B30=0,W43,B30),"")</f>
        <v>#REF!</v>
      </c>
    </row>
    <row r="31" spans="1:23" ht="17.399999999999999" customHeight="1">
      <c r="B31" s="158"/>
      <c r="C31" s="101">
        <v>64</v>
      </c>
      <c r="D31" s="104" t="s">
        <v>905</v>
      </c>
      <c r="E31" s="100" t="s">
        <v>921</v>
      </c>
      <c r="F31" s="108">
        <f t="shared" si="3"/>
        <v>410</v>
      </c>
      <c r="G31" s="4">
        <v>1</v>
      </c>
      <c r="H31" s="111">
        <f>IF(RIGHT(M31,5)="JOINT",IF(MID(D31,3,6)="1007#2","15","17"),IF(RIGHT(M31,6)="SPLICE",8,IF(AND(S31="",NOT(F31="")),#REF!,S31)))</f>
        <v>2.5</v>
      </c>
      <c r="I31" s="112" t="str">
        <f>IF(M31="", "", IF(OR(M31="반탈피", ISNUMBER(SEARCH("JOINT", M31))), "반", "완"))</f>
        <v>완</v>
      </c>
      <c r="J31" s="111">
        <f>IF(RIGHT(N31,5)="JOINT",IF(MID(D31,3,6)="1007#2","15","17"),IF(RIGHT(N31,6)="SPLICE",8,IF(AND(T31="",NOT(F31="")),#REF!,T31)))</f>
        <v>1.9</v>
      </c>
      <c r="K31" s="112" t="str">
        <f>IF(N31="", "", IF(OR(N31="반탈피", ISNUMBER(SEARCH("JOINT", N31))), "반", "완"))</f>
        <v>완</v>
      </c>
      <c r="L31" s="4"/>
      <c r="M31" s="4" t="s">
        <v>58</v>
      </c>
      <c r="N31" s="4" t="s">
        <v>1036</v>
      </c>
      <c r="O31" s="114"/>
      <c r="P31" s="3" t="s">
        <v>997</v>
      </c>
      <c r="Q31" s="115"/>
      <c r="R31" s="97" t="s">
        <v>1051</v>
      </c>
      <c r="S31" s="33">
        <f>IFERROR(VLOOKUP(M31,'DATA(STRIP LENGTH)'!A:C,3,0),"")</f>
        <v>2.5</v>
      </c>
      <c r="T31" s="33">
        <f>IFERROR(VLOOKUP(N31,'DATA(STRIP LENGTH)'!A:C,3,0),"")</f>
        <v>1.9</v>
      </c>
      <c r="U31" s="32" t="str">
        <f>IFERROR(VLOOKUP(M31,이원화!A:B,2,0),"")</f>
        <v>WB20L-61209</v>
      </c>
      <c r="V31" s="32" t="str">
        <f>IFERROR(VLOOKUP(N31,이원화!A:B,2,0),"")</f>
        <v>YST025L3</v>
      </c>
      <c r="W31" s="82" t="e">
        <f>IF(C31&gt;0,IF(B31=0,W30,B31),"")</f>
        <v>#REF!</v>
      </c>
    </row>
    <row r="32" spans="1:23" ht="17.399999999999999" customHeight="1">
      <c r="A32" s="33"/>
      <c r="B32" s="158"/>
      <c r="C32" s="101">
        <v>3</v>
      </c>
      <c r="D32" s="116" t="s">
        <v>906</v>
      </c>
      <c r="E32" s="100" t="s">
        <v>916</v>
      </c>
      <c r="F32" s="148">
        <f xml:space="preserve"> 10 + (90+40+100) +10</f>
        <v>250</v>
      </c>
      <c r="G32" s="4">
        <v>1</v>
      </c>
      <c r="H32" s="111">
        <f>IF(RIGHT(M32,5)="JOINT",IF(MID(D32,3,6)="1007#2","15","17"),IF(RIGHT(M32,6)="SPLICE",8,IF(AND(S32="",NOT(F32="")),#REF!,S32)))</f>
        <v>2.5</v>
      </c>
      <c r="I32" s="112" t="str">
        <f t="shared" si="1"/>
        <v>완</v>
      </c>
      <c r="J32" s="111">
        <f>IF(RIGHT(N32,5)="JOINT",IF(MID(D32,3,6)="1007#2","15","17"),IF(RIGHT(N32,6)="SPLICE",8,IF(AND(T32="",NOT(F32="")),#REF!,T32)))</f>
        <v>3</v>
      </c>
      <c r="K32" s="112" t="str">
        <f t="shared" si="2"/>
        <v>완</v>
      </c>
      <c r="L32" s="4"/>
      <c r="M32" s="4" t="s">
        <v>58</v>
      </c>
      <c r="N32" s="4" t="s">
        <v>1074</v>
      </c>
      <c r="O32" s="114"/>
      <c r="P32" s="3" t="s">
        <v>953</v>
      </c>
      <c r="Q32" s="122">
        <v>5</v>
      </c>
      <c r="R32" s="3" t="s">
        <v>1002</v>
      </c>
      <c r="S32" s="33">
        <f>IFERROR(VLOOKUP(M32,'DATA(STRIP LENGTH)'!A:C,3,0),"")</f>
        <v>2.5</v>
      </c>
      <c r="T32" s="33">
        <f>IFERROR(VLOOKUP(N32,'DATA(STRIP LENGTH)'!A:C,3,0),"")</f>
        <v>3</v>
      </c>
      <c r="U32" s="32" t="str">
        <f>IFERROR(VLOOKUP(M32,이원화!A:B,2,0),"")</f>
        <v>WB20L-61209</v>
      </c>
      <c r="V32" s="32" t="str">
        <f>IFERROR(VLOOKUP(N32,이원화!A:B,2,0),"")</f>
        <v>25045TP</v>
      </c>
      <c r="W32" s="82" t="str">
        <f>IF(C32&gt;0,IF(B32=0,W29,B32),"")</f>
        <v xml:space="preserve">1767C-1
</v>
      </c>
    </row>
    <row r="33" spans="1:23" ht="17.399999999999999" customHeight="1">
      <c r="A33" s="33"/>
      <c r="B33" s="158"/>
      <c r="C33" s="101">
        <v>4</v>
      </c>
      <c r="D33" s="118"/>
      <c r="E33" s="100" t="s">
        <v>917</v>
      </c>
      <c r="F33" s="149"/>
      <c r="G33" s="4">
        <v>1</v>
      </c>
      <c r="H33" s="111">
        <f>IF(RIGHT(M33,5)="JOINT",IF(MID(D33,3,6)="1007#2","15","17"),IF(RIGHT(M33,6)="SPLICE",8,IF(AND(S33="",NOT(F33="")),#REF!,S33)))</f>
        <v>2.5</v>
      </c>
      <c r="I33" s="112" t="str">
        <f t="shared" si="1"/>
        <v>완</v>
      </c>
      <c r="J33" s="111">
        <f>IF(RIGHT(N33,5)="JOINT",IF(MID(D33,3,6)="1007#2","15","17"),IF(RIGHT(N33,6)="SPLICE",8,IF(AND(T33="",NOT(F33="")),#REF!,T33)))</f>
        <v>3</v>
      </c>
      <c r="K33" s="112" t="str">
        <f t="shared" si="2"/>
        <v>완</v>
      </c>
      <c r="L33" s="4"/>
      <c r="M33" s="4" t="s">
        <v>58</v>
      </c>
      <c r="N33" s="4" t="s">
        <v>1075</v>
      </c>
      <c r="O33" s="114"/>
      <c r="P33" s="3" t="s">
        <v>954</v>
      </c>
      <c r="Q33" s="115"/>
      <c r="R33" s="3" t="s">
        <v>1003</v>
      </c>
      <c r="S33" s="33">
        <f>IFERROR(VLOOKUP(M33,'DATA(STRIP LENGTH)'!A:C,3,0),"")</f>
        <v>2.5</v>
      </c>
      <c r="T33" s="33">
        <f>IFERROR(VLOOKUP(N33,'DATA(STRIP LENGTH)'!A:C,3,0),"")</f>
        <v>3</v>
      </c>
      <c r="U33" s="32" t="str">
        <f>IFERROR(VLOOKUP(M33,이원화!A:B,2,0),"")</f>
        <v>WB20L-61209</v>
      </c>
      <c r="V33" s="32" t="str">
        <f>IFERROR(VLOOKUP(N33,이원화!A:B,2,0),"")</f>
        <v>25045TP</v>
      </c>
      <c r="W33" s="82" t="str">
        <f t="shared" ref="W33:W43" si="4">IF(C33&gt;0,IF(B33=0,W32,B33),"")</f>
        <v xml:space="preserve">1767C-1
</v>
      </c>
    </row>
    <row r="34" spans="1:23" ht="17.399999999999999" customHeight="1">
      <c r="A34" s="33"/>
      <c r="B34" s="158"/>
      <c r="C34" s="101">
        <v>5</v>
      </c>
      <c r="D34" s="104" t="s">
        <v>907</v>
      </c>
      <c r="E34" s="100" t="s">
        <v>918</v>
      </c>
      <c r="F34" s="108">
        <f xml:space="preserve"> 10 + (90+20+40+50+40+90+75) +10</f>
        <v>425</v>
      </c>
      <c r="G34" s="4">
        <v>1</v>
      </c>
      <c r="H34" s="111">
        <f>IF(RIGHT(M34,5)="JOINT",IF(MID(D34,3,6)="1007#2","15","17"),IF(RIGHT(M34,6)="SPLICE",8,IF(AND(S34="",NOT(F34="")),#REF!,S34)))</f>
        <v>2.5</v>
      </c>
      <c r="I34" s="112" t="str">
        <f t="shared" si="1"/>
        <v>완</v>
      </c>
      <c r="J34" s="111">
        <f>IF(RIGHT(N34,5)="JOINT",IF(MID(D34,3,6)="1007#2","15","17"),IF(RIGHT(N34,6)="SPLICE",8,IF(AND(T34="",NOT(F34="")),#REF!,T34)))</f>
        <v>1.9</v>
      </c>
      <c r="K34" s="112" t="str">
        <f t="shared" si="2"/>
        <v>완</v>
      </c>
      <c r="L34" s="4"/>
      <c r="M34" s="4" t="s">
        <v>58</v>
      </c>
      <c r="N34" s="4" t="s">
        <v>1036</v>
      </c>
      <c r="O34" s="114"/>
      <c r="P34" s="3" t="s">
        <v>955</v>
      </c>
      <c r="Q34" s="122">
        <v>8</v>
      </c>
      <c r="R34" s="97" t="s">
        <v>1037</v>
      </c>
      <c r="S34" s="33">
        <f>IFERROR(VLOOKUP(M34,'DATA(STRIP LENGTH)'!A:C,3,0),"")</f>
        <v>2.5</v>
      </c>
      <c r="T34" s="33">
        <f>IFERROR(VLOOKUP(N34,'DATA(STRIP LENGTH)'!A:C,3,0),"")</f>
        <v>1.9</v>
      </c>
      <c r="U34" s="32" t="str">
        <f>IFERROR(VLOOKUP(M34,이원화!A:B,2,0),"")</f>
        <v>WB20L-61209</v>
      </c>
      <c r="V34" s="32" t="str">
        <f>IFERROR(VLOOKUP(N34,이원화!A:B,2,0),"")</f>
        <v>YST025L3</v>
      </c>
      <c r="W34" s="82" t="str">
        <f t="shared" si="4"/>
        <v xml:space="preserve">1767C-1
</v>
      </c>
    </row>
    <row r="35" spans="1:23" ht="17.399999999999999" customHeight="1">
      <c r="A35" s="33"/>
      <c r="B35" s="158"/>
      <c r="C35" s="101">
        <v>6</v>
      </c>
      <c r="D35" s="104" t="s">
        <v>907</v>
      </c>
      <c r="E35" s="100" t="s">
        <v>916</v>
      </c>
      <c r="F35" s="108">
        <f t="shared" ref="F35:F37" si="5" xml:space="preserve"> 10 + (90+20+40+50+40+90+75) +10</f>
        <v>425</v>
      </c>
      <c r="G35" s="4">
        <v>1</v>
      </c>
      <c r="H35" s="111">
        <f>IF(RIGHT(M35,5)="JOINT",IF(MID(D35,3,6)="1007#2","15","17"),IF(RIGHT(M35,6)="SPLICE",8,IF(AND(S35="",NOT(F35="")),#REF!,S35)))</f>
        <v>2.5</v>
      </c>
      <c r="I35" s="112" t="str">
        <f t="shared" si="1"/>
        <v>완</v>
      </c>
      <c r="J35" s="111">
        <f>IF(RIGHT(N35,5)="JOINT",IF(MID(D35,3,6)="1007#2","15","17"),IF(RIGHT(N35,6)="SPLICE",8,IF(AND(T35="",NOT(F35="")),#REF!,T35)))</f>
        <v>1.9</v>
      </c>
      <c r="K35" s="112" t="str">
        <f t="shared" si="2"/>
        <v>완</v>
      </c>
      <c r="L35" s="4"/>
      <c r="M35" s="4" t="s">
        <v>58</v>
      </c>
      <c r="N35" s="4" t="s">
        <v>1036</v>
      </c>
      <c r="O35" s="114"/>
      <c r="P35" s="3" t="s">
        <v>956</v>
      </c>
      <c r="Q35" s="114"/>
      <c r="R35" s="97" t="s">
        <v>1038</v>
      </c>
      <c r="S35" s="33">
        <f>IFERROR(VLOOKUP(M35,'DATA(STRIP LENGTH)'!A:C,3,0),"")</f>
        <v>2.5</v>
      </c>
      <c r="T35" s="33">
        <f>IFERROR(VLOOKUP(N35,'DATA(STRIP LENGTH)'!A:C,3,0),"")</f>
        <v>1.9</v>
      </c>
      <c r="U35" s="32" t="str">
        <f>IFERROR(VLOOKUP(M35,이원화!A:B,2,0),"")</f>
        <v>WB20L-61209</v>
      </c>
      <c r="V35" s="32" t="str">
        <f>IFERROR(VLOOKUP(N35,이원화!A:B,2,0),"")</f>
        <v>YST025L3</v>
      </c>
      <c r="W35" s="82" t="str">
        <f t="shared" si="4"/>
        <v xml:space="preserve">1767C-1
</v>
      </c>
    </row>
    <row r="36" spans="1:23" ht="17.399999999999999" customHeight="1">
      <c r="A36" s="33"/>
      <c r="B36" s="158"/>
      <c r="C36" s="101">
        <v>7</v>
      </c>
      <c r="D36" s="104" t="s">
        <v>907</v>
      </c>
      <c r="E36" s="100" t="s">
        <v>915</v>
      </c>
      <c r="F36" s="108">
        <f t="shared" si="5"/>
        <v>425</v>
      </c>
      <c r="G36" s="4">
        <v>1</v>
      </c>
      <c r="H36" s="111">
        <f>IF(RIGHT(M36,5)="JOINT",IF(MID(D36,3,6)="1007#2","15","17"),IF(RIGHT(M36,6)="SPLICE",8,IF(AND(S36="",NOT(F36="")),#REF!,S36)))</f>
        <v>2.5</v>
      </c>
      <c r="I36" s="112" t="str">
        <f t="shared" si="1"/>
        <v>완</v>
      </c>
      <c r="J36" s="111">
        <f>IF(RIGHT(N36,5)="JOINT",IF(MID(D36,3,6)="1007#2","15","17"),IF(RIGHT(N36,6)="SPLICE",8,IF(AND(T36="",NOT(F36="")),#REF!,T36)))</f>
        <v>1.9</v>
      </c>
      <c r="K36" s="112" t="str">
        <f t="shared" si="2"/>
        <v>완</v>
      </c>
      <c r="L36" s="4"/>
      <c r="M36" s="4" t="s">
        <v>58</v>
      </c>
      <c r="N36" s="4" t="s">
        <v>1036</v>
      </c>
      <c r="O36" s="114"/>
      <c r="P36" s="3" t="s">
        <v>957</v>
      </c>
      <c r="Q36" s="114"/>
      <c r="R36" s="97" t="s">
        <v>1039</v>
      </c>
      <c r="S36" s="33">
        <f>IFERROR(VLOOKUP(M36,'DATA(STRIP LENGTH)'!A:C,3,0),"")</f>
        <v>2.5</v>
      </c>
      <c r="T36" s="33">
        <f>IFERROR(VLOOKUP(N36,'DATA(STRIP LENGTH)'!A:C,3,0),"")</f>
        <v>1.9</v>
      </c>
      <c r="U36" s="32" t="str">
        <f>IFERROR(VLOOKUP(M36,이원화!A:B,2,0),"")</f>
        <v>WB20L-61209</v>
      </c>
      <c r="V36" s="32" t="str">
        <f>IFERROR(VLOOKUP(N36,이원화!A:B,2,0),"")</f>
        <v>YST025L3</v>
      </c>
      <c r="W36" s="82" t="str">
        <f t="shared" si="4"/>
        <v xml:space="preserve">1767C-1
</v>
      </c>
    </row>
    <row r="37" spans="1:23" ht="17.399999999999999" customHeight="1">
      <c r="A37" s="33"/>
      <c r="B37" s="158"/>
      <c r="C37" s="101">
        <v>8</v>
      </c>
      <c r="D37" s="104" t="s">
        <v>907</v>
      </c>
      <c r="E37" s="100" t="s">
        <v>917</v>
      </c>
      <c r="F37" s="108">
        <f t="shared" si="5"/>
        <v>425</v>
      </c>
      <c r="G37" s="4">
        <v>1</v>
      </c>
      <c r="H37" s="111">
        <f>IF(RIGHT(M37,5)="JOINT",IF(MID(D37,3,6)="1007#2","15","17"),IF(RIGHT(M37,6)="SPLICE",8,IF(AND(S37="",NOT(F37="")),#REF!,S37)))</f>
        <v>2.5</v>
      </c>
      <c r="I37" s="112" t="str">
        <f t="shared" si="1"/>
        <v>완</v>
      </c>
      <c r="J37" s="111">
        <f>IF(RIGHT(N37,5)="JOINT",IF(MID(D37,3,6)="1007#2","15","17"),IF(RIGHT(N37,6)="SPLICE",8,IF(AND(T37="",NOT(F37="")),#REF!,T37)))</f>
        <v>1.9</v>
      </c>
      <c r="K37" s="112" t="str">
        <f t="shared" si="2"/>
        <v>완</v>
      </c>
      <c r="L37" s="4"/>
      <c r="M37" s="4" t="s">
        <v>58</v>
      </c>
      <c r="N37" s="4" t="s">
        <v>1036</v>
      </c>
      <c r="O37" s="114"/>
      <c r="P37" s="3" t="s">
        <v>958</v>
      </c>
      <c r="Q37" s="115"/>
      <c r="R37" s="97" t="s">
        <v>1040</v>
      </c>
      <c r="S37" s="33">
        <f>IFERROR(VLOOKUP(M37,'DATA(STRIP LENGTH)'!A:C,3,0),"")</f>
        <v>2.5</v>
      </c>
      <c r="T37" s="33">
        <f>IFERROR(VLOOKUP(N37,'DATA(STRIP LENGTH)'!A:C,3,0),"")</f>
        <v>1.9</v>
      </c>
      <c r="U37" s="32" t="str">
        <f>IFERROR(VLOOKUP(M37,이원화!A:B,2,0),"")</f>
        <v>WB20L-61209</v>
      </c>
      <c r="V37" s="32" t="str">
        <f>IFERROR(VLOOKUP(N37,이원화!A:B,2,0),"")</f>
        <v>YST025L3</v>
      </c>
      <c r="W37" s="82" t="str">
        <f t="shared" si="4"/>
        <v xml:space="preserve">1767C-1
</v>
      </c>
    </row>
    <row r="38" spans="1:23" ht="17.399999999999999" customHeight="1">
      <c r="B38" s="158"/>
      <c r="C38" s="4">
        <v>61</v>
      </c>
      <c r="D38" s="116" t="s">
        <v>913</v>
      </c>
      <c r="E38" s="100" t="s">
        <v>919</v>
      </c>
      <c r="F38" s="146">
        <f xml:space="preserve"> 10 + (90+40+290+60) +10</f>
        <v>500</v>
      </c>
      <c r="G38" s="4">
        <v>1</v>
      </c>
      <c r="H38" s="111">
        <f>IF(RIGHT(M38,5)="JOINT",IF(MID(D38,3,6)="1007#2","15","17"),IF(RIGHT(M38,6)="SPLICE",8,IF(AND(S38="",NOT(F38="")),#REF!,S38)))</f>
        <v>2.5</v>
      </c>
      <c r="I38" s="112" t="str">
        <f t="shared" ref="I38:I43" si="6">IF(M38="", "", IF(OR(M38="반탈피", ISNUMBER(SEARCH("JOINT", M38))), "반", "완"))</f>
        <v>완</v>
      </c>
      <c r="J38" s="111">
        <f>IF(RIGHT(N38,5)="JOINT",IF(MID(D38,3,6)="1007#2","15","17"),IF(RIGHT(N38,6)="SPLICE",8,IF(AND(T38="",NOT(F38="")),#REF!,T38)))</f>
        <v>2.2000000000000002</v>
      </c>
      <c r="K38" s="112" t="str">
        <f t="shared" ref="K38:K43" si="7">IF(N38="", "", IF(OR(N38="반탈피", ISNUMBER(SEARCH("JOINT", N38))), "반", "완"))</f>
        <v>완</v>
      </c>
      <c r="L38" s="4"/>
      <c r="M38" s="4" t="s">
        <v>58</v>
      </c>
      <c r="N38" s="4" t="s">
        <v>1067</v>
      </c>
      <c r="O38" s="114"/>
      <c r="P38" s="3" t="s">
        <v>994</v>
      </c>
      <c r="Q38" s="114">
        <v>4</v>
      </c>
      <c r="R38" s="3" t="s">
        <v>1072</v>
      </c>
      <c r="S38" s="33">
        <f>IFERROR(VLOOKUP(M38,'DATA(STRIP LENGTH)'!A:C,3,0),"")</f>
        <v>2.5</v>
      </c>
      <c r="T38" s="33">
        <f>IFERROR(VLOOKUP(N38,'DATA(STRIP LENGTH)'!A:C,3,0),"")</f>
        <v>2.2000000000000002</v>
      </c>
      <c r="U38" s="32" t="str">
        <f>IFERROR(VLOOKUP(M38,이원화!A:B,2,0),"")</f>
        <v>WB20L-61209</v>
      </c>
      <c r="V38" s="32" t="str">
        <f>IFERROR(VLOOKUP(N38,이원화!A:B,2,0),"")</f>
        <v/>
      </c>
      <c r="W38" s="82" t="e">
        <f>IF(C38&gt;0,IF(B38=0,#REF!,B38),"")</f>
        <v>#REF!</v>
      </c>
    </row>
    <row r="39" spans="1:23" ht="17.399999999999999" customHeight="1">
      <c r="B39" s="158"/>
      <c r="C39" s="4">
        <v>62</v>
      </c>
      <c r="D39" s="118"/>
      <c r="E39" s="100" t="s">
        <v>917</v>
      </c>
      <c r="F39" s="147"/>
      <c r="G39" s="4">
        <v>1</v>
      </c>
      <c r="H39" s="111">
        <f>IF(RIGHT(M39,5)="JOINT",IF(MID(D39,3,6)="1007#2","15","17"),IF(RIGHT(M39,6)="SPLICE",8,IF(AND(S39="",NOT(F39="")),#REF!,S39)))</f>
        <v>2.5</v>
      </c>
      <c r="I39" s="112" t="str">
        <f t="shared" si="6"/>
        <v>완</v>
      </c>
      <c r="J39" s="111">
        <f>IF(RIGHT(N39,5)="JOINT",IF(MID(D39,3,6)="1007#2","15","17"),IF(RIGHT(N39,6)="SPLICE",8,IF(AND(T39="",NOT(F39="")),#REF!,T39)))</f>
        <v>2.2000000000000002</v>
      </c>
      <c r="K39" s="112" t="str">
        <f t="shared" si="7"/>
        <v>완</v>
      </c>
      <c r="L39" s="4"/>
      <c r="M39" s="4" t="s">
        <v>58</v>
      </c>
      <c r="N39" s="4" t="s">
        <v>1067</v>
      </c>
      <c r="O39" s="114"/>
      <c r="P39" s="3" t="s">
        <v>995</v>
      </c>
      <c r="Q39" s="114"/>
      <c r="R39" s="3" t="s">
        <v>1071</v>
      </c>
      <c r="S39" s="33">
        <f>IFERROR(VLOOKUP(M39,'DATA(STRIP LENGTH)'!A:C,3,0),"")</f>
        <v>2.5</v>
      </c>
      <c r="T39" s="33">
        <f>IFERROR(VLOOKUP(N39,'DATA(STRIP LENGTH)'!A:C,3,0),"")</f>
        <v>2.2000000000000002</v>
      </c>
      <c r="U39" s="32" t="str">
        <f>IFERROR(VLOOKUP(M39,이원화!A:B,2,0),"")</f>
        <v>WB20L-61209</v>
      </c>
      <c r="V39" s="32" t="str">
        <f>IFERROR(VLOOKUP(N39,이원화!A:B,2,0),"")</f>
        <v/>
      </c>
      <c r="W39" s="82" t="e">
        <f t="shared" si="4"/>
        <v>#REF!</v>
      </c>
    </row>
    <row r="40" spans="1:23" s="94" customFormat="1" ht="17.399999999999999" customHeight="1">
      <c r="B40" s="158"/>
      <c r="C40" s="4">
        <v>68</v>
      </c>
      <c r="D40" s="107" t="s">
        <v>1034</v>
      </c>
      <c r="E40" s="100" t="s">
        <v>1031</v>
      </c>
      <c r="F40" s="109">
        <f xml:space="preserve"> 10 + (90+40+290+60) +10</f>
        <v>500</v>
      </c>
      <c r="G40" s="4">
        <v>1</v>
      </c>
      <c r="H40" s="111">
        <f>IF(RIGHT(M40,5)="JOINT",IF(MID(D40,3,6)="1007#2","15","17"),IF(RIGHT(M40,6)="SPLICE",8,IF(AND(S40="",NOT(F40="")),#REF!,S40)))</f>
        <v>2.5</v>
      </c>
      <c r="I40" s="112" t="str">
        <f t="shared" ref="I40" si="8">IF(M40="", "", IF(OR(M40="반탈피", ISNUMBER(SEARCH("JOINT", M40))), "반", "완"))</f>
        <v>완</v>
      </c>
      <c r="J40" s="111">
        <f>IF(RIGHT(N40,5)="JOINT",IF(MID(D40,3,6)="1007#2","15","17"),IF(RIGHT(N40,6)="SPLICE",8,IF(AND(T40="",NOT(F40="")),#REF!,T40)))</f>
        <v>2.2000000000000002</v>
      </c>
      <c r="K40" s="112" t="str">
        <f t="shared" ref="K40" si="9">IF(N40="", "", IF(OR(N40="반탈피", ISNUMBER(SEARCH("JOINT", N40))), "반", "완"))</f>
        <v>완</v>
      </c>
      <c r="L40" s="4"/>
      <c r="M40" s="4" t="s">
        <v>58</v>
      </c>
      <c r="N40" s="4" t="s">
        <v>1067</v>
      </c>
      <c r="O40" s="114"/>
      <c r="P40" s="3" t="s">
        <v>1032</v>
      </c>
      <c r="Q40" s="115"/>
      <c r="R40" s="3" t="s">
        <v>1033</v>
      </c>
      <c r="S40" s="95">
        <f>IFERROR(VLOOKUP(M40,'DATA(STRIP LENGTH)'!A:C,3,0),"")</f>
        <v>2.5</v>
      </c>
      <c r="T40" s="95">
        <f>IFERROR(VLOOKUP(N40,'DATA(STRIP LENGTH)'!A:C,3,0),"")</f>
        <v>2.2000000000000002</v>
      </c>
      <c r="U40" s="94" t="str">
        <f>IFERROR(VLOOKUP(M40,이원화!A:B,2,0),"")</f>
        <v>WB20L-61209</v>
      </c>
      <c r="V40" s="94" t="str">
        <f>IFERROR(VLOOKUP(N40,이원화!A:B,2,0),"")</f>
        <v/>
      </c>
      <c r="W40" s="96" t="e">
        <f t="shared" ref="W40" si="10">IF(C40&gt;0,IF(B40=0,W39,B40),"")</f>
        <v>#REF!</v>
      </c>
    </row>
    <row r="41" spans="1:23" ht="17.399999999999999" customHeight="1">
      <c r="B41" s="158"/>
      <c r="C41" s="4">
        <v>56</v>
      </c>
      <c r="D41" s="116" t="s">
        <v>912</v>
      </c>
      <c r="E41" s="100" t="s">
        <v>916</v>
      </c>
      <c r="F41" s="146">
        <f xml:space="preserve"> 10 + (90+40+290+40) +10</f>
        <v>480</v>
      </c>
      <c r="G41" s="4">
        <v>1</v>
      </c>
      <c r="H41" s="111">
        <f>IF(RIGHT(M41,5)="JOINT",IF(MID(D41,3,6)="1007#2","15","17"),IF(RIGHT(M41,6)="SPLICE",8,IF(AND(S41="",NOT(F41="")),#REF!,S41)))</f>
        <v>2.5</v>
      </c>
      <c r="I41" s="112" t="str">
        <f t="shared" si="6"/>
        <v>완</v>
      </c>
      <c r="J41" s="111">
        <f>IF(RIGHT(N41,5)="JOINT",IF(MID(D41,3,6)="1007#2","15","17"),IF(RIGHT(N41,6)="SPLICE",8,IF(AND(T41="",NOT(F41="")),#REF!,T41)))</f>
        <v>3</v>
      </c>
      <c r="K41" s="112" t="str">
        <f t="shared" si="7"/>
        <v>완</v>
      </c>
      <c r="L41" s="4"/>
      <c r="M41" s="4" t="s">
        <v>58</v>
      </c>
      <c r="N41" s="4" t="s">
        <v>1074</v>
      </c>
      <c r="O41" s="114"/>
      <c r="P41" s="3" t="s">
        <v>991</v>
      </c>
      <c r="Q41" s="122">
        <v>6</v>
      </c>
      <c r="R41" s="3" t="s">
        <v>948</v>
      </c>
      <c r="S41" s="33">
        <f>IFERROR(VLOOKUP(M41,'DATA(STRIP LENGTH)'!A:C,3,0),"")</f>
        <v>2.5</v>
      </c>
      <c r="T41" s="33">
        <f>IFERROR(VLOOKUP(N41,'DATA(STRIP LENGTH)'!A:C,3,0),"")</f>
        <v>3</v>
      </c>
      <c r="U41" s="32" t="str">
        <f>IFERROR(VLOOKUP(M41,이원화!A:B,2,0),"")</f>
        <v>WB20L-61209</v>
      </c>
      <c r="V41" s="32" t="str">
        <f>IFERROR(VLOOKUP(N41,이원화!A:B,2,0),"")</f>
        <v>25045TP</v>
      </c>
      <c r="W41" s="82" t="e">
        <f>IF(C41&gt;0,IF(B41=0,W39,B41),"")</f>
        <v>#REF!</v>
      </c>
    </row>
    <row r="42" spans="1:23" ht="17.399999999999999" customHeight="1">
      <c r="B42" s="158"/>
      <c r="C42" s="4">
        <v>57</v>
      </c>
      <c r="D42" s="117"/>
      <c r="E42" s="100" t="s">
        <v>917</v>
      </c>
      <c r="F42" s="156"/>
      <c r="G42" s="4">
        <v>1</v>
      </c>
      <c r="H42" s="111">
        <f>IF(RIGHT(M42,5)="JOINT",IF(MID(D42,3,6)="1007#2","15","17"),IF(RIGHT(M42,6)="SPLICE",8,IF(AND(S42="",NOT(F42="")),#REF!,S42)))</f>
        <v>2.5</v>
      </c>
      <c r="I42" s="112" t="str">
        <f t="shared" si="6"/>
        <v>완</v>
      </c>
      <c r="J42" s="111">
        <f>IF(RIGHT(N42,5)="JOINT",IF(MID(D42,3,6)="1007#2","15","17"),IF(RIGHT(N42,6)="SPLICE",8,IF(AND(T42="",NOT(F42="")),#REF!,T42)))</f>
        <v>3</v>
      </c>
      <c r="K42" s="112" t="str">
        <f t="shared" si="7"/>
        <v>완</v>
      </c>
      <c r="L42" s="4"/>
      <c r="M42" s="4" t="s">
        <v>58</v>
      </c>
      <c r="N42" s="4" t="s">
        <v>1074</v>
      </c>
      <c r="O42" s="114"/>
      <c r="P42" s="3" t="s">
        <v>992</v>
      </c>
      <c r="Q42" s="114"/>
      <c r="R42" s="3" t="s">
        <v>949</v>
      </c>
      <c r="S42" s="33">
        <f>IFERROR(VLOOKUP(M42,'DATA(STRIP LENGTH)'!A:C,3,0),"")</f>
        <v>2.5</v>
      </c>
      <c r="T42" s="33">
        <f>IFERROR(VLOOKUP(N42,'DATA(STRIP LENGTH)'!A:C,3,0),"")</f>
        <v>3</v>
      </c>
      <c r="U42" s="32" t="str">
        <f>IFERROR(VLOOKUP(M42,이원화!A:B,2,0),"")</f>
        <v>WB20L-61209</v>
      </c>
      <c r="V42" s="32" t="str">
        <f>IFERROR(VLOOKUP(N42,이원화!A:B,2,0),"")</f>
        <v>25045TP</v>
      </c>
      <c r="W42" s="82" t="e">
        <f t="shared" si="4"/>
        <v>#REF!</v>
      </c>
    </row>
    <row r="43" spans="1:23" ht="17.399999999999999" customHeight="1">
      <c r="B43" s="159"/>
      <c r="C43" s="4">
        <v>58</v>
      </c>
      <c r="D43" s="118"/>
      <c r="E43" s="100" t="s">
        <v>917</v>
      </c>
      <c r="F43" s="147"/>
      <c r="G43" s="4">
        <v>1</v>
      </c>
      <c r="H43" s="111">
        <f>IF(RIGHT(M43,5)="JOINT",IF(MID(D43,3,6)="1007#2","15","17"),IF(RIGHT(M43,6)="SPLICE",8,IF(AND(S43="",NOT(F43="")),#REF!,S43)))</f>
        <v>2.5</v>
      </c>
      <c r="I43" s="112" t="str">
        <f t="shared" si="6"/>
        <v>완</v>
      </c>
      <c r="J43" s="111">
        <f>IF(RIGHT(N43,5)="JOINT",IF(MID(D43,3,6)="1007#2","15","17"),IF(RIGHT(N43,6)="SPLICE",8,IF(AND(T43="",NOT(F43="")),#REF!,T43)))</f>
        <v>3</v>
      </c>
      <c r="K43" s="112" t="str">
        <f t="shared" si="7"/>
        <v>완</v>
      </c>
      <c r="L43" s="4"/>
      <c r="M43" s="4" t="s">
        <v>58</v>
      </c>
      <c r="N43" s="4" t="s">
        <v>1074</v>
      </c>
      <c r="O43" s="115"/>
      <c r="P43" s="3" t="s">
        <v>993</v>
      </c>
      <c r="Q43" s="115"/>
      <c r="R43" s="3" t="s">
        <v>950</v>
      </c>
      <c r="S43" s="33">
        <f>IFERROR(VLOOKUP(M43,'DATA(STRIP LENGTH)'!A:C,3,0),"")</f>
        <v>2.5</v>
      </c>
      <c r="T43" s="33">
        <f>IFERROR(VLOOKUP(N43,'DATA(STRIP LENGTH)'!A:C,3,0),"")</f>
        <v>3</v>
      </c>
      <c r="U43" s="32" t="str">
        <f>IFERROR(VLOOKUP(M43,이원화!A:B,2,0),"")</f>
        <v>WB20L-61209</v>
      </c>
      <c r="V43" s="32" t="str">
        <f>IFERROR(VLOOKUP(N43,이원화!A:B,2,0),"")</f>
        <v>25045TP</v>
      </c>
      <c r="W43" s="82" t="e">
        <f t="shared" si="4"/>
        <v>#REF!</v>
      </c>
    </row>
    <row r="44" spans="1:23" ht="17.399999999999999" customHeight="1">
      <c r="A44" s="33"/>
      <c r="B44" s="90"/>
      <c r="C44" s="105"/>
      <c r="D44" s="104"/>
      <c r="E44" s="100"/>
      <c r="F44" s="108"/>
      <c r="G44" s="4">
        <v>1</v>
      </c>
      <c r="H44" s="111" t="str">
        <f>IF(RIGHT(M44,5)="JOINT",IF(MID(D44,3,6)="1007#2","15","17"),IF(RIGHT(M44,6)="SPLICE",8,IF(AND(S44="",NOT(F44="")),#REF!,S44)))</f>
        <v/>
      </c>
      <c r="I44" s="112" t="str">
        <f t="shared" si="1"/>
        <v/>
      </c>
      <c r="J44" s="111" t="str">
        <f>IF(RIGHT(N44,5)="JOINT",IF(MID(D44,3,6)="1007#2","15","17"),IF(RIGHT(N44,6)="SPLICE",8,IF(AND(T44="",NOT(F44="")),#REF!,T44)))</f>
        <v/>
      </c>
      <c r="K44" s="112" t="str">
        <f t="shared" si="2"/>
        <v/>
      </c>
      <c r="L44" s="4"/>
      <c r="M44" s="4"/>
      <c r="N44" s="4"/>
      <c r="O44" s="4"/>
      <c r="P44" s="3"/>
      <c r="Q44" s="4"/>
      <c r="R44" s="3"/>
      <c r="S44" s="33" t="str">
        <f>IFERROR(VLOOKUP(M44,'DATA(STRIP LENGTH)'!A:C,3,0),"")</f>
        <v/>
      </c>
      <c r="T44" s="33" t="str">
        <f>IFERROR(VLOOKUP(N44,'DATA(STRIP LENGTH)'!A:C,3,0),"")</f>
        <v/>
      </c>
      <c r="U44" s="32" t="str">
        <f>IFERROR(VLOOKUP(M44,이원화!A:B,2,0),"")</f>
        <v/>
      </c>
      <c r="V44" s="32" t="str">
        <f>IFERROR(VLOOKUP(N44,이원화!A:B,2,0),"")</f>
        <v/>
      </c>
      <c r="W44" s="82" t="str">
        <f>IF(C44&gt;0,IF(B44=0,W31,B44),"")</f>
        <v/>
      </c>
    </row>
    <row r="45" spans="1:23" ht="17.399999999999999" customHeight="1">
      <c r="B45" s="157" t="s">
        <v>1022</v>
      </c>
      <c r="C45" s="101">
        <v>20</v>
      </c>
      <c r="D45" s="116" t="s">
        <v>908</v>
      </c>
      <c r="E45" s="100" t="s">
        <v>919</v>
      </c>
      <c r="F45" s="148">
        <f xml:space="preserve"> 10 + (80+40+50+40+40+100) +10</f>
        <v>370</v>
      </c>
      <c r="G45" s="4">
        <v>1</v>
      </c>
      <c r="H45" s="111">
        <f>IF(RIGHT(M45,5)="JOINT",IF(MID(D45,3,6)="1007#2","15","17"),IF(RIGHT(M45,6)="SPLICE",8,IF(AND(S45="",NOT(F45="")),#REF!,S45)))</f>
        <v>2.5</v>
      </c>
      <c r="I45" s="112" t="str">
        <f t="shared" si="1"/>
        <v>완</v>
      </c>
      <c r="J45" s="111">
        <f>IF(RIGHT(N45,5)="JOINT",IF(MID(D45,3,6)="1007#2","15","17"),IF(RIGHT(N45,6)="SPLICE",8,IF(AND(T45="",NOT(F45="")),#REF!,T45)))</f>
        <v>3</v>
      </c>
      <c r="K45" s="112" t="str">
        <f t="shared" si="2"/>
        <v>완</v>
      </c>
      <c r="L45" s="4"/>
      <c r="M45" s="4" t="s">
        <v>58</v>
      </c>
      <c r="N45" s="4" t="s">
        <v>1074</v>
      </c>
      <c r="O45" s="122">
        <v>1</v>
      </c>
      <c r="P45" s="3" t="s">
        <v>959</v>
      </c>
      <c r="Q45" s="122">
        <v>5</v>
      </c>
      <c r="R45" s="3" t="s">
        <v>924</v>
      </c>
      <c r="S45" s="33">
        <f>IFERROR(VLOOKUP(M45,'DATA(STRIP LENGTH)'!A:C,3,0),"")</f>
        <v>2.5</v>
      </c>
      <c r="T45" s="33">
        <f>IFERROR(VLOOKUP(N45,'DATA(STRIP LENGTH)'!A:C,3,0),"")</f>
        <v>3</v>
      </c>
      <c r="U45" s="32" t="str">
        <f>IFERROR(VLOOKUP(M45,이원화!A:B,2,0),"")</f>
        <v>WB20L-61209</v>
      </c>
      <c r="V45" s="32" t="str">
        <f>IFERROR(VLOOKUP(N45,이원화!A:B,2,0),"")</f>
        <v>25045TP</v>
      </c>
      <c r="W45" s="82" t="str">
        <f t="shared" ref="W45:W82" si="11">IF(C45&gt;0,IF(B45=0,W44,B45),"")</f>
        <v xml:space="preserve">1767C-2
</v>
      </c>
    </row>
    <row r="46" spans="1:23" ht="17.399999999999999" customHeight="1">
      <c r="B46" s="158"/>
      <c r="C46" s="101">
        <v>21</v>
      </c>
      <c r="D46" s="117"/>
      <c r="E46" s="100" t="s">
        <v>917</v>
      </c>
      <c r="F46" s="155"/>
      <c r="G46" s="4">
        <v>1</v>
      </c>
      <c r="H46" s="111">
        <f>IF(RIGHT(M46,5)="JOINT",IF(MID(D46,3,6)="1007#2","15","17"),IF(RIGHT(M46,6)="SPLICE",8,IF(AND(S46="",NOT(F46="")),#REF!,S46)))</f>
        <v>2.5</v>
      </c>
      <c r="I46" s="112" t="str">
        <f t="shared" si="1"/>
        <v>완</v>
      </c>
      <c r="J46" s="111">
        <f>IF(RIGHT(N46,5)="JOINT",IF(MID(D46,3,6)="1007#2","15","17"),IF(RIGHT(N46,6)="SPLICE",8,IF(AND(T46="",NOT(F46="")),#REF!,T46)))</f>
        <v>3</v>
      </c>
      <c r="K46" s="112" t="str">
        <f t="shared" si="2"/>
        <v>완</v>
      </c>
      <c r="L46" s="4"/>
      <c r="M46" s="4" t="s">
        <v>58</v>
      </c>
      <c r="N46" s="4" t="s">
        <v>1074</v>
      </c>
      <c r="O46" s="114"/>
      <c r="P46" s="3" t="s">
        <v>960</v>
      </c>
      <c r="Q46" s="114"/>
      <c r="R46" s="3" t="s">
        <v>925</v>
      </c>
      <c r="S46" s="33">
        <f>IFERROR(VLOOKUP(M46,'DATA(STRIP LENGTH)'!A:C,3,0),"")</f>
        <v>2.5</v>
      </c>
      <c r="T46" s="33">
        <f>IFERROR(VLOOKUP(N46,'DATA(STRIP LENGTH)'!A:C,3,0),"")</f>
        <v>3</v>
      </c>
      <c r="U46" s="32" t="str">
        <f>IFERROR(VLOOKUP(M46,이원화!A:B,2,0),"")</f>
        <v>WB20L-61209</v>
      </c>
      <c r="V46" s="32" t="str">
        <f>IFERROR(VLOOKUP(N46,이원화!A:B,2,0),"")</f>
        <v>25045TP</v>
      </c>
      <c r="W46" s="82" t="str">
        <f t="shared" si="11"/>
        <v xml:space="preserve">1767C-2
</v>
      </c>
    </row>
    <row r="47" spans="1:23" ht="17.399999999999999" customHeight="1">
      <c r="B47" s="158"/>
      <c r="C47" s="101">
        <v>22</v>
      </c>
      <c r="D47" s="117"/>
      <c r="E47" s="100" t="s">
        <v>917</v>
      </c>
      <c r="F47" s="155"/>
      <c r="G47" s="4">
        <v>1</v>
      </c>
      <c r="H47" s="111">
        <f>IF(RIGHT(M47,5)="JOINT",IF(MID(D47,3,6)="1007#2","15","17"),IF(RIGHT(M47,6)="SPLICE",8,IF(AND(S47="",NOT(F47="")),#REF!,S47)))</f>
        <v>2.5</v>
      </c>
      <c r="I47" s="112" t="str">
        <f t="shared" si="1"/>
        <v>완</v>
      </c>
      <c r="J47" s="111">
        <f>IF(RIGHT(N47,5)="JOINT",IF(MID(D47,3,6)="1007#2","15","17"),IF(RIGHT(N47,6)="SPLICE",8,IF(AND(T47="",NOT(F47="")),#REF!,T47)))</f>
        <v>3</v>
      </c>
      <c r="K47" s="112" t="str">
        <f t="shared" si="2"/>
        <v>완</v>
      </c>
      <c r="L47" s="4"/>
      <c r="M47" s="4" t="s">
        <v>58</v>
      </c>
      <c r="N47" s="4" t="s">
        <v>1074</v>
      </c>
      <c r="O47" s="114"/>
      <c r="P47" s="3" t="s">
        <v>961</v>
      </c>
      <c r="Q47" s="114"/>
      <c r="R47" s="3" t="s">
        <v>926</v>
      </c>
      <c r="S47" s="33">
        <f>IFERROR(VLOOKUP(M47,'DATA(STRIP LENGTH)'!A:C,3,0),"")</f>
        <v>2.5</v>
      </c>
      <c r="T47" s="33">
        <f>IFERROR(VLOOKUP(N47,'DATA(STRIP LENGTH)'!A:C,3,0),"")</f>
        <v>3</v>
      </c>
      <c r="U47" s="32" t="str">
        <f>IFERROR(VLOOKUP(M47,이원화!A:B,2,0),"")</f>
        <v>WB20L-61209</v>
      </c>
      <c r="V47" s="32" t="str">
        <f>IFERROR(VLOOKUP(N47,이원화!A:B,2,0),"")</f>
        <v>25045TP</v>
      </c>
      <c r="W47" s="82" t="str">
        <f t="shared" si="11"/>
        <v xml:space="preserve">1767C-2
</v>
      </c>
    </row>
    <row r="48" spans="1:23" ht="17.399999999999999" customHeight="1">
      <c r="B48" s="158"/>
      <c r="C48" s="101">
        <v>23</v>
      </c>
      <c r="D48" s="117"/>
      <c r="E48" s="100" t="s">
        <v>917</v>
      </c>
      <c r="F48" s="155"/>
      <c r="G48" s="4">
        <v>1</v>
      </c>
      <c r="H48" s="111">
        <f>IF(RIGHT(M48,5)="JOINT",IF(MID(D48,3,6)="1007#2","15","17"),IF(RIGHT(M48,6)="SPLICE",8,IF(AND(S48="",NOT(F48="")),#REF!,S48)))</f>
        <v>2.5</v>
      </c>
      <c r="I48" s="112" t="str">
        <f t="shared" si="1"/>
        <v>완</v>
      </c>
      <c r="J48" s="111">
        <f>IF(RIGHT(N48,5)="JOINT",IF(MID(D48,3,6)="1007#2","15","17"),IF(RIGHT(N48,6)="SPLICE",8,IF(AND(T48="",NOT(F48="")),#REF!,T48)))</f>
        <v>3</v>
      </c>
      <c r="K48" s="112" t="str">
        <f t="shared" si="2"/>
        <v>완</v>
      </c>
      <c r="L48" s="4"/>
      <c r="M48" s="4" t="s">
        <v>58</v>
      </c>
      <c r="N48" s="4" t="s">
        <v>1074</v>
      </c>
      <c r="O48" s="114"/>
      <c r="P48" s="3" t="s">
        <v>962</v>
      </c>
      <c r="Q48" s="114"/>
      <c r="R48" s="3" t="s">
        <v>927</v>
      </c>
      <c r="S48" s="33">
        <f>IFERROR(VLOOKUP(M48,'DATA(STRIP LENGTH)'!A:C,3,0),"")</f>
        <v>2.5</v>
      </c>
      <c r="T48" s="33">
        <f>IFERROR(VLOOKUP(N48,'DATA(STRIP LENGTH)'!A:C,3,0),"")</f>
        <v>3</v>
      </c>
      <c r="U48" s="32" t="str">
        <f>IFERROR(VLOOKUP(M48,이원화!A:B,2,0),"")</f>
        <v>WB20L-61209</v>
      </c>
      <c r="V48" s="32" t="str">
        <f>IFERROR(VLOOKUP(N48,이원화!A:B,2,0),"")</f>
        <v>25045TP</v>
      </c>
      <c r="W48" s="82" t="str">
        <f t="shared" si="11"/>
        <v xml:space="preserve">1767C-2
</v>
      </c>
    </row>
    <row r="49" spans="2:23" ht="17.399999999999999" customHeight="1">
      <c r="B49" s="158"/>
      <c r="C49" s="101">
        <v>24</v>
      </c>
      <c r="D49" s="118"/>
      <c r="E49" s="100" t="s">
        <v>917</v>
      </c>
      <c r="F49" s="149"/>
      <c r="G49" s="4">
        <v>1</v>
      </c>
      <c r="H49" s="111">
        <f>IF(RIGHT(M49,5)="JOINT",IF(MID(D49,3,6)="1007#2","15","17"),IF(RIGHT(M49,6)="SPLICE",8,IF(AND(S49="",NOT(F49="")),#REF!,S49)))</f>
        <v>2.5</v>
      </c>
      <c r="I49" s="112" t="str">
        <f t="shared" si="1"/>
        <v>완</v>
      </c>
      <c r="J49" s="111">
        <f>IF(RIGHT(N49,5)="JOINT",IF(MID(D49,3,6)="1007#2","15","17"),IF(RIGHT(N49,6)="SPLICE",8,IF(AND(T49="",NOT(F49="")),#REF!,T49)))</f>
        <v>3</v>
      </c>
      <c r="K49" s="112" t="str">
        <f t="shared" si="2"/>
        <v>완</v>
      </c>
      <c r="L49" s="4"/>
      <c r="M49" s="4" t="s">
        <v>58</v>
      </c>
      <c r="N49" s="4" t="s">
        <v>1074</v>
      </c>
      <c r="O49" s="114"/>
      <c r="P49" s="3" t="s">
        <v>963</v>
      </c>
      <c r="Q49" s="114"/>
      <c r="R49" s="3" t="s">
        <v>928</v>
      </c>
      <c r="S49" s="33">
        <f>IFERROR(VLOOKUP(M49,'DATA(STRIP LENGTH)'!A:C,3,0),"")</f>
        <v>2.5</v>
      </c>
      <c r="T49" s="33">
        <f>IFERROR(VLOOKUP(N49,'DATA(STRIP LENGTH)'!A:C,3,0),"")</f>
        <v>3</v>
      </c>
      <c r="U49" s="32" t="str">
        <f>IFERROR(VLOOKUP(M49,이원화!A:B,2,0),"")</f>
        <v>WB20L-61209</v>
      </c>
      <c r="V49" s="32" t="str">
        <f>IFERROR(VLOOKUP(N49,이원화!A:B,2,0),"")</f>
        <v>25045TP</v>
      </c>
      <c r="W49" s="82" t="str">
        <f t="shared" si="11"/>
        <v xml:space="preserve">1767C-2
</v>
      </c>
    </row>
    <row r="50" spans="2:23" ht="17.399999999999999" customHeight="1">
      <c r="B50" s="158"/>
      <c r="C50" s="101">
        <v>25</v>
      </c>
      <c r="D50" s="116" t="s">
        <v>909</v>
      </c>
      <c r="E50" s="100" t="s">
        <v>916</v>
      </c>
      <c r="F50" s="148">
        <f xml:space="preserve"> 10 + (80+40+50+40+40+100) +10</f>
        <v>370</v>
      </c>
      <c r="G50" s="4">
        <v>1</v>
      </c>
      <c r="H50" s="111">
        <f>IF(RIGHT(M50,5)="JOINT",IF(MID(D50,3,6)="1007#2","15","17"),IF(RIGHT(M50,6)="SPLICE",8,IF(AND(S50="",NOT(F50="")),#REF!,S50)))</f>
        <v>2.5</v>
      </c>
      <c r="I50" s="112" t="str">
        <f t="shared" si="1"/>
        <v>완</v>
      </c>
      <c r="J50" s="111">
        <f>IF(RIGHT(N50,5)="JOINT",IF(MID(D50,3,6)="1007#2","15","17"),IF(RIGHT(N50,6)="SPLICE",8,IF(AND(T50="",NOT(F50="")),#REF!,T50)))</f>
        <v>3</v>
      </c>
      <c r="K50" s="112" t="str">
        <f t="shared" si="2"/>
        <v>완</v>
      </c>
      <c r="L50" s="4"/>
      <c r="M50" s="4" t="s">
        <v>58</v>
      </c>
      <c r="N50" s="4" t="s">
        <v>1074</v>
      </c>
      <c r="O50" s="114"/>
      <c r="P50" s="3" t="s">
        <v>964</v>
      </c>
      <c r="Q50" s="114"/>
      <c r="R50" s="3" t="s">
        <v>929</v>
      </c>
      <c r="S50" s="33">
        <f>IFERROR(VLOOKUP(M50,'DATA(STRIP LENGTH)'!A:C,3,0),"")</f>
        <v>2.5</v>
      </c>
      <c r="T50" s="33">
        <f>IFERROR(VLOOKUP(N50,'DATA(STRIP LENGTH)'!A:C,3,0),"")</f>
        <v>3</v>
      </c>
      <c r="U50" s="32" t="str">
        <f>IFERROR(VLOOKUP(M50,이원화!A:B,2,0),"")</f>
        <v>WB20L-61209</v>
      </c>
      <c r="V50" s="32" t="str">
        <f>IFERROR(VLOOKUP(N50,이원화!A:B,2,0),"")</f>
        <v>25045TP</v>
      </c>
      <c r="W50" s="82" t="str">
        <f t="shared" si="11"/>
        <v xml:space="preserve">1767C-2
</v>
      </c>
    </row>
    <row r="51" spans="2:23" ht="17.399999999999999" customHeight="1">
      <c r="B51" s="158"/>
      <c r="C51" s="101">
        <v>26</v>
      </c>
      <c r="D51" s="117"/>
      <c r="E51" s="100" t="s">
        <v>917</v>
      </c>
      <c r="F51" s="155"/>
      <c r="G51" s="4">
        <v>1</v>
      </c>
      <c r="H51" s="111">
        <f>IF(RIGHT(M51,5)="JOINT",IF(MID(D51,3,6)="1007#2","15","17"),IF(RIGHT(M51,6)="SPLICE",8,IF(AND(S51="",NOT(F51="")),#REF!,S51)))</f>
        <v>2.5</v>
      </c>
      <c r="I51" s="112" t="str">
        <f t="shared" si="1"/>
        <v>완</v>
      </c>
      <c r="J51" s="111">
        <f>IF(RIGHT(N51,5)="JOINT",IF(MID(D51,3,6)="1007#2","15","17"),IF(RIGHT(N51,6)="SPLICE",8,IF(AND(T51="",NOT(F51="")),#REF!,T51)))</f>
        <v>3</v>
      </c>
      <c r="K51" s="112" t="str">
        <f t="shared" si="2"/>
        <v>완</v>
      </c>
      <c r="L51" s="4"/>
      <c r="M51" s="4" t="s">
        <v>58</v>
      </c>
      <c r="N51" s="4" t="s">
        <v>1074</v>
      </c>
      <c r="O51" s="114"/>
      <c r="P51" s="3" t="s">
        <v>965</v>
      </c>
      <c r="Q51" s="114"/>
      <c r="R51" s="3" t="s">
        <v>930</v>
      </c>
      <c r="S51" s="33">
        <f>IFERROR(VLOOKUP(M51,'DATA(STRIP LENGTH)'!A:C,3,0),"")</f>
        <v>2.5</v>
      </c>
      <c r="T51" s="33">
        <f>IFERROR(VLOOKUP(N51,'DATA(STRIP LENGTH)'!A:C,3,0),"")</f>
        <v>3</v>
      </c>
      <c r="U51" s="32" t="str">
        <f>IFERROR(VLOOKUP(M51,이원화!A:B,2,0),"")</f>
        <v>WB20L-61209</v>
      </c>
      <c r="V51" s="32" t="str">
        <f>IFERROR(VLOOKUP(N51,이원화!A:B,2,0),"")</f>
        <v>25045TP</v>
      </c>
      <c r="W51" s="82" t="str">
        <f t="shared" si="11"/>
        <v xml:space="preserve">1767C-2
</v>
      </c>
    </row>
    <row r="52" spans="2:23" ht="17.399999999999999" customHeight="1">
      <c r="B52" s="158"/>
      <c r="C52" s="101">
        <v>27</v>
      </c>
      <c r="D52" s="117"/>
      <c r="E52" s="100" t="s">
        <v>917</v>
      </c>
      <c r="F52" s="155"/>
      <c r="G52" s="4">
        <v>1</v>
      </c>
      <c r="H52" s="111">
        <f>IF(RIGHT(M52,5)="JOINT",IF(MID(D52,3,6)="1007#2","15","17"),IF(RIGHT(M52,6)="SPLICE",8,IF(AND(S52="",NOT(F52="")),#REF!,S52)))</f>
        <v>2.5</v>
      </c>
      <c r="I52" s="112" t="str">
        <f t="shared" si="1"/>
        <v>완</v>
      </c>
      <c r="J52" s="111">
        <f>IF(RIGHT(N52,5)="JOINT",IF(MID(D52,3,6)="1007#2","15","17"),IF(RIGHT(N52,6)="SPLICE",8,IF(AND(T52="",NOT(F52="")),#REF!,T52)))</f>
        <v>3</v>
      </c>
      <c r="K52" s="112" t="str">
        <f t="shared" si="2"/>
        <v>완</v>
      </c>
      <c r="L52" s="4"/>
      <c r="M52" s="4" t="s">
        <v>58</v>
      </c>
      <c r="N52" s="4" t="s">
        <v>1074</v>
      </c>
      <c r="O52" s="114"/>
      <c r="P52" s="3" t="s">
        <v>966</v>
      </c>
      <c r="Q52" s="114"/>
      <c r="R52" s="3" t="s">
        <v>931</v>
      </c>
      <c r="S52" s="33">
        <f>IFERROR(VLOOKUP(M52,'DATA(STRIP LENGTH)'!A:C,3,0),"")</f>
        <v>2.5</v>
      </c>
      <c r="T52" s="33">
        <f>IFERROR(VLOOKUP(N52,'DATA(STRIP LENGTH)'!A:C,3,0),"")</f>
        <v>3</v>
      </c>
      <c r="U52" s="32" t="str">
        <f>IFERROR(VLOOKUP(M52,이원화!A:B,2,0),"")</f>
        <v>WB20L-61209</v>
      </c>
      <c r="V52" s="32" t="str">
        <f>IFERROR(VLOOKUP(N52,이원화!A:B,2,0),"")</f>
        <v>25045TP</v>
      </c>
      <c r="W52" s="82" t="str">
        <f t="shared" si="11"/>
        <v xml:space="preserve">1767C-2
</v>
      </c>
    </row>
    <row r="53" spans="2:23" ht="17.399999999999999" customHeight="1">
      <c r="B53" s="158"/>
      <c r="C53" s="101">
        <v>28</v>
      </c>
      <c r="D53" s="117"/>
      <c r="E53" s="100" t="s">
        <v>917</v>
      </c>
      <c r="F53" s="155"/>
      <c r="G53" s="4">
        <v>1</v>
      </c>
      <c r="H53" s="111">
        <f>IF(RIGHT(M53,5)="JOINT",IF(MID(D53,3,6)="1007#2","15","17"),IF(RIGHT(M53,6)="SPLICE",8,IF(AND(S53="",NOT(F53="")),#REF!,S53)))</f>
        <v>2.5</v>
      </c>
      <c r="I53" s="112" t="str">
        <f t="shared" si="1"/>
        <v>완</v>
      </c>
      <c r="J53" s="111">
        <f>IF(RIGHT(N53,5)="JOINT",IF(MID(D53,3,6)="1007#2","15","17"),IF(RIGHT(N53,6)="SPLICE",8,IF(AND(T53="",NOT(F53="")),#REF!,T53)))</f>
        <v>3</v>
      </c>
      <c r="K53" s="112" t="str">
        <f t="shared" si="2"/>
        <v>완</v>
      </c>
      <c r="L53" s="4"/>
      <c r="M53" s="4" t="s">
        <v>58</v>
      </c>
      <c r="N53" s="4" t="s">
        <v>1074</v>
      </c>
      <c r="O53" s="114"/>
      <c r="P53" s="3" t="s">
        <v>967</v>
      </c>
      <c r="Q53" s="114"/>
      <c r="R53" s="3" t="s">
        <v>932</v>
      </c>
      <c r="S53" s="33">
        <f>IFERROR(VLOOKUP(M53,'DATA(STRIP LENGTH)'!A:C,3,0),"")</f>
        <v>2.5</v>
      </c>
      <c r="T53" s="33">
        <f>IFERROR(VLOOKUP(N53,'DATA(STRIP LENGTH)'!A:C,3,0),"")</f>
        <v>3</v>
      </c>
      <c r="U53" s="32" t="str">
        <f>IFERROR(VLOOKUP(M53,이원화!A:B,2,0),"")</f>
        <v>WB20L-61209</v>
      </c>
      <c r="V53" s="32" t="str">
        <f>IFERROR(VLOOKUP(N53,이원화!A:B,2,0),"")</f>
        <v>25045TP</v>
      </c>
      <c r="W53" s="82" t="str">
        <f t="shared" si="11"/>
        <v xml:space="preserve">1767C-2
</v>
      </c>
    </row>
    <row r="54" spans="2:23" ht="17.399999999999999" customHeight="1">
      <c r="B54" s="158"/>
      <c r="C54" s="101">
        <v>29</v>
      </c>
      <c r="D54" s="118"/>
      <c r="E54" s="100" t="s">
        <v>917</v>
      </c>
      <c r="F54" s="149"/>
      <c r="G54" s="4">
        <v>1</v>
      </c>
      <c r="H54" s="111">
        <f>IF(RIGHT(M54,5)="JOINT",IF(MID(D54,3,6)="1007#2","15","17"),IF(RIGHT(M54,6)="SPLICE",8,IF(AND(S54="",NOT(F54="")),#REF!,S54)))</f>
        <v>2.5</v>
      </c>
      <c r="I54" s="112" t="str">
        <f t="shared" si="1"/>
        <v>완</v>
      </c>
      <c r="J54" s="111">
        <f>IF(RIGHT(N54,5)="JOINT",IF(MID(D54,3,6)="1007#2","15","17"),IF(RIGHT(N54,6)="SPLICE",8,IF(AND(T54="",NOT(F54="")),#REF!,T54)))</f>
        <v>3</v>
      </c>
      <c r="K54" s="112" t="str">
        <f t="shared" si="2"/>
        <v>완</v>
      </c>
      <c r="L54" s="4"/>
      <c r="M54" s="4" t="s">
        <v>58</v>
      </c>
      <c r="N54" s="4" t="s">
        <v>1074</v>
      </c>
      <c r="O54" s="114"/>
      <c r="P54" s="3" t="s">
        <v>968</v>
      </c>
      <c r="Q54" s="115"/>
      <c r="R54" s="3" t="s">
        <v>933</v>
      </c>
      <c r="S54" s="33">
        <f>IFERROR(VLOOKUP(M54,'DATA(STRIP LENGTH)'!A:C,3,0),"")</f>
        <v>2.5</v>
      </c>
      <c r="T54" s="33">
        <f>IFERROR(VLOOKUP(N54,'DATA(STRIP LENGTH)'!A:C,3,0),"")</f>
        <v>3</v>
      </c>
      <c r="U54" s="32" t="str">
        <f>IFERROR(VLOOKUP(M54,이원화!A:B,2,0),"")</f>
        <v>WB20L-61209</v>
      </c>
      <c r="V54" s="32" t="str">
        <f>IFERROR(VLOOKUP(N54,이원화!A:B,2,0),"")</f>
        <v>25045TP</v>
      </c>
      <c r="W54" s="82" t="str">
        <f t="shared" si="11"/>
        <v xml:space="preserve">1767C-2
</v>
      </c>
    </row>
    <row r="55" spans="2:23" ht="17.399999999999999" customHeight="1">
      <c r="B55" s="158"/>
      <c r="C55" s="4">
        <v>30</v>
      </c>
      <c r="D55" s="68" t="s">
        <v>910</v>
      </c>
      <c r="E55" s="108" t="s">
        <v>920</v>
      </c>
      <c r="F55" s="113">
        <f xml:space="preserve"> 10 + (80+40+50+40+40+290+40) +10</f>
        <v>600</v>
      </c>
      <c r="G55" s="4">
        <v>1</v>
      </c>
      <c r="H55" s="111">
        <f>IF(RIGHT(M55,5)="JOINT",IF(MID(D55,3,6)="1007#2","15","17"),IF(RIGHT(M55,6)="SPLICE",8,IF(AND(S55="",NOT(F55="")),#REF!,S55)))</f>
        <v>1.9</v>
      </c>
      <c r="I55" s="112" t="str">
        <f t="shared" si="1"/>
        <v>완</v>
      </c>
      <c r="J55" s="111">
        <f>IF(RIGHT(N55,5)="JOINT",IF(MID(D55,3,6)="1007#2","15","17"),IF(RIGHT(N55,6)="SPLICE",8,IF(AND(T55="",NOT(F55="")),#REF!,T55)))</f>
        <v>3</v>
      </c>
      <c r="K55" s="112" t="str">
        <f t="shared" si="2"/>
        <v>완</v>
      </c>
      <c r="L55" s="4"/>
      <c r="M55" s="4" t="s">
        <v>57</v>
      </c>
      <c r="N55" s="4" t="s">
        <v>1074</v>
      </c>
      <c r="O55" s="114"/>
      <c r="P55" s="3" t="s">
        <v>969</v>
      </c>
      <c r="Q55" s="122">
        <v>6</v>
      </c>
      <c r="R55" s="3" t="s">
        <v>934</v>
      </c>
      <c r="S55" s="33">
        <f>IFERROR(VLOOKUP(M55,'DATA(STRIP LENGTH)'!A:C,3,0),"")</f>
        <v>1.9</v>
      </c>
      <c r="T55" s="33">
        <f>IFERROR(VLOOKUP(N55,'DATA(STRIP LENGTH)'!A:C,3,0),"")</f>
        <v>3</v>
      </c>
      <c r="U55" s="32" t="str">
        <f>IFERROR(VLOOKUP(M55,이원화!A:B,2,0),"")</f>
        <v>WB20L-66209</v>
      </c>
      <c r="V55" s="32" t="str">
        <f>IFERROR(VLOOKUP(N55,이원화!A:B,2,0),"")</f>
        <v>25045TP</v>
      </c>
      <c r="W55" s="82" t="str">
        <f t="shared" si="11"/>
        <v xml:space="preserve">1767C-2
</v>
      </c>
    </row>
    <row r="56" spans="2:23" ht="17.399999999999999" customHeight="1">
      <c r="B56" s="158"/>
      <c r="C56" s="4">
        <v>31</v>
      </c>
      <c r="D56" s="68" t="s">
        <v>910</v>
      </c>
      <c r="E56" s="108" t="s">
        <v>916</v>
      </c>
      <c r="F56" s="113">
        <f xml:space="preserve"> 10 + (80+40+50+40+40+290+40) +10</f>
        <v>600</v>
      </c>
      <c r="G56" s="4">
        <v>1</v>
      </c>
      <c r="H56" s="111">
        <f>IF(RIGHT(M56,5)="JOINT",IF(MID(D56,3,6)="1007#2","15","17"),IF(RIGHT(M56,6)="SPLICE",8,IF(AND(S56="",NOT(F56="")),#REF!,S56)))</f>
        <v>1.9</v>
      </c>
      <c r="I56" s="112" t="str">
        <f t="shared" si="1"/>
        <v>완</v>
      </c>
      <c r="J56" s="111">
        <f>IF(RIGHT(N56,5)="JOINT",IF(MID(D56,3,6)="1007#2","15","17"),IF(RIGHT(N56,6)="SPLICE",8,IF(AND(T56="",NOT(F56="")),#REF!,T56)))</f>
        <v>3</v>
      </c>
      <c r="K56" s="112" t="str">
        <f t="shared" si="2"/>
        <v>완</v>
      </c>
      <c r="L56" s="4"/>
      <c r="M56" s="4" t="s">
        <v>57</v>
      </c>
      <c r="N56" s="4" t="s">
        <v>1074</v>
      </c>
      <c r="O56" s="114"/>
      <c r="P56" s="3" t="s">
        <v>970</v>
      </c>
      <c r="Q56" s="115"/>
      <c r="R56" s="3" t="s">
        <v>935</v>
      </c>
      <c r="S56" s="33">
        <f>IFERROR(VLOOKUP(M56,'DATA(STRIP LENGTH)'!A:C,3,0),"")</f>
        <v>1.9</v>
      </c>
      <c r="T56" s="33">
        <f>IFERROR(VLOOKUP(N56,'DATA(STRIP LENGTH)'!A:C,3,0),"")</f>
        <v>3</v>
      </c>
      <c r="U56" s="32" t="str">
        <f>IFERROR(VLOOKUP(M56,이원화!A:B,2,0),"")</f>
        <v>WB20L-66209</v>
      </c>
      <c r="V56" s="32" t="str">
        <f>IFERROR(VLOOKUP(N56,이원화!A:B,2,0),"")</f>
        <v>25045TP</v>
      </c>
      <c r="W56" s="82" t="str">
        <f t="shared" si="11"/>
        <v xml:space="preserve">1767C-2
</v>
      </c>
    </row>
    <row r="57" spans="2:23" ht="17.399999999999999" customHeight="1">
      <c r="B57" s="158"/>
      <c r="C57" s="4">
        <v>32</v>
      </c>
      <c r="D57" s="119" t="s">
        <v>909</v>
      </c>
      <c r="E57" s="108" t="s">
        <v>916</v>
      </c>
      <c r="F57" s="146">
        <f xml:space="preserve"> 10 + (80+40+50+40+40+290+60) +10</f>
        <v>620</v>
      </c>
      <c r="G57" s="4">
        <v>1</v>
      </c>
      <c r="H57" s="111">
        <f>IF(RIGHT(M57,5)="JOINT",IF(MID(D57,3,6)="1007#2","15","17"),IF(RIGHT(M57,6)="SPLICE",8,IF(AND(S57="",NOT(F57="")),#REF!,S57)))</f>
        <v>2.5</v>
      </c>
      <c r="I57" s="112" t="str">
        <f t="shared" si="1"/>
        <v>완</v>
      </c>
      <c r="J57" s="111">
        <f>IF(RIGHT(N57,5)="JOINT",IF(MID(D57,3,6)="1007#2","15","17"),IF(RIGHT(N57,6)="SPLICE",8,IF(AND(T57="",NOT(F57="")),#REF!,T57)))</f>
        <v>2.2000000000000002</v>
      </c>
      <c r="K57" s="112" t="str">
        <f t="shared" si="2"/>
        <v>완</v>
      </c>
      <c r="L57" s="4"/>
      <c r="M57" s="4" t="s">
        <v>58</v>
      </c>
      <c r="N57" s="4" t="s">
        <v>1067</v>
      </c>
      <c r="O57" s="114"/>
      <c r="P57" s="3" t="s">
        <v>971</v>
      </c>
      <c r="Q57" s="122">
        <v>4</v>
      </c>
      <c r="R57" s="3" t="s">
        <v>936</v>
      </c>
      <c r="S57" s="33">
        <f>IFERROR(VLOOKUP(M57,'DATA(STRIP LENGTH)'!A:C,3,0),"")</f>
        <v>2.5</v>
      </c>
      <c r="T57" s="33">
        <f>IFERROR(VLOOKUP(N57,'DATA(STRIP LENGTH)'!A:C,3,0),"")</f>
        <v>2.2000000000000002</v>
      </c>
      <c r="U57" s="32" t="str">
        <f>IFERROR(VLOOKUP(M57,이원화!A:B,2,0),"")</f>
        <v>WB20L-61209</v>
      </c>
      <c r="V57" s="32" t="str">
        <f>IFERROR(VLOOKUP(N57,이원화!A:B,2,0),"")</f>
        <v/>
      </c>
      <c r="W57" s="82" t="str">
        <f t="shared" si="11"/>
        <v xml:space="preserve">1767C-2
</v>
      </c>
    </row>
    <row r="58" spans="2:23" ht="17.399999999999999" customHeight="1">
      <c r="B58" s="158"/>
      <c r="C58" s="4">
        <v>33</v>
      </c>
      <c r="D58" s="120"/>
      <c r="E58" s="108" t="s">
        <v>917</v>
      </c>
      <c r="F58" s="156"/>
      <c r="G58" s="4">
        <v>1</v>
      </c>
      <c r="H58" s="111">
        <f>IF(RIGHT(M58,5)="JOINT",IF(MID(D58,3,6)="1007#2","15","17"),IF(RIGHT(M58,6)="SPLICE",8,IF(AND(S58="",NOT(F58="")),#REF!,S58)))</f>
        <v>2.5</v>
      </c>
      <c r="I58" s="112" t="str">
        <f t="shared" si="1"/>
        <v>완</v>
      </c>
      <c r="J58" s="111">
        <f>IF(RIGHT(N58,5)="JOINT",IF(MID(D58,3,6)="1007#2","15","17"),IF(RIGHT(N58,6)="SPLICE",8,IF(AND(T58="",NOT(F58="")),#REF!,T58)))</f>
        <v>2.2000000000000002</v>
      </c>
      <c r="K58" s="112" t="str">
        <f t="shared" si="2"/>
        <v>완</v>
      </c>
      <c r="L58" s="4"/>
      <c r="M58" s="4" t="s">
        <v>58</v>
      </c>
      <c r="N58" s="4" t="s">
        <v>1067</v>
      </c>
      <c r="O58" s="114"/>
      <c r="P58" s="3" t="s">
        <v>972</v>
      </c>
      <c r="Q58" s="114"/>
      <c r="R58" s="3" t="s">
        <v>937</v>
      </c>
      <c r="S58" s="33">
        <f>IFERROR(VLOOKUP(M58,'DATA(STRIP LENGTH)'!A:C,3,0),"")</f>
        <v>2.5</v>
      </c>
      <c r="T58" s="33">
        <f>IFERROR(VLOOKUP(N58,'DATA(STRIP LENGTH)'!A:C,3,0),"")</f>
        <v>2.2000000000000002</v>
      </c>
      <c r="U58" s="32" t="str">
        <f>IFERROR(VLOOKUP(M58,이원화!A:B,2,0),"")</f>
        <v>WB20L-61209</v>
      </c>
      <c r="V58" s="32" t="str">
        <f>IFERROR(VLOOKUP(N58,이원화!A:B,2,0),"")</f>
        <v/>
      </c>
      <c r="W58" s="82" t="str">
        <f t="shared" si="11"/>
        <v xml:space="preserve">1767C-2
</v>
      </c>
    </row>
    <row r="59" spans="2:23" ht="17.399999999999999" customHeight="1">
      <c r="B59" s="158"/>
      <c r="C59" s="4">
        <v>34</v>
      </c>
      <c r="D59" s="120"/>
      <c r="E59" s="108" t="s">
        <v>917</v>
      </c>
      <c r="F59" s="156"/>
      <c r="G59" s="4">
        <v>1</v>
      </c>
      <c r="H59" s="111">
        <f>IF(RIGHT(M59,5)="JOINT",IF(MID(D59,3,6)="1007#2","15","17"),IF(RIGHT(M59,6)="SPLICE",8,IF(AND(S59="",NOT(F59="")),#REF!,S59)))</f>
        <v>2.5</v>
      </c>
      <c r="I59" s="112" t="str">
        <f t="shared" si="1"/>
        <v>완</v>
      </c>
      <c r="J59" s="111">
        <f>IF(RIGHT(N59,5)="JOINT",IF(MID(D59,3,6)="1007#2","15","17"),IF(RIGHT(N59,6)="SPLICE",8,IF(AND(T59="",NOT(F59="")),#REF!,T59)))</f>
        <v>2.2000000000000002</v>
      </c>
      <c r="K59" s="112" t="str">
        <f t="shared" si="2"/>
        <v>완</v>
      </c>
      <c r="L59" s="4"/>
      <c r="M59" s="4" t="s">
        <v>58</v>
      </c>
      <c r="N59" s="4" t="s">
        <v>1067</v>
      </c>
      <c r="O59" s="114"/>
      <c r="P59" s="3" t="s">
        <v>973</v>
      </c>
      <c r="Q59" s="114"/>
      <c r="R59" s="3" t="s">
        <v>938</v>
      </c>
      <c r="S59" s="33">
        <f>IFERROR(VLOOKUP(M59,'DATA(STRIP LENGTH)'!A:C,3,0),"")</f>
        <v>2.5</v>
      </c>
      <c r="T59" s="33">
        <f>IFERROR(VLOOKUP(N59,'DATA(STRIP LENGTH)'!A:C,3,0),"")</f>
        <v>2.2000000000000002</v>
      </c>
      <c r="U59" s="32" t="str">
        <f>IFERROR(VLOOKUP(M59,이원화!A:B,2,0),"")</f>
        <v>WB20L-61209</v>
      </c>
      <c r="V59" s="32" t="str">
        <f>IFERROR(VLOOKUP(N59,이원화!A:B,2,0),"")</f>
        <v/>
      </c>
      <c r="W59" s="82" t="str">
        <f t="shared" si="11"/>
        <v xml:space="preserve">1767C-2
</v>
      </c>
    </row>
    <row r="60" spans="2:23" ht="17.399999999999999" customHeight="1">
      <c r="B60" s="158"/>
      <c r="C60" s="4">
        <v>35</v>
      </c>
      <c r="D60" s="120"/>
      <c r="E60" s="108" t="s">
        <v>917</v>
      </c>
      <c r="F60" s="156"/>
      <c r="G60" s="4">
        <v>1</v>
      </c>
      <c r="H60" s="111">
        <f>IF(RIGHT(M60,5)="JOINT",IF(MID(D60,3,6)="1007#2","15","17"),IF(RIGHT(M60,6)="SPLICE",8,IF(AND(S60="",NOT(F60="")),#REF!,S60)))</f>
        <v>2.5</v>
      </c>
      <c r="I60" s="112" t="str">
        <f t="shared" si="1"/>
        <v>완</v>
      </c>
      <c r="J60" s="111">
        <f>IF(RIGHT(N60,5)="JOINT",IF(MID(D60,3,6)="1007#2","15","17"),IF(RIGHT(N60,6)="SPLICE",8,IF(AND(T60="",NOT(F60="")),#REF!,T60)))</f>
        <v>2.2000000000000002</v>
      </c>
      <c r="K60" s="112" t="str">
        <f t="shared" si="2"/>
        <v>완</v>
      </c>
      <c r="L60" s="4"/>
      <c r="M60" s="4" t="s">
        <v>58</v>
      </c>
      <c r="N60" s="4" t="s">
        <v>1067</v>
      </c>
      <c r="O60" s="114"/>
      <c r="P60" s="3" t="s">
        <v>974</v>
      </c>
      <c r="Q60" s="114"/>
      <c r="R60" s="3" t="s">
        <v>939</v>
      </c>
      <c r="S60" s="33">
        <f>IFERROR(VLOOKUP(M60,'DATA(STRIP LENGTH)'!A:C,3,0),"")</f>
        <v>2.5</v>
      </c>
      <c r="T60" s="33">
        <f>IFERROR(VLOOKUP(N60,'DATA(STRIP LENGTH)'!A:C,3,0),"")</f>
        <v>2.2000000000000002</v>
      </c>
      <c r="U60" s="32" t="str">
        <f>IFERROR(VLOOKUP(M60,이원화!A:B,2,0),"")</f>
        <v>WB20L-61209</v>
      </c>
      <c r="V60" s="32" t="str">
        <f>IFERROR(VLOOKUP(N60,이원화!A:B,2,0),"")</f>
        <v/>
      </c>
      <c r="W60" s="82" t="str">
        <f t="shared" si="11"/>
        <v xml:space="preserve">1767C-2
</v>
      </c>
    </row>
    <row r="61" spans="2:23" ht="17.399999999999999" customHeight="1">
      <c r="B61" s="158"/>
      <c r="C61" s="4">
        <v>36</v>
      </c>
      <c r="D61" s="121"/>
      <c r="E61" s="108" t="s">
        <v>917</v>
      </c>
      <c r="F61" s="147"/>
      <c r="G61" s="4">
        <v>1</v>
      </c>
      <c r="H61" s="111">
        <f>IF(RIGHT(M61,5)="JOINT",IF(MID(D61,3,6)="1007#2","15","17"),IF(RIGHT(M61,6)="SPLICE",8,IF(AND(S61="",NOT(F61="")),#REF!,S61)))</f>
        <v>2.5</v>
      </c>
      <c r="I61" s="112" t="str">
        <f t="shared" si="1"/>
        <v>완</v>
      </c>
      <c r="J61" s="111">
        <f>IF(RIGHT(N61,5)="JOINT",IF(MID(D61,3,6)="1007#2","15","17"),IF(RIGHT(N61,6)="SPLICE",8,IF(AND(T61="",NOT(F61="")),#REF!,T61)))</f>
        <v>2.2000000000000002</v>
      </c>
      <c r="K61" s="112" t="str">
        <f t="shared" si="2"/>
        <v>완</v>
      </c>
      <c r="L61" s="4"/>
      <c r="M61" s="4" t="s">
        <v>58</v>
      </c>
      <c r="N61" s="4" t="s">
        <v>1067</v>
      </c>
      <c r="O61" s="114"/>
      <c r="P61" s="3" t="s">
        <v>975</v>
      </c>
      <c r="Q61" s="114"/>
      <c r="R61" s="3" t="s">
        <v>940</v>
      </c>
      <c r="S61" s="33">
        <f>IFERROR(VLOOKUP(M61,'DATA(STRIP LENGTH)'!A:C,3,0),"")</f>
        <v>2.5</v>
      </c>
      <c r="T61" s="33">
        <f>IFERROR(VLOOKUP(N61,'DATA(STRIP LENGTH)'!A:C,3,0),"")</f>
        <v>2.2000000000000002</v>
      </c>
      <c r="U61" s="32" t="str">
        <f>IFERROR(VLOOKUP(M61,이원화!A:B,2,0),"")</f>
        <v>WB20L-61209</v>
      </c>
      <c r="V61" s="32" t="str">
        <f>IFERROR(VLOOKUP(N61,이원화!A:B,2,0),"")</f>
        <v/>
      </c>
      <c r="W61" s="82" t="str">
        <f t="shared" si="11"/>
        <v xml:space="preserve">1767C-2
</v>
      </c>
    </row>
    <row r="62" spans="2:23" ht="17.399999999999999" customHeight="1">
      <c r="B62" s="158"/>
      <c r="C62" s="4">
        <v>37</v>
      </c>
      <c r="D62" s="119" t="s">
        <v>911</v>
      </c>
      <c r="E62" s="108" t="s">
        <v>919</v>
      </c>
      <c r="F62" s="146">
        <f xml:space="preserve"> 10 + (80+40+50+40+40+290+60) +10</f>
        <v>620</v>
      </c>
      <c r="G62" s="4">
        <v>1</v>
      </c>
      <c r="H62" s="111">
        <f>IF(RIGHT(M62,5)="JOINT",IF(MID(D62,3,6)="1007#2","15","17"),IF(RIGHT(M62,6)="SPLICE",8,IF(AND(S62="",NOT(F62="")),#REF!,S62)))</f>
        <v>2.5</v>
      </c>
      <c r="I62" s="112" t="str">
        <f t="shared" si="1"/>
        <v>완</v>
      </c>
      <c r="J62" s="111">
        <f>IF(RIGHT(N62,5)="JOINT",IF(MID(D62,3,6)="1007#2","15","17"),IF(RIGHT(N62,6)="SPLICE",8,IF(AND(T62="",NOT(F62="")),#REF!,T62)))</f>
        <v>2.2000000000000002</v>
      </c>
      <c r="K62" s="112" t="str">
        <f t="shared" si="2"/>
        <v>완</v>
      </c>
      <c r="L62" s="4"/>
      <c r="M62" s="4" t="s">
        <v>58</v>
      </c>
      <c r="N62" s="4" t="s">
        <v>1067</v>
      </c>
      <c r="O62" s="114"/>
      <c r="P62" s="3" t="s">
        <v>976</v>
      </c>
      <c r="Q62" s="114"/>
      <c r="R62" s="3" t="s">
        <v>941</v>
      </c>
      <c r="S62" s="33">
        <f>IFERROR(VLOOKUP(M62,'DATA(STRIP LENGTH)'!A:C,3,0),"")</f>
        <v>2.5</v>
      </c>
      <c r="T62" s="33">
        <f>IFERROR(VLOOKUP(N62,'DATA(STRIP LENGTH)'!A:C,3,0),"")</f>
        <v>2.2000000000000002</v>
      </c>
      <c r="U62" s="32" t="str">
        <f>IFERROR(VLOOKUP(M62,이원화!A:B,2,0),"")</f>
        <v>WB20L-61209</v>
      </c>
      <c r="V62" s="32" t="str">
        <f>IFERROR(VLOOKUP(N62,이원화!A:B,2,0),"")</f>
        <v/>
      </c>
      <c r="W62" s="82" t="str">
        <f t="shared" si="11"/>
        <v xml:space="preserve">1767C-2
</v>
      </c>
    </row>
    <row r="63" spans="2:23" ht="17.399999999999999" customHeight="1">
      <c r="B63" s="158"/>
      <c r="C63" s="4">
        <v>38</v>
      </c>
      <c r="D63" s="120"/>
      <c r="E63" s="108" t="s">
        <v>917</v>
      </c>
      <c r="F63" s="156"/>
      <c r="G63" s="4">
        <v>1</v>
      </c>
      <c r="H63" s="111">
        <f>IF(RIGHT(M63,5)="JOINT",IF(MID(D63,3,6)="1007#2","15","17"),IF(RIGHT(M63,6)="SPLICE",8,IF(AND(S63="",NOT(F63="")),#REF!,S63)))</f>
        <v>2.5</v>
      </c>
      <c r="I63" s="112" t="str">
        <f t="shared" si="1"/>
        <v>완</v>
      </c>
      <c r="J63" s="111">
        <f>IF(RIGHT(N63,5)="JOINT",IF(MID(D63,3,6)="1007#2","15","17"),IF(RIGHT(N63,6)="SPLICE",8,IF(AND(T63="",NOT(F63="")),#REF!,T63)))</f>
        <v>2.2000000000000002</v>
      </c>
      <c r="K63" s="112" t="str">
        <f t="shared" si="2"/>
        <v>완</v>
      </c>
      <c r="L63" s="4"/>
      <c r="M63" s="4" t="s">
        <v>58</v>
      </c>
      <c r="N63" s="4" t="s">
        <v>1067</v>
      </c>
      <c r="O63" s="114"/>
      <c r="P63" s="3" t="s">
        <v>1001</v>
      </c>
      <c r="Q63" s="114"/>
      <c r="R63" s="3" t="s">
        <v>942</v>
      </c>
      <c r="S63" s="33">
        <f>IFERROR(VLOOKUP(M63,'DATA(STRIP LENGTH)'!A:C,3,0),"")</f>
        <v>2.5</v>
      </c>
      <c r="T63" s="33">
        <f>IFERROR(VLOOKUP(N63,'DATA(STRIP LENGTH)'!A:C,3,0),"")</f>
        <v>2.2000000000000002</v>
      </c>
      <c r="U63" s="32" t="str">
        <f>IFERROR(VLOOKUP(M63,이원화!A:B,2,0),"")</f>
        <v>WB20L-61209</v>
      </c>
      <c r="V63" s="32" t="str">
        <f>IFERROR(VLOOKUP(N63,이원화!A:B,2,0),"")</f>
        <v/>
      </c>
      <c r="W63" s="82" t="str">
        <f t="shared" si="11"/>
        <v xml:space="preserve">1767C-2
</v>
      </c>
    </row>
    <row r="64" spans="2:23" ht="17.399999999999999" customHeight="1">
      <c r="B64" s="158"/>
      <c r="C64" s="4">
        <v>39</v>
      </c>
      <c r="D64" s="120"/>
      <c r="E64" s="108" t="s">
        <v>917</v>
      </c>
      <c r="F64" s="156"/>
      <c r="G64" s="4">
        <v>1</v>
      </c>
      <c r="H64" s="111">
        <f>IF(RIGHT(M64,5)="JOINT",IF(MID(D64,3,6)="1007#2","15","17"),IF(RIGHT(M64,6)="SPLICE",8,IF(AND(S64="",NOT(F64="")),#REF!,S64)))</f>
        <v>2.5</v>
      </c>
      <c r="I64" s="112" t="str">
        <f t="shared" si="1"/>
        <v>완</v>
      </c>
      <c r="J64" s="111">
        <f>IF(RIGHT(N64,5)="JOINT",IF(MID(D64,3,6)="1007#2","15","17"),IF(RIGHT(N64,6)="SPLICE",8,IF(AND(T64="",NOT(F64="")),#REF!,T64)))</f>
        <v>2.2000000000000002</v>
      </c>
      <c r="K64" s="112" t="str">
        <f t="shared" si="2"/>
        <v>완</v>
      </c>
      <c r="L64" s="4"/>
      <c r="M64" s="4" t="s">
        <v>58</v>
      </c>
      <c r="N64" s="4" t="s">
        <v>1067</v>
      </c>
      <c r="O64" s="114"/>
      <c r="P64" s="3" t="s">
        <v>977</v>
      </c>
      <c r="Q64" s="114"/>
      <c r="R64" s="3" t="s">
        <v>943</v>
      </c>
      <c r="S64" s="33">
        <f>IFERROR(VLOOKUP(M64,'DATA(STRIP LENGTH)'!A:C,3,0),"")</f>
        <v>2.5</v>
      </c>
      <c r="T64" s="33">
        <f>IFERROR(VLOOKUP(N64,'DATA(STRIP LENGTH)'!A:C,3,0),"")</f>
        <v>2.2000000000000002</v>
      </c>
      <c r="U64" s="32" t="str">
        <f>IFERROR(VLOOKUP(M64,이원화!A:B,2,0),"")</f>
        <v>WB20L-61209</v>
      </c>
      <c r="V64" s="32" t="str">
        <f>IFERROR(VLOOKUP(N64,이원화!A:B,2,0),"")</f>
        <v/>
      </c>
      <c r="W64" s="82" t="str">
        <f t="shared" si="11"/>
        <v xml:space="preserve">1767C-2
</v>
      </c>
    </row>
    <row r="65" spans="2:23" ht="17.399999999999999" customHeight="1">
      <c r="B65" s="158"/>
      <c r="C65" s="4">
        <v>40</v>
      </c>
      <c r="D65" s="120"/>
      <c r="E65" s="108" t="s">
        <v>917</v>
      </c>
      <c r="F65" s="156"/>
      <c r="G65" s="4">
        <v>1</v>
      </c>
      <c r="H65" s="111">
        <f>IF(RIGHT(M65,5)="JOINT",IF(MID(D65,3,6)="1007#2","15","17"),IF(RIGHT(M65,6)="SPLICE",8,IF(AND(S65="",NOT(F65="")),#REF!,S65)))</f>
        <v>2.5</v>
      </c>
      <c r="I65" s="112" t="str">
        <f t="shared" si="1"/>
        <v>완</v>
      </c>
      <c r="J65" s="111">
        <f>IF(RIGHT(N65,5)="JOINT",IF(MID(D65,3,6)="1007#2","15","17"),IF(RIGHT(N65,6)="SPLICE",8,IF(AND(T65="",NOT(F65="")),#REF!,T65)))</f>
        <v>2.2000000000000002</v>
      </c>
      <c r="K65" s="112" t="str">
        <f t="shared" si="2"/>
        <v>완</v>
      </c>
      <c r="L65" s="4"/>
      <c r="M65" s="4" t="s">
        <v>58</v>
      </c>
      <c r="N65" s="4" t="s">
        <v>1067</v>
      </c>
      <c r="O65" s="114"/>
      <c r="P65" s="3" t="s">
        <v>978</v>
      </c>
      <c r="Q65" s="114"/>
      <c r="R65" s="3" t="s">
        <v>944</v>
      </c>
      <c r="S65" s="33">
        <f>IFERROR(VLOOKUP(M65,'DATA(STRIP LENGTH)'!A:C,3,0),"")</f>
        <v>2.5</v>
      </c>
      <c r="T65" s="33">
        <f>IFERROR(VLOOKUP(N65,'DATA(STRIP LENGTH)'!A:C,3,0),"")</f>
        <v>2.2000000000000002</v>
      </c>
      <c r="U65" s="32" t="str">
        <f>IFERROR(VLOOKUP(M65,이원화!A:B,2,0),"")</f>
        <v>WB20L-61209</v>
      </c>
      <c r="V65" s="32" t="str">
        <f>IFERROR(VLOOKUP(N65,이원화!A:B,2,0),"")</f>
        <v/>
      </c>
      <c r="W65" s="82" t="str">
        <f t="shared" si="11"/>
        <v xml:space="preserve">1767C-2
</v>
      </c>
    </row>
    <row r="66" spans="2:23" ht="17.399999999999999" customHeight="1">
      <c r="B66" s="158"/>
      <c r="C66" s="4">
        <v>41</v>
      </c>
      <c r="D66" s="120"/>
      <c r="E66" s="108" t="s">
        <v>917</v>
      </c>
      <c r="F66" s="156"/>
      <c r="G66" s="4">
        <v>1</v>
      </c>
      <c r="H66" s="111">
        <f>IF(RIGHT(M66,5)="JOINT",IF(MID(D66,3,6)="1007#2","15","17"),IF(RIGHT(M66,6)="SPLICE",8,IF(AND(S66="",NOT(F66="")),#REF!,S66)))</f>
        <v>2.5</v>
      </c>
      <c r="I66" s="112" t="str">
        <f t="shared" si="1"/>
        <v>완</v>
      </c>
      <c r="J66" s="111">
        <f>IF(RIGHT(N66,5)="JOINT",IF(MID(D66,3,6)="1007#2","15","17"),IF(RIGHT(N66,6)="SPLICE",8,IF(AND(T66="",NOT(F66="")),#REF!,T66)))</f>
        <v>2.2000000000000002</v>
      </c>
      <c r="K66" s="112" t="str">
        <f t="shared" si="2"/>
        <v>완</v>
      </c>
      <c r="L66" s="4"/>
      <c r="M66" s="4" t="s">
        <v>58</v>
      </c>
      <c r="N66" s="4" t="s">
        <v>1067</v>
      </c>
      <c r="O66" s="114"/>
      <c r="P66" s="3" t="s">
        <v>979</v>
      </c>
      <c r="Q66" s="114"/>
      <c r="R66" s="3" t="s">
        <v>945</v>
      </c>
      <c r="S66" s="33">
        <f>IFERROR(VLOOKUP(M66,'DATA(STRIP LENGTH)'!A:C,3,0),"")</f>
        <v>2.5</v>
      </c>
      <c r="T66" s="33">
        <f>IFERROR(VLOOKUP(N66,'DATA(STRIP LENGTH)'!A:C,3,0),"")</f>
        <v>2.2000000000000002</v>
      </c>
      <c r="U66" s="32" t="str">
        <f>IFERROR(VLOOKUP(M66,이원화!A:B,2,0),"")</f>
        <v>WB20L-61209</v>
      </c>
      <c r="V66" s="32" t="str">
        <f>IFERROR(VLOOKUP(N66,이원화!A:B,2,0),"")</f>
        <v/>
      </c>
      <c r="W66" s="82" t="str">
        <f t="shared" si="11"/>
        <v xml:space="preserve">1767C-2
</v>
      </c>
    </row>
    <row r="67" spans="2:23" ht="17.399999999999999" customHeight="1">
      <c r="B67" s="158"/>
      <c r="C67" s="4">
        <v>42</v>
      </c>
      <c r="D67" s="121"/>
      <c r="E67" s="108" t="s">
        <v>917</v>
      </c>
      <c r="F67" s="147"/>
      <c r="G67" s="4">
        <v>1</v>
      </c>
      <c r="H67" s="111">
        <f>IF(RIGHT(M67,5)="JOINT",IF(MID(D67,3,6)="1007#2","15","17"),IF(RIGHT(M67,6)="SPLICE",8,IF(AND(S67="",NOT(F67="")),#REF!,S67)))</f>
        <v>2.5</v>
      </c>
      <c r="I67" s="112" t="str">
        <f t="shared" si="1"/>
        <v>완</v>
      </c>
      <c r="J67" s="111">
        <f>IF(RIGHT(N67,5)="JOINT",IF(MID(D67,3,6)="1007#2","15","17"),IF(RIGHT(N67,6)="SPLICE",8,IF(AND(T67="",NOT(F67="")),#REF!,T67)))</f>
        <v>2.2000000000000002</v>
      </c>
      <c r="K67" s="112" t="str">
        <f t="shared" si="2"/>
        <v>완</v>
      </c>
      <c r="L67" s="4"/>
      <c r="M67" s="4" t="s">
        <v>58</v>
      </c>
      <c r="N67" s="4" t="s">
        <v>1067</v>
      </c>
      <c r="O67" s="114"/>
      <c r="P67" s="3" t="s">
        <v>980</v>
      </c>
      <c r="Q67" s="114"/>
      <c r="R67" s="3" t="s">
        <v>946</v>
      </c>
      <c r="S67" s="33">
        <f>IFERROR(VLOOKUP(M67,'DATA(STRIP LENGTH)'!A:C,3,0),"")</f>
        <v>2.5</v>
      </c>
      <c r="T67" s="33">
        <f>IFERROR(VLOOKUP(N67,'DATA(STRIP LENGTH)'!A:C,3,0),"")</f>
        <v>2.2000000000000002</v>
      </c>
      <c r="U67" s="32" t="str">
        <f>IFERROR(VLOOKUP(M67,이원화!A:B,2,0),"")</f>
        <v>WB20L-61209</v>
      </c>
      <c r="V67" s="32" t="str">
        <f>IFERROR(VLOOKUP(N67,이원화!A:B,2,0),"")</f>
        <v/>
      </c>
      <c r="W67" s="82" t="str">
        <f t="shared" si="11"/>
        <v xml:space="preserve">1767C-2
</v>
      </c>
    </row>
    <row r="68" spans="2:23" ht="17.399999999999999" customHeight="1">
      <c r="B68" s="159"/>
      <c r="C68" s="4">
        <v>43</v>
      </c>
      <c r="D68" s="68" t="s">
        <v>907</v>
      </c>
      <c r="E68" s="108" t="s">
        <v>915</v>
      </c>
      <c r="F68" s="113">
        <f xml:space="preserve"> 10 + (80+40+50+40+40+290+60) +10</f>
        <v>620</v>
      </c>
      <c r="G68" s="4">
        <v>1</v>
      </c>
      <c r="H68" s="111">
        <f>IF(RIGHT(M68,5)="JOINT",IF(MID(D68,3,6)="1007#2","15","17"),IF(RIGHT(M68,6)="SPLICE",8,IF(AND(S68="",NOT(F68="")),#REF!,S68)))</f>
        <v>2.5</v>
      </c>
      <c r="I68" s="112" t="str">
        <f t="shared" si="1"/>
        <v>완</v>
      </c>
      <c r="J68" s="111">
        <f>IF(RIGHT(N68,5)="JOINT",IF(MID(D68,3,6)="1007#2","15","17"),IF(RIGHT(N68,6)="SPLICE",8,IF(AND(T68="",NOT(F68="")),#REF!,T68)))</f>
        <v>2.2000000000000002</v>
      </c>
      <c r="K68" s="112" t="str">
        <f t="shared" si="2"/>
        <v>완</v>
      </c>
      <c r="L68" s="4"/>
      <c r="M68" s="4" t="s">
        <v>58</v>
      </c>
      <c r="N68" s="4" t="s">
        <v>1067</v>
      </c>
      <c r="O68" s="115"/>
      <c r="P68" s="3" t="s">
        <v>981</v>
      </c>
      <c r="Q68" s="115"/>
      <c r="R68" s="3" t="s">
        <v>947</v>
      </c>
      <c r="S68" s="33">
        <f>IFERROR(VLOOKUP(M68,'DATA(STRIP LENGTH)'!A:C,3,0),"")</f>
        <v>2.5</v>
      </c>
      <c r="T68" s="33">
        <f>IFERROR(VLOOKUP(N68,'DATA(STRIP LENGTH)'!A:C,3,0),"")</f>
        <v>2.2000000000000002</v>
      </c>
      <c r="U68" s="32" t="str">
        <f>IFERROR(VLOOKUP(M68,이원화!A:B,2,0),"")</f>
        <v>WB20L-61209</v>
      </c>
      <c r="V68" s="32" t="str">
        <f>IFERROR(VLOOKUP(N68,이원화!A:B,2,0),"")</f>
        <v/>
      </c>
      <c r="W68" s="82" t="str">
        <f t="shared" si="11"/>
        <v xml:space="preserve">1767C-2
</v>
      </c>
    </row>
    <row r="69" spans="2:23" ht="17.399999999999999" customHeight="1">
      <c r="B69" s="90"/>
      <c r="C69" s="105"/>
      <c r="D69" s="106"/>
      <c r="E69" s="100"/>
      <c r="F69" s="108"/>
      <c r="G69" s="4"/>
      <c r="H69" s="111"/>
      <c r="I69" s="112"/>
      <c r="J69" s="111"/>
      <c r="K69" s="112"/>
      <c r="L69" s="4"/>
      <c r="M69" s="4"/>
      <c r="N69" s="4"/>
      <c r="O69" s="4"/>
      <c r="P69" s="3"/>
      <c r="Q69" s="4"/>
      <c r="R69" s="3"/>
      <c r="W69" s="82" t="str">
        <f t="shared" si="11"/>
        <v/>
      </c>
    </row>
    <row r="70" spans="2:23" ht="17.399999999999999" customHeight="1">
      <c r="B70" s="157" t="s">
        <v>1023</v>
      </c>
      <c r="C70" s="101">
        <v>52</v>
      </c>
      <c r="D70" s="116" t="s">
        <v>913</v>
      </c>
      <c r="E70" s="100" t="s">
        <v>919</v>
      </c>
      <c r="F70" s="148">
        <f xml:space="preserve"> 10 + (90) +10</f>
        <v>110</v>
      </c>
      <c r="G70" s="4">
        <v>1</v>
      </c>
      <c r="H70" s="111">
        <f>IF(RIGHT(M70,5)="JOINT",IF(MID(D70,3,6)="1007#2","15","17"),IF(RIGHT(M70,6)="SPLICE",8,IF(AND(S70="",NOT(F70="")),#REF!,S70)))</f>
        <v>2.5</v>
      </c>
      <c r="I70" s="112" t="str">
        <f>IF(M70="", "", IF(OR(M70="반탈피", ISNUMBER(SEARCH("JOINT", M70))), "반", "완"))</f>
        <v>완</v>
      </c>
      <c r="J70" s="111">
        <f>IF(RIGHT(N70,5)="JOINT",IF(MID(D70,3,6)="1007#2","15","17"),IF(RIGHT(N70,6)="SPLICE",8,IF(AND(T70="",NOT(F70="")),#REF!,T70)))</f>
        <v>1.9</v>
      </c>
      <c r="K70" s="112" t="str">
        <f>IF(N70="", "", IF(OR(N70="반탈피", ISNUMBER(SEARCH("JOINT", N70))), "반", "완"))</f>
        <v>완</v>
      </c>
      <c r="L70" s="4"/>
      <c r="M70" s="4" t="s">
        <v>58</v>
      </c>
      <c r="N70" s="4" t="s">
        <v>1036</v>
      </c>
      <c r="O70" s="122">
        <v>3</v>
      </c>
      <c r="P70" s="3" t="s">
        <v>1066</v>
      </c>
      <c r="Q70" s="122">
        <v>8</v>
      </c>
      <c r="R70" s="97" t="s">
        <v>1041</v>
      </c>
      <c r="S70" s="33">
        <f>IFERROR(VLOOKUP(M70,'DATA(STRIP LENGTH)'!A:C,3,0),"")</f>
        <v>2.5</v>
      </c>
      <c r="T70" s="33">
        <f>IFERROR(VLOOKUP(N70,'DATA(STRIP LENGTH)'!A:C,3,0),"")</f>
        <v>1.9</v>
      </c>
      <c r="U70" s="32" t="str">
        <f>IFERROR(VLOOKUP(M70,이원화!A:B,2,0),"")</f>
        <v>WB20L-61209</v>
      </c>
      <c r="V70" s="32" t="str">
        <f>IFERROR(VLOOKUP(N70,이원화!A:B,2,0),"")</f>
        <v>YST025L3</v>
      </c>
      <c r="W70" s="82" t="e">
        <f>IF(C70&gt;0,IF(#REF!=0,W82,#REF!),"")</f>
        <v>#REF!</v>
      </c>
    </row>
    <row r="71" spans="2:23" ht="17.399999999999999" customHeight="1">
      <c r="B71" s="158"/>
      <c r="C71" s="101">
        <v>53</v>
      </c>
      <c r="D71" s="118"/>
      <c r="E71" s="100" t="s">
        <v>917</v>
      </c>
      <c r="F71" s="155"/>
      <c r="G71" s="4">
        <v>1</v>
      </c>
      <c r="H71" s="111">
        <f>IF(RIGHT(M71,5)="JOINT",IF(MID(D71,3,6)="1007#2","15","17"),IF(RIGHT(M71,6)="SPLICE",8,IF(AND(S71="",NOT(F71="")),#REF!,S71)))</f>
        <v>2.5</v>
      </c>
      <c r="I71" s="112" t="str">
        <f>IF(M71="", "", IF(OR(M71="반탈피", ISNUMBER(SEARCH("JOINT", M71))), "반", "완"))</f>
        <v>완</v>
      </c>
      <c r="J71" s="111">
        <f>IF(RIGHT(N71,5)="JOINT",IF(MID(D71,3,6)="1007#2","15","17"),IF(RIGHT(N71,6)="SPLICE",8,IF(AND(T71="",NOT(F71="")),#REF!,T71)))</f>
        <v>1.9</v>
      </c>
      <c r="K71" s="112" t="str">
        <f>IF(N71="", "", IF(OR(N71="반탈피", ISNUMBER(SEARCH("JOINT", N71))), "반", "완"))</f>
        <v>완</v>
      </c>
      <c r="L71" s="4"/>
      <c r="M71" s="4" t="s">
        <v>58</v>
      </c>
      <c r="N71" s="4" t="s">
        <v>1036</v>
      </c>
      <c r="O71" s="114"/>
      <c r="P71" s="3" t="s">
        <v>990</v>
      </c>
      <c r="Q71" s="114"/>
      <c r="R71" s="97" t="s">
        <v>1042</v>
      </c>
      <c r="S71" s="33">
        <f>IFERROR(VLOOKUP(M71,'DATA(STRIP LENGTH)'!A:C,3,0),"")</f>
        <v>2.5</v>
      </c>
      <c r="T71" s="33">
        <f>IFERROR(VLOOKUP(N71,'DATA(STRIP LENGTH)'!A:C,3,0),"")</f>
        <v>1.9</v>
      </c>
      <c r="U71" s="32" t="str">
        <f>IFERROR(VLOOKUP(M71,이원화!A:B,2,0),"")</f>
        <v>WB20L-61209</v>
      </c>
      <c r="V71" s="32" t="str">
        <f>IFERROR(VLOOKUP(N71,이원화!A:B,2,0),"")</f>
        <v>YST025L3</v>
      </c>
      <c r="W71" s="82" t="e">
        <f>IF(C71&gt;0,IF(B71=0,W70,B71),"")</f>
        <v>#REF!</v>
      </c>
    </row>
    <row r="72" spans="2:23" ht="17.399999999999999" customHeight="1">
      <c r="B72" s="158"/>
      <c r="C72" s="101">
        <v>44</v>
      </c>
      <c r="D72" s="116" t="s">
        <v>908</v>
      </c>
      <c r="E72" s="100" t="s">
        <v>919</v>
      </c>
      <c r="F72" s="148">
        <f xml:space="preserve"> 10 + (90) +10</f>
        <v>110</v>
      </c>
      <c r="G72" s="4">
        <v>1</v>
      </c>
      <c r="H72" s="111">
        <f>IF(RIGHT(M72,5)="JOINT",IF(MID(D72,3,6)="1007#2","15","17"),IF(RIGHT(M72,6)="SPLICE",8,IF(AND(S72="",NOT(F72="")),#REF!,S72)))</f>
        <v>2.5</v>
      </c>
      <c r="I72" s="112" t="str">
        <f t="shared" si="1"/>
        <v>완</v>
      </c>
      <c r="J72" s="111">
        <f>IF(RIGHT(N72,5)="JOINT",IF(MID(D72,3,6)="1007#2","15","17"),IF(RIGHT(N72,6)="SPLICE",8,IF(AND(T72="",NOT(F72="")),#REF!,T72)))</f>
        <v>1.9</v>
      </c>
      <c r="K72" s="112" t="str">
        <f t="shared" si="2"/>
        <v>완</v>
      </c>
      <c r="L72" s="4"/>
      <c r="M72" s="4" t="s">
        <v>58</v>
      </c>
      <c r="N72" s="4" t="s">
        <v>1036</v>
      </c>
      <c r="O72" s="114"/>
      <c r="P72" s="3" t="s">
        <v>982</v>
      </c>
      <c r="Q72" s="114"/>
      <c r="R72" s="97" t="s">
        <v>1043</v>
      </c>
      <c r="S72" s="33">
        <f>IFERROR(VLOOKUP(M72,'DATA(STRIP LENGTH)'!A:C,3,0),"")</f>
        <v>2.5</v>
      </c>
      <c r="T72" s="33">
        <f>IFERROR(VLOOKUP(N72,'DATA(STRIP LENGTH)'!A:C,3,0),"")</f>
        <v>1.9</v>
      </c>
      <c r="U72" s="32" t="str">
        <f>IFERROR(VLOOKUP(M72,이원화!A:B,2,0),"")</f>
        <v>WB20L-61209</v>
      </c>
      <c r="V72" s="32" t="str">
        <f>IFERROR(VLOOKUP(N72,이원화!A:B,2,0),"")</f>
        <v>YST025L3</v>
      </c>
      <c r="W72" s="82" t="str">
        <f>IF(C72&gt;0,IF(B70=0,W69,B70),"")</f>
        <v xml:space="preserve">1767C-3
</v>
      </c>
    </row>
    <row r="73" spans="2:23" ht="17.399999999999999" customHeight="1">
      <c r="B73" s="158"/>
      <c r="C73" s="101">
        <v>45</v>
      </c>
      <c r="D73" s="117"/>
      <c r="E73" s="100" t="s">
        <v>917</v>
      </c>
      <c r="F73" s="155"/>
      <c r="G73" s="4">
        <v>1</v>
      </c>
      <c r="H73" s="111">
        <f>IF(RIGHT(M73,5)="JOINT",IF(MID(D73,3,6)="1007#2","15","17"),IF(RIGHT(M73,6)="SPLICE",8,IF(AND(S73="",NOT(F73="")),#REF!,S73)))</f>
        <v>2.5</v>
      </c>
      <c r="I73" s="112" t="str">
        <f t="shared" si="1"/>
        <v>완</v>
      </c>
      <c r="J73" s="111">
        <f>IF(RIGHT(N73,5)="JOINT",IF(MID(D73,3,6)="1007#2","15","17"),IF(RIGHT(N73,6)="SPLICE",8,IF(AND(T73="",NOT(F73="")),#REF!,T73)))</f>
        <v>1.9</v>
      </c>
      <c r="K73" s="112" t="str">
        <f t="shared" si="2"/>
        <v>완</v>
      </c>
      <c r="L73" s="4"/>
      <c r="M73" s="4" t="s">
        <v>58</v>
      </c>
      <c r="N73" s="4" t="s">
        <v>1036</v>
      </c>
      <c r="O73" s="114"/>
      <c r="P73" s="3" t="s">
        <v>983</v>
      </c>
      <c r="Q73" s="114"/>
      <c r="R73" s="97" t="s">
        <v>1044</v>
      </c>
      <c r="S73" s="33">
        <f>IFERROR(VLOOKUP(M73,'DATA(STRIP LENGTH)'!A:C,3,0),"")</f>
        <v>2.5</v>
      </c>
      <c r="T73" s="33">
        <f>IFERROR(VLOOKUP(N73,'DATA(STRIP LENGTH)'!A:C,3,0),"")</f>
        <v>1.9</v>
      </c>
      <c r="U73" s="32" t="str">
        <f>IFERROR(VLOOKUP(M73,이원화!A:B,2,0),"")</f>
        <v>WB20L-61209</v>
      </c>
      <c r="V73" s="32" t="str">
        <f>IFERROR(VLOOKUP(N73,이원화!A:B,2,0),"")</f>
        <v>YST025L3</v>
      </c>
      <c r="W73" s="82" t="str">
        <f t="shared" si="11"/>
        <v xml:space="preserve">1767C-3
</v>
      </c>
    </row>
    <row r="74" spans="2:23" ht="17.399999999999999" customHeight="1">
      <c r="B74" s="158"/>
      <c r="C74" s="101">
        <v>46</v>
      </c>
      <c r="D74" s="117"/>
      <c r="E74" s="100" t="s">
        <v>917</v>
      </c>
      <c r="F74" s="155"/>
      <c r="G74" s="4">
        <v>1</v>
      </c>
      <c r="H74" s="111">
        <f>IF(RIGHT(M74,5)="JOINT",IF(MID(D74,3,6)="1007#2","15","17"),IF(RIGHT(M74,6)="SPLICE",8,IF(AND(S74="",NOT(F74="")),#REF!,S74)))</f>
        <v>2.5</v>
      </c>
      <c r="I74" s="112" t="str">
        <f t="shared" si="1"/>
        <v>완</v>
      </c>
      <c r="J74" s="111">
        <f>IF(RIGHT(N74,5)="JOINT",IF(MID(D74,3,6)="1007#2","15","17"),IF(RIGHT(N74,6)="SPLICE",8,IF(AND(T74="",NOT(F74="")),#REF!,T74)))</f>
        <v>1.9</v>
      </c>
      <c r="K74" s="112" t="str">
        <f t="shared" si="2"/>
        <v>완</v>
      </c>
      <c r="L74" s="4"/>
      <c r="M74" s="4" t="s">
        <v>58</v>
      </c>
      <c r="N74" s="4" t="s">
        <v>1036</v>
      </c>
      <c r="O74" s="114"/>
      <c r="P74" s="3" t="s">
        <v>984</v>
      </c>
      <c r="Q74" s="114"/>
      <c r="R74" s="97" t="s">
        <v>1045</v>
      </c>
      <c r="S74" s="33">
        <f>IFERROR(VLOOKUP(M74,'DATA(STRIP LENGTH)'!A:C,3,0),"")</f>
        <v>2.5</v>
      </c>
      <c r="T74" s="33">
        <f>IFERROR(VLOOKUP(N74,'DATA(STRIP LENGTH)'!A:C,3,0),"")</f>
        <v>1.9</v>
      </c>
      <c r="U74" s="32" t="str">
        <f>IFERROR(VLOOKUP(M74,이원화!A:B,2,0),"")</f>
        <v>WB20L-61209</v>
      </c>
      <c r="V74" s="32" t="str">
        <f>IFERROR(VLOOKUP(N74,이원화!A:B,2,0),"")</f>
        <v>YST025L3</v>
      </c>
      <c r="W74" s="82" t="str">
        <f t="shared" si="11"/>
        <v xml:space="preserve">1767C-3
</v>
      </c>
    </row>
    <row r="75" spans="2:23" ht="17.399999999999999" customHeight="1">
      <c r="B75" s="158"/>
      <c r="C75" s="101">
        <v>47</v>
      </c>
      <c r="D75" s="117"/>
      <c r="E75" s="100" t="s">
        <v>917</v>
      </c>
      <c r="F75" s="155"/>
      <c r="G75" s="4">
        <v>1</v>
      </c>
      <c r="H75" s="111">
        <f>IF(RIGHT(M75,5)="JOINT",IF(MID(D75,3,6)="1007#2","15","17"),IF(RIGHT(M75,6)="SPLICE",8,IF(AND(S75="",NOT(F75="")),#REF!,S75)))</f>
        <v>2.5</v>
      </c>
      <c r="I75" s="112" t="str">
        <f t="shared" si="1"/>
        <v>완</v>
      </c>
      <c r="J75" s="111">
        <f>IF(RIGHT(N75,5)="JOINT",IF(MID(D75,3,6)="1007#2","15","17"),IF(RIGHT(N75,6)="SPLICE",8,IF(AND(T75="",NOT(F75="")),#REF!,T75)))</f>
        <v>1.9</v>
      </c>
      <c r="K75" s="112" t="str">
        <f t="shared" si="2"/>
        <v>완</v>
      </c>
      <c r="L75" s="4"/>
      <c r="M75" s="4" t="s">
        <v>58</v>
      </c>
      <c r="N75" s="4" t="s">
        <v>1036</v>
      </c>
      <c r="O75" s="114"/>
      <c r="P75" s="3" t="s">
        <v>985</v>
      </c>
      <c r="Q75" s="114"/>
      <c r="R75" s="97" t="s">
        <v>1046</v>
      </c>
      <c r="S75" s="33">
        <f>IFERROR(VLOOKUP(M75,'DATA(STRIP LENGTH)'!A:C,3,0),"")</f>
        <v>2.5</v>
      </c>
      <c r="T75" s="33">
        <f>IFERROR(VLOOKUP(N75,'DATA(STRIP LENGTH)'!A:C,3,0),"")</f>
        <v>1.9</v>
      </c>
      <c r="U75" s="32" t="str">
        <f>IFERROR(VLOOKUP(M75,이원화!A:B,2,0),"")</f>
        <v>WB20L-61209</v>
      </c>
      <c r="V75" s="32" t="str">
        <f>IFERROR(VLOOKUP(N75,이원화!A:B,2,0),"")</f>
        <v>YST025L3</v>
      </c>
      <c r="W75" s="82" t="str">
        <f t="shared" si="11"/>
        <v xml:space="preserve">1767C-3
</v>
      </c>
    </row>
    <row r="76" spans="2:23" ht="17.399999999999999" customHeight="1">
      <c r="B76" s="158"/>
      <c r="C76" s="101">
        <v>48</v>
      </c>
      <c r="D76" s="118"/>
      <c r="E76" s="100" t="s">
        <v>917</v>
      </c>
      <c r="F76" s="149"/>
      <c r="G76" s="4">
        <v>1</v>
      </c>
      <c r="H76" s="111">
        <f>IF(RIGHT(M76,5)="JOINT",IF(MID(D76,3,6)="1007#2","15","17"),IF(RIGHT(M76,6)="SPLICE",8,IF(AND(S76="",NOT(F76="")),#REF!,S76)))</f>
        <v>2.5</v>
      </c>
      <c r="I76" s="112" t="str">
        <f t="shared" si="1"/>
        <v>완</v>
      </c>
      <c r="J76" s="111">
        <f>IF(RIGHT(N76,5)="JOINT",IF(MID(D76,3,6)="1007#2","15","17"),IF(RIGHT(N76,6)="SPLICE",8,IF(AND(T76="",NOT(F76="")),#REF!,T76)))</f>
        <v>1.9</v>
      </c>
      <c r="K76" s="112" t="str">
        <f t="shared" si="2"/>
        <v>완</v>
      </c>
      <c r="L76" s="4"/>
      <c r="M76" s="4" t="s">
        <v>58</v>
      </c>
      <c r="N76" s="4" t="s">
        <v>1036</v>
      </c>
      <c r="O76" s="114"/>
      <c r="P76" s="3" t="s">
        <v>986</v>
      </c>
      <c r="Q76" s="115"/>
      <c r="R76" s="97" t="s">
        <v>1047</v>
      </c>
      <c r="S76" s="33">
        <f>IFERROR(VLOOKUP(M76,'DATA(STRIP LENGTH)'!A:C,3,0),"")</f>
        <v>2.5</v>
      </c>
      <c r="T76" s="33">
        <f>IFERROR(VLOOKUP(N76,'DATA(STRIP LENGTH)'!A:C,3,0),"")</f>
        <v>1.9</v>
      </c>
      <c r="U76" s="32" t="str">
        <f>IFERROR(VLOOKUP(M76,이원화!A:B,2,0),"")</f>
        <v>WB20L-61209</v>
      </c>
      <c r="V76" s="32" t="str">
        <f>IFERROR(VLOOKUP(N76,이원화!A:B,2,0),"")</f>
        <v>YST025L3</v>
      </c>
      <c r="W76" s="82" t="str">
        <f t="shared" si="11"/>
        <v xml:space="preserve">1767C-3
</v>
      </c>
    </row>
    <row r="77" spans="2:23" ht="17.399999999999999" customHeight="1">
      <c r="B77" s="158"/>
      <c r="C77" s="101">
        <v>49</v>
      </c>
      <c r="D77" s="116" t="s">
        <v>912</v>
      </c>
      <c r="E77" s="100" t="s">
        <v>916</v>
      </c>
      <c r="F77" s="148">
        <f t="shared" ref="F77:F80" si="12" xml:space="preserve"> 10 + (75) +10</f>
        <v>95</v>
      </c>
      <c r="G77" s="4">
        <v>1</v>
      </c>
      <c r="H77" s="111">
        <f>IF(RIGHT(M77,5)="JOINT",IF(MID(D77,3,6)="1007#2","15","17"),IF(RIGHT(M77,6)="SPLICE",8,IF(AND(S77="",NOT(F77="")),#REF!,S77)))</f>
        <v>2.5</v>
      </c>
      <c r="I77" s="112" t="str">
        <f t="shared" si="1"/>
        <v>완</v>
      </c>
      <c r="J77" s="111">
        <f>IF(RIGHT(N77,5)="JOINT",IF(MID(D77,3,6)="1007#2","15","17"),IF(RIGHT(N77,6)="SPLICE",8,IF(AND(T77="",NOT(F77="")),#REF!,T77)))</f>
        <v>1.9</v>
      </c>
      <c r="K77" s="112" t="str">
        <f t="shared" si="2"/>
        <v>완</v>
      </c>
      <c r="L77" s="4"/>
      <c r="M77" s="4" t="s">
        <v>58</v>
      </c>
      <c r="N77" s="4" t="s">
        <v>1036</v>
      </c>
      <c r="O77" s="114"/>
      <c r="P77" s="3" t="s">
        <v>987</v>
      </c>
      <c r="Q77" s="122">
        <v>7</v>
      </c>
      <c r="R77" s="97" t="s">
        <v>1052</v>
      </c>
      <c r="S77" s="33">
        <f>IFERROR(VLOOKUP(M77,'DATA(STRIP LENGTH)'!A:C,3,0),"")</f>
        <v>2.5</v>
      </c>
      <c r="T77" s="33">
        <f>IFERROR(VLOOKUP(N77,'DATA(STRIP LENGTH)'!A:C,3,0),"")</f>
        <v>1.9</v>
      </c>
      <c r="U77" s="32" t="str">
        <f>IFERROR(VLOOKUP(M77,이원화!A:B,2,0),"")</f>
        <v>WB20L-61209</v>
      </c>
      <c r="V77" s="32" t="str">
        <f>IFERROR(VLOOKUP(N77,이원화!A:B,2,0),"")</f>
        <v>YST025L3</v>
      </c>
      <c r="W77" s="82" t="str">
        <f t="shared" si="11"/>
        <v xml:space="preserve">1767C-3
</v>
      </c>
    </row>
    <row r="78" spans="2:23" ht="17.399999999999999" customHeight="1">
      <c r="B78" s="158"/>
      <c r="C78" s="101">
        <v>50</v>
      </c>
      <c r="D78" s="117"/>
      <c r="E78" s="100" t="s">
        <v>917</v>
      </c>
      <c r="F78" s="155"/>
      <c r="G78" s="4">
        <v>1</v>
      </c>
      <c r="H78" s="111">
        <f>IF(RIGHT(M78,5)="JOINT",IF(MID(D78,3,6)="1007#2","15","17"),IF(RIGHT(M78,6)="SPLICE",8,IF(AND(S78="",NOT(F78="")),#REF!,S78)))</f>
        <v>2.5</v>
      </c>
      <c r="I78" s="112" t="str">
        <f t="shared" si="1"/>
        <v>완</v>
      </c>
      <c r="J78" s="111">
        <f>IF(RIGHT(N78,5)="JOINT",IF(MID(D78,3,6)="1007#2","15","17"),IF(RIGHT(N78,6)="SPLICE",8,IF(AND(T78="",NOT(F78="")),#REF!,T78)))</f>
        <v>1.9</v>
      </c>
      <c r="K78" s="112" t="str">
        <f t="shared" si="2"/>
        <v>완</v>
      </c>
      <c r="L78" s="4"/>
      <c r="M78" s="4" t="s">
        <v>58</v>
      </c>
      <c r="N78" s="4" t="s">
        <v>1036</v>
      </c>
      <c r="O78" s="114"/>
      <c r="P78" s="3" t="s">
        <v>988</v>
      </c>
      <c r="Q78" s="114"/>
      <c r="R78" s="97" t="s">
        <v>1053</v>
      </c>
      <c r="S78" s="33">
        <f>IFERROR(VLOOKUP(M78,'DATA(STRIP LENGTH)'!A:C,3,0),"")</f>
        <v>2.5</v>
      </c>
      <c r="T78" s="33">
        <f>IFERROR(VLOOKUP(N78,'DATA(STRIP LENGTH)'!A:C,3,0),"")</f>
        <v>1.9</v>
      </c>
      <c r="U78" s="32" t="str">
        <f>IFERROR(VLOOKUP(M78,이원화!A:B,2,0),"")</f>
        <v>WB20L-61209</v>
      </c>
      <c r="V78" s="32" t="str">
        <f>IFERROR(VLOOKUP(N78,이원화!A:B,2,0),"")</f>
        <v>YST025L3</v>
      </c>
      <c r="W78" s="82" t="str">
        <f t="shared" si="11"/>
        <v xml:space="preserve">1767C-3
</v>
      </c>
    </row>
    <row r="79" spans="2:23" ht="17.399999999999999" customHeight="1">
      <c r="B79" s="158"/>
      <c r="C79" s="101">
        <v>51</v>
      </c>
      <c r="D79" s="118"/>
      <c r="E79" s="100" t="s">
        <v>917</v>
      </c>
      <c r="F79" s="149"/>
      <c r="G79" s="4">
        <v>1</v>
      </c>
      <c r="H79" s="111">
        <f>IF(RIGHT(M79,5)="JOINT",IF(MID(D79,3,6)="1007#2","15","17"),IF(RIGHT(M79,6)="SPLICE",8,IF(AND(S79="",NOT(F79="")),#REF!,S79)))</f>
        <v>2.5</v>
      </c>
      <c r="I79" s="112" t="str">
        <f t="shared" si="1"/>
        <v>완</v>
      </c>
      <c r="J79" s="111">
        <f>IF(RIGHT(N79,5)="JOINT",IF(MID(D79,3,6)="1007#2","15","17"),IF(RIGHT(N79,6)="SPLICE",8,IF(AND(T79="",NOT(F79="")),#REF!,T79)))</f>
        <v>1.9</v>
      </c>
      <c r="K79" s="112" t="str">
        <f t="shared" si="2"/>
        <v>완</v>
      </c>
      <c r="L79" s="4"/>
      <c r="M79" s="4" t="s">
        <v>58</v>
      </c>
      <c r="N79" s="4" t="s">
        <v>1036</v>
      </c>
      <c r="O79" s="114"/>
      <c r="P79" s="3" t="s">
        <v>989</v>
      </c>
      <c r="Q79" s="114"/>
      <c r="R79" s="97" t="s">
        <v>1054</v>
      </c>
      <c r="S79" s="33">
        <f>IFERROR(VLOOKUP(M79,'DATA(STRIP LENGTH)'!A:C,3,0),"")</f>
        <v>2.5</v>
      </c>
      <c r="T79" s="33">
        <f>IFERROR(VLOOKUP(N79,'DATA(STRIP LENGTH)'!A:C,3,0),"")</f>
        <v>1.9</v>
      </c>
      <c r="U79" s="32" t="str">
        <f>IFERROR(VLOOKUP(M79,이원화!A:B,2,0),"")</f>
        <v>WB20L-61209</v>
      </c>
      <c r="V79" s="32" t="str">
        <f>IFERROR(VLOOKUP(N79,이원화!A:B,2,0),"")</f>
        <v>YST025L3</v>
      </c>
      <c r="W79" s="82" t="str">
        <f t="shared" si="11"/>
        <v xml:space="preserve">1767C-3
</v>
      </c>
    </row>
    <row r="80" spans="2:23" ht="17.399999999999999" customHeight="1">
      <c r="B80" s="158"/>
      <c r="C80" s="101">
        <v>65</v>
      </c>
      <c r="D80" s="116" t="s">
        <v>914</v>
      </c>
      <c r="E80" s="100" t="s">
        <v>922</v>
      </c>
      <c r="F80" s="148">
        <f t="shared" si="12"/>
        <v>95</v>
      </c>
      <c r="G80" s="4">
        <v>1</v>
      </c>
      <c r="H80" s="111">
        <f>IF(RIGHT(M80,5)="JOINT",IF(MID(D80,3,6)="1007#2","15","17"),IF(RIGHT(M80,6)="SPLICE",8,IF(AND(S80="",NOT(F80="")),#REF!,S80)))</f>
        <v>2.5</v>
      </c>
      <c r="I80" s="112" t="str">
        <f>IF(M80="", "", IF(OR(M80="반탈피", ISNUMBER(SEARCH("JOINT", M80))), "반", "완"))</f>
        <v>완</v>
      </c>
      <c r="J80" s="111">
        <f>IF(RIGHT(N80,5)="JOINT",IF(MID(D80,3,6)="1007#2","15","17"),IF(RIGHT(N80,6)="SPLICE",8,IF(AND(T80="",NOT(F80="")),#REF!,T80)))</f>
        <v>1.9</v>
      </c>
      <c r="K80" s="112" t="str">
        <f>IF(N80="", "", IF(OR(N80="반탈피", ISNUMBER(SEARCH("JOINT", N80))), "반", "완"))</f>
        <v>완</v>
      </c>
      <c r="L80" s="4"/>
      <c r="M80" s="4" t="s">
        <v>58</v>
      </c>
      <c r="N80" s="4" t="s">
        <v>1036</v>
      </c>
      <c r="O80" s="114"/>
      <c r="P80" s="3" t="s">
        <v>998</v>
      </c>
      <c r="Q80" s="114"/>
      <c r="R80" s="97" t="s">
        <v>1055</v>
      </c>
      <c r="S80" s="33">
        <f>IFERROR(VLOOKUP(M80,'DATA(STRIP LENGTH)'!A:C,3,0),"")</f>
        <v>2.5</v>
      </c>
      <c r="T80" s="33">
        <f>IFERROR(VLOOKUP(N80,'DATA(STRIP LENGTH)'!A:C,3,0),"")</f>
        <v>1.9</v>
      </c>
      <c r="U80" s="32" t="str">
        <f>IFERROR(VLOOKUP(M80,이원화!A:B,2,0),"")</f>
        <v>WB20L-61209</v>
      </c>
      <c r="V80" s="32" t="str">
        <f>IFERROR(VLOOKUP(N80,이원화!A:B,2,0),"")</f>
        <v>YST025L3</v>
      </c>
      <c r="W80" s="82" t="str">
        <f t="shared" si="11"/>
        <v xml:space="preserve">1767C-3
</v>
      </c>
    </row>
    <row r="81" spans="2:23" ht="17.399999999999999" customHeight="1">
      <c r="B81" s="158"/>
      <c r="C81" s="101">
        <v>66</v>
      </c>
      <c r="D81" s="117"/>
      <c r="E81" s="100" t="s">
        <v>923</v>
      </c>
      <c r="F81" s="155"/>
      <c r="G81" s="4">
        <v>1</v>
      </c>
      <c r="H81" s="111">
        <f>IF(RIGHT(M81,5)="JOINT",IF(MID(D81,3,6)="1007#2","15","17"),IF(RIGHT(M81,6)="SPLICE",8,IF(AND(S81="",NOT(F81="")),#REF!,S81)))</f>
        <v>2.5</v>
      </c>
      <c r="I81" s="112" t="str">
        <f t="shared" ref="I81:I82" si="13">IF(M81="", "", IF(OR(M81="반탈피", ISNUMBER(SEARCH("JOINT", M81))), "반", "완"))</f>
        <v>완</v>
      </c>
      <c r="J81" s="111">
        <f>IF(RIGHT(N81,5)="JOINT",IF(MID(D81,3,6)="1007#2","15","17"),IF(RIGHT(N81,6)="SPLICE",8,IF(AND(T81="",NOT(F81="")),#REF!,T81)))</f>
        <v>1.9</v>
      </c>
      <c r="K81" s="112" t="str">
        <f t="shared" ref="K81:K82" si="14">IF(N81="", "", IF(OR(N81="반탈피", ISNUMBER(SEARCH("JOINT", N81))), "반", "완"))</f>
        <v>완</v>
      </c>
      <c r="L81" s="4"/>
      <c r="M81" s="4" t="s">
        <v>58</v>
      </c>
      <c r="N81" s="4" t="s">
        <v>1036</v>
      </c>
      <c r="O81" s="114"/>
      <c r="P81" s="3" t="s">
        <v>999</v>
      </c>
      <c r="Q81" s="114"/>
      <c r="R81" s="97" t="s">
        <v>1056</v>
      </c>
      <c r="S81" s="33">
        <f>IFERROR(VLOOKUP(M81,'DATA(STRIP LENGTH)'!A:C,3,0),"")</f>
        <v>2.5</v>
      </c>
      <c r="T81" s="33">
        <f>IFERROR(VLOOKUP(N81,'DATA(STRIP LENGTH)'!A:C,3,0),"")</f>
        <v>1.9</v>
      </c>
      <c r="U81" s="32" t="str">
        <f>IFERROR(VLOOKUP(M81,이원화!A:B,2,0),"")</f>
        <v>WB20L-61209</v>
      </c>
      <c r="V81" s="32" t="str">
        <f>IFERROR(VLOOKUP(N81,이원화!A:B,2,0),"")</f>
        <v>YST025L3</v>
      </c>
      <c r="W81" s="82" t="str">
        <f t="shared" si="11"/>
        <v xml:space="preserve">1767C-3
</v>
      </c>
    </row>
    <row r="82" spans="2:23" ht="17.399999999999999" customHeight="1">
      <c r="B82" s="159"/>
      <c r="C82" s="101">
        <v>67</v>
      </c>
      <c r="D82" s="118"/>
      <c r="E82" s="100" t="s">
        <v>923</v>
      </c>
      <c r="F82" s="149"/>
      <c r="G82" s="4">
        <v>1</v>
      </c>
      <c r="H82" s="111">
        <f>IF(RIGHT(M82,5)="JOINT",IF(MID(D82,3,6)="1007#2","15","17"),IF(RIGHT(M82,6)="SPLICE",8,IF(AND(S82="",NOT(F82="")),#REF!,S82)))</f>
        <v>2.5</v>
      </c>
      <c r="I82" s="112" t="str">
        <f t="shared" si="13"/>
        <v>완</v>
      </c>
      <c r="J82" s="111">
        <f>IF(RIGHT(N82,5)="JOINT",IF(MID(D82,3,6)="1007#2","15","17"),IF(RIGHT(N82,6)="SPLICE",8,IF(AND(T82="",NOT(F82="")),#REF!,T82)))</f>
        <v>1.9</v>
      </c>
      <c r="K82" s="112" t="str">
        <f t="shared" si="14"/>
        <v>완</v>
      </c>
      <c r="L82" s="4"/>
      <c r="M82" s="4" t="s">
        <v>58</v>
      </c>
      <c r="N82" s="4" t="s">
        <v>1036</v>
      </c>
      <c r="O82" s="115"/>
      <c r="P82" s="3" t="s">
        <v>1000</v>
      </c>
      <c r="Q82" s="115"/>
      <c r="R82" s="97" t="s">
        <v>1057</v>
      </c>
      <c r="S82" s="33">
        <f>IFERROR(VLOOKUP(M82,'DATA(STRIP LENGTH)'!A:C,3,0),"")</f>
        <v>2.5</v>
      </c>
      <c r="T82" s="33">
        <f>IFERROR(VLOOKUP(N82,'DATA(STRIP LENGTH)'!A:C,3,0),"")</f>
        <v>1.9</v>
      </c>
      <c r="U82" s="32" t="str">
        <f>IFERROR(VLOOKUP(M82,이원화!A:B,2,0),"")</f>
        <v>WB20L-61209</v>
      </c>
      <c r="V82" s="32" t="str">
        <f>IFERROR(VLOOKUP(N82,이원화!A:B,2,0),"")</f>
        <v>YST025L3</v>
      </c>
      <c r="W82" s="82" t="str">
        <f t="shared" si="11"/>
        <v xml:space="preserve">1767C-3
</v>
      </c>
    </row>
    <row r="83" spans="2:23" ht="17.399999999999999" customHeight="1">
      <c r="B83" s="90"/>
      <c r="C83" s="3"/>
      <c r="D83" s="98"/>
      <c r="E83" s="100"/>
      <c r="F83" s="100"/>
      <c r="G83" s="101"/>
      <c r="H83" s="102"/>
      <c r="I83" s="103"/>
      <c r="J83" s="102"/>
      <c r="K83" s="103"/>
      <c r="L83" s="101"/>
      <c r="M83" s="101"/>
      <c r="N83" s="101"/>
      <c r="O83" s="4"/>
      <c r="P83" s="3"/>
      <c r="Q83" s="4"/>
      <c r="R83" s="3"/>
      <c r="W83" s="82"/>
    </row>
    <row r="84" spans="2:23" ht="17.399999999999999" customHeight="1"/>
    <row r="85" spans="2:23" ht="17.399999999999999" customHeight="1"/>
    <row r="86" spans="2:23" ht="17.399999999999999" customHeight="1"/>
    <row r="87" spans="2:23" ht="17.399999999999999" customHeight="1"/>
    <row r="88" spans="2:23" ht="17.399999999999999" customHeight="1"/>
    <row r="89" spans="2:23" ht="17.399999999999999" customHeight="1"/>
    <row r="90" spans="2:23" ht="17.399999999999999" customHeight="1"/>
    <row r="91" spans="2:23" ht="17.399999999999999" customHeight="1"/>
    <row r="92" spans="2:23" ht="17.399999999999999" customHeight="1"/>
    <row r="93" spans="2:23" ht="17.399999999999999" customHeight="1"/>
    <row r="94" spans="2:23" ht="17.399999999999999" customHeight="1"/>
    <row r="95" spans="2:23" ht="17.399999999999999" customHeight="1"/>
    <row r="96" spans="2:23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</sheetData>
  <autoFilter ref="A27:W82" xr:uid="{00000000-0009-0000-0000-000000000000}"/>
  <mergeCells count="81">
    <mergeCell ref="B6:B13"/>
    <mergeCell ref="F72:F76"/>
    <mergeCell ref="F77:F79"/>
    <mergeCell ref="F80:F82"/>
    <mergeCell ref="F41:F43"/>
    <mergeCell ref="F45:F49"/>
    <mergeCell ref="F50:F54"/>
    <mergeCell ref="F70:F71"/>
    <mergeCell ref="F57:F61"/>
    <mergeCell ref="F62:F67"/>
    <mergeCell ref="B28:B43"/>
    <mergeCell ref="B45:B68"/>
    <mergeCell ref="E6:I6"/>
    <mergeCell ref="E11:I11"/>
    <mergeCell ref="B70:B82"/>
    <mergeCell ref="M6:N6"/>
    <mergeCell ref="E7:I7"/>
    <mergeCell ref="E9:I9"/>
    <mergeCell ref="M9:N9"/>
    <mergeCell ref="E10:I10"/>
    <mergeCell ref="M10:N10"/>
    <mergeCell ref="M11:N11"/>
    <mergeCell ref="M7:N7"/>
    <mergeCell ref="E8:I8"/>
    <mergeCell ref="F38:F39"/>
    <mergeCell ref="M8:N8"/>
    <mergeCell ref="F32:F33"/>
    <mergeCell ref="E12:I12"/>
    <mergeCell ref="M26:M27"/>
    <mergeCell ref="N26:N27"/>
    <mergeCell ref="M13:N13"/>
    <mergeCell ref="E14:I14"/>
    <mergeCell ref="M14:N14"/>
    <mergeCell ref="B1:N2"/>
    <mergeCell ref="B3:L4"/>
    <mergeCell ref="M3:N3"/>
    <mergeCell ref="C5:D5"/>
    <mergeCell ref="E5:G5"/>
    <mergeCell ref="H5:L5"/>
    <mergeCell ref="U26:V26"/>
    <mergeCell ref="B15:B23"/>
    <mergeCell ref="C15:N23"/>
    <mergeCell ref="C24:D24"/>
    <mergeCell ref="E24:G24"/>
    <mergeCell ref="H24:L24"/>
    <mergeCell ref="M24:N25"/>
    <mergeCell ref="B25:B27"/>
    <mergeCell ref="C25:G26"/>
    <mergeCell ref="H25:K25"/>
    <mergeCell ref="L25:L27"/>
    <mergeCell ref="S26:T26"/>
    <mergeCell ref="O27:P27"/>
    <mergeCell ref="Q27:R27"/>
    <mergeCell ref="H26:I26"/>
    <mergeCell ref="J26:K26"/>
    <mergeCell ref="Q28:Q31"/>
    <mergeCell ref="Q32:Q33"/>
    <mergeCell ref="M12:N12"/>
    <mergeCell ref="E13:I13"/>
    <mergeCell ref="D70:D71"/>
    <mergeCell ref="D32:D33"/>
    <mergeCell ref="D45:D49"/>
    <mergeCell ref="D50:D54"/>
    <mergeCell ref="D57:D61"/>
    <mergeCell ref="D41:D43"/>
    <mergeCell ref="D38:D39"/>
    <mergeCell ref="O45:O68"/>
    <mergeCell ref="O28:O43"/>
    <mergeCell ref="O70:O82"/>
    <mergeCell ref="Q70:Q76"/>
    <mergeCell ref="Q34:Q37"/>
    <mergeCell ref="Q38:Q40"/>
    <mergeCell ref="D80:D82"/>
    <mergeCell ref="D62:D67"/>
    <mergeCell ref="D72:D76"/>
    <mergeCell ref="D77:D79"/>
    <mergeCell ref="Q41:Q43"/>
    <mergeCell ref="Q45:Q54"/>
    <mergeCell ref="Q55:Q56"/>
    <mergeCell ref="Q57:Q68"/>
    <mergeCell ref="Q77:Q82"/>
  </mergeCells>
  <phoneticPr fontId="64" type="noConversion"/>
  <conditionalFormatting sqref="B1:N6 C7:N14 B15:N27 B28:D28 B44:D45 B69:B70 B84:N1048576">
    <cfRule type="cellIs" dxfId="43" priority="25" operator="equal">
      <formula>"BLU"</formula>
    </cfRule>
  </conditionalFormatting>
  <conditionalFormatting sqref="C29:D32 C33 C34:D43 C46:C54 C55:D56 D57 C57:C61 C62:D62 C63:C67 C68:D72 C73:C76 C77:D77 C78:C82 D80 B83:C83">
    <cfRule type="cellIs" dxfId="42" priority="134" operator="equal">
      <formula>"BLU"</formula>
    </cfRule>
  </conditionalFormatting>
  <conditionalFormatting sqref="D50">
    <cfRule type="cellIs" dxfId="41" priority="24" operator="equal">
      <formula>"BLU"</formula>
    </cfRule>
  </conditionalFormatting>
  <conditionalFormatting sqref="E5:E14">
    <cfRule type="cellIs" dxfId="40" priority="126" operator="equal">
      <formula>"GRN"</formula>
    </cfRule>
    <cfRule type="cellIs" dxfId="39" priority="127" operator="equal">
      <formula>"GRY"</formula>
    </cfRule>
    <cfRule type="cellIs" dxfId="38" priority="128" operator="equal">
      <formula>"VIO"</formula>
    </cfRule>
    <cfRule type="cellIs" dxfId="37" priority="129" operator="equal">
      <formula>"PNK"</formula>
    </cfRule>
    <cfRule type="cellIs" dxfId="36" priority="130" operator="equal">
      <formula>"YEL"</formula>
    </cfRule>
    <cfRule type="cellIs" dxfId="35" priority="131" operator="equal">
      <formula>"BLK"</formula>
    </cfRule>
    <cfRule type="cellIs" dxfId="34" priority="132" operator="equal">
      <formula>"BRN"</formula>
    </cfRule>
    <cfRule type="cellIs" dxfId="33" priority="133" operator="equal">
      <formula>"RED"</formula>
    </cfRule>
  </conditionalFormatting>
  <conditionalFormatting sqref="H1:H27 J1:J27 H84:H1048576 J84:J1048576">
    <cfRule type="containsErrors" dxfId="32" priority="151">
      <formula>ISERROR(H1)</formula>
    </cfRule>
  </conditionalFormatting>
  <conditionalFormatting sqref="O69:R1048576 O1:R28 P46:R68 O44:R45 P29:R43">
    <cfRule type="duplicateValues" dxfId="31" priority="152"/>
  </conditionalFormatting>
  <printOptions horizontalCentered="1"/>
  <pageMargins left="0" right="0" top="0" bottom="0" header="0.31496062992126" footer="0.31496062992126"/>
  <pageSetup paperSize="9" scale="71" orientation="portrait" r:id="rId1"/>
  <headerFooter>
    <oddFooter>&amp;L양식 SLQD-04-03&amp;C&amp;16CẮT 39EA
19/12/2025&amp;RA4(290 X 210)</oddFooter>
  </headerFooter>
  <rowBreaks count="1" manualBreakCount="1">
    <brk id="43" min="1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"/>
  <sheetViews>
    <sheetView showGridLines="0" topLeftCell="A11" zoomScaleNormal="100" workbookViewId="0">
      <selection activeCell="M26" sqref="M26"/>
    </sheetView>
  </sheetViews>
  <sheetFormatPr defaultColWidth="8.69921875" defaultRowHeight="17.399999999999999"/>
  <cols>
    <col min="1" max="1" width="6.3984375" style="58" customWidth="1"/>
    <col min="2" max="2" width="14.19921875" style="58" bestFit="1" customWidth="1"/>
    <col min="3" max="3" width="10.3984375" style="58" bestFit="1" customWidth="1"/>
    <col min="4" max="4" width="28" style="64" bestFit="1" customWidth="1"/>
    <col min="5" max="5" width="8.69921875" style="65" bestFit="1" customWidth="1"/>
    <col min="6" max="6" width="10.3984375" style="65" bestFit="1" customWidth="1"/>
    <col min="7" max="7" width="12.19921875" style="58" bestFit="1" customWidth="1"/>
    <col min="8" max="8" width="12.8984375" style="66" bestFit="1" customWidth="1"/>
    <col min="9" max="9" width="15.3984375" style="58" customWidth="1"/>
    <col min="10" max="10" width="8.69921875" style="58" hidden="1" customWidth="1"/>
    <col min="11" max="11" width="10.3984375" style="58" hidden="1" customWidth="1"/>
    <col min="12" max="12" width="18.3984375" style="58" bestFit="1" customWidth="1"/>
    <col min="13" max="13" width="13.3984375" style="59" bestFit="1" customWidth="1"/>
    <col min="14" max="16" width="8.69921875" style="58"/>
    <col min="17" max="17" width="13.3984375" style="58" customWidth="1"/>
    <col min="18" max="18" width="6.3984375" style="58" bestFit="1" customWidth="1"/>
    <col min="19" max="19" width="25.19921875" style="58" customWidth="1"/>
    <col min="20" max="16384" width="8.69921875" style="58"/>
  </cols>
  <sheetData>
    <row r="1" spans="1:13">
      <c r="A1" s="165" t="s">
        <v>1085</v>
      </c>
      <c r="B1" s="166"/>
      <c r="C1" s="166"/>
      <c r="D1" s="166"/>
      <c r="E1" s="166"/>
      <c r="F1" s="166"/>
      <c r="G1" s="166"/>
      <c r="H1" s="166"/>
      <c r="I1" s="166"/>
      <c r="J1" s="57"/>
    </row>
    <row r="2" spans="1:13">
      <c r="A2" s="166"/>
      <c r="B2" s="166"/>
      <c r="C2" s="166"/>
      <c r="D2" s="166"/>
      <c r="E2" s="166"/>
      <c r="F2" s="166"/>
      <c r="G2" s="166"/>
      <c r="H2" s="166"/>
      <c r="I2" s="166"/>
      <c r="J2" s="57"/>
    </row>
    <row r="3" spans="1:13">
      <c r="A3" s="60" t="s">
        <v>710</v>
      </c>
      <c r="B3" s="60" t="s">
        <v>709</v>
      </c>
      <c r="C3" s="60" t="s">
        <v>708</v>
      </c>
      <c r="D3" s="60" t="s">
        <v>903</v>
      </c>
      <c r="E3" s="60" t="s">
        <v>707</v>
      </c>
      <c r="F3" s="60" t="s">
        <v>706</v>
      </c>
      <c r="G3" s="60" t="s">
        <v>705</v>
      </c>
      <c r="H3" s="61" t="s">
        <v>704</v>
      </c>
      <c r="I3" s="60" t="s">
        <v>703</v>
      </c>
      <c r="J3" s="62" t="s">
        <v>702</v>
      </c>
      <c r="K3" s="62" t="s">
        <v>701</v>
      </c>
      <c r="L3" s="62" t="s">
        <v>711</v>
      </c>
    </row>
    <row r="4" spans="1:13">
      <c r="A4" s="63">
        <f>ROW(A4)-3</f>
        <v>1</v>
      </c>
      <c r="B4" s="70" t="str">
        <f t="shared" ref="B4:C9" si="0">J4</f>
        <v>HOUSING</v>
      </c>
      <c r="C4" s="70" t="str">
        <f t="shared" si="0"/>
        <v>HOU1810</v>
      </c>
      <c r="D4" s="91" t="s">
        <v>1005</v>
      </c>
      <c r="E4" s="67" t="s">
        <v>1013</v>
      </c>
      <c r="F4" s="67">
        <v>1</v>
      </c>
      <c r="G4" s="71"/>
      <c r="H4" s="160" t="s">
        <v>1009</v>
      </c>
      <c r="I4" s="41" t="s">
        <v>1024</v>
      </c>
      <c r="J4" s="40" t="str">
        <f>VLOOKUP(D4,[1]자코드!$F:$H,2,0)</f>
        <v>HOUSING</v>
      </c>
      <c r="K4" s="64" t="str">
        <f>VLOOKUP(D4,[1]자코드!$F:$H,3,0)</f>
        <v>HOU1810</v>
      </c>
      <c r="L4" s="64" t="str">
        <f>IFERROR(VLOOKUP(D4,[2]이원화!A:B,2,0),"")</f>
        <v>WB20M-026-411</v>
      </c>
      <c r="M4" s="56"/>
    </row>
    <row r="5" spans="1:13">
      <c r="A5" s="63">
        <f>ROW(A5)-3</f>
        <v>2</v>
      </c>
      <c r="B5" s="70" t="str">
        <f t="shared" si="0"/>
        <v>TPA</v>
      </c>
      <c r="C5" s="70" t="str">
        <f t="shared" si="0"/>
        <v>TPA0341</v>
      </c>
      <c r="D5" s="91" t="s">
        <v>1007</v>
      </c>
      <c r="E5" s="67" t="s">
        <v>1013</v>
      </c>
      <c r="F5" s="67">
        <v>2</v>
      </c>
      <c r="G5" s="71"/>
      <c r="H5" s="160"/>
      <c r="I5" s="41" t="s">
        <v>1024</v>
      </c>
      <c r="J5" s="40" t="str">
        <f>VLOOKUP(D5,[1]자코드!$F:$H,2,0)</f>
        <v>TPA</v>
      </c>
      <c r="K5" s="64" t="str">
        <f>VLOOKUP(D5,[1]자코드!$F:$H,3,0)</f>
        <v>TPA0341</v>
      </c>
      <c r="L5" s="64" t="str">
        <f>IFERROR(VLOOKUP(D5,[2]이원화!A:B,2,0),"")</f>
        <v>WB20M-026-454</v>
      </c>
      <c r="M5" s="56"/>
    </row>
    <row r="6" spans="1:13">
      <c r="A6" s="63">
        <f>ROW(A6)-3</f>
        <v>3</v>
      </c>
      <c r="B6" s="70" t="str">
        <f t="shared" si="0"/>
        <v>HOUSING</v>
      </c>
      <c r="C6" s="70" t="str">
        <f t="shared" si="0"/>
        <v>HOU1790</v>
      </c>
      <c r="D6" s="91" t="s">
        <v>1059</v>
      </c>
      <c r="E6" s="67" t="s">
        <v>1013</v>
      </c>
      <c r="F6" s="67">
        <v>1</v>
      </c>
      <c r="G6" s="71"/>
      <c r="H6" s="161" t="s">
        <v>1058</v>
      </c>
      <c r="I6" s="41" t="s">
        <v>1024</v>
      </c>
      <c r="J6" s="40" t="str">
        <f>VLOOKUP(D6,[1]자코드!$F:$H,2,0)</f>
        <v>HOUSING</v>
      </c>
      <c r="K6" s="64" t="str">
        <f>VLOOKUP(D6,[1]자코드!$F:$H,3,0)</f>
        <v>HOU1790</v>
      </c>
      <c r="L6" s="64" t="str">
        <f>IFERROR(VLOOKUP(D6,[2]이원화!A:B,2,0),"")</f>
        <v>SMH250-12LZ</v>
      </c>
      <c r="M6" s="56"/>
    </row>
    <row r="7" spans="1:13">
      <c r="A7" s="63">
        <f t="shared" ref="A7" si="1">ROW(A7)-3</f>
        <v>4</v>
      </c>
      <c r="B7" s="70" t="str">
        <f t="shared" si="0"/>
        <v>TPA</v>
      </c>
      <c r="C7" s="70" t="str">
        <f t="shared" si="0"/>
        <v>TPA0335</v>
      </c>
      <c r="D7" s="91" t="s">
        <v>1060</v>
      </c>
      <c r="E7" s="67" t="s">
        <v>1013</v>
      </c>
      <c r="F7" s="67">
        <v>1</v>
      </c>
      <c r="G7" s="71"/>
      <c r="H7" s="162"/>
      <c r="I7" s="41" t="s">
        <v>1024</v>
      </c>
      <c r="J7" s="40" t="str">
        <f>VLOOKUP(D7,[1]자코드!$F:$H,2,0)</f>
        <v>TPA</v>
      </c>
      <c r="K7" s="64" t="str">
        <f>VLOOKUP(D7,[1]자코드!$F:$H,3,0)</f>
        <v>TPA0335</v>
      </c>
      <c r="L7" s="64" t="str">
        <f>IFERROR(VLOOKUP(D7,[2]이원화!A:B,2,0),"")</f>
        <v>SMH250J-12RT(RE)</v>
      </c>
      <c r="M7" s="56"/>
    </row>
    <row r="8" spans="1:13">
      <c r="A8" s="63">
        <f>ROW(A8)-3</f>
        <v>5</v>
      </c>
      <c r="B8" s="70" t="str">
        <f t="shared" si="0"/>
        <v>HOUSING</v>
      </c>
      <c r="C8" s="70" t="str">
        <f t="shared" si="0"/>
        <v>HOU1788</v>
      </c>
      <c r="D8" s="91" t="s">
        <v>1061</v>
      </c>
      <c r="E8" s="67" t="s">
        <v>1013</v>
      </c>
      <c r="F8" s="67">
        <v>1</v>
      </c>
      <c r="G8" s="71"/>
      <c r="H8" s="167" t="s">
        <v>1027</v>
      </c>
      <c r="I8" s="41" t="s">
        <v>1024</v>
      </c>
      <c r="J8" s="40" t="str">
        <f>VLOOKUP(D8,[1]자코드!$F:$H,2,0)</f>
        <v>HOUSING</v>
      </c>
      <c r="K8" s="64" t="str">
        <f>VLOOKUP(D8,[1]자코드!$F:$H,3,0)</f>
        <v>HOU1788</v>
      </c>
      <c r="L8" s="64" t="str">
        <f>IFERROR(VLOOKUP(D8,[2]이원화!A:B,2,0),"")</f>
        <v>SMH250-10LZ</v>
      </c>
      <c r="M8" s="56"/>
    </row>
    <row r="9" spans="1:13">
      <c r="A9" s="63">
        <f>ROW(A9)-3</f>
        <v>6</v>
      </c>
      <c r="B9" s="70" t="str">
        <f t="shared" si="0"/>
        <v>TPA</v>
      </c>
      <c r="C9" s="70" t="str">
        <f t="shared" si="0"/>
        <v>TPA0333</v>
      </c>
      <c r="D9" s="91" t="s">
        <v>1062</v>
      </c>
      <c r="E9" s="67" t="s">
        <v>1013</v>
      </c>
      <c r="F9" s="67">
        <v>1</v>
      </c>
      <c r="G9" s="71"/>
      <c r="H9" s="167"/>
      <c r="I9" s="41" t="s">
        <v>1024</v>
      </c>
      <c r="J9" s="40" t="str">
        <f>VLOOKUP(D9,[1]자코드!$F:$H,2,0)</f>
        <v>TPA</v>
      </c>
      <c r="K9" s="64" t="str">
        <f>VLOOKUP(D9,[1]자코드!$F:$H,3,0)</f>
        <v>TPA0333</v>
      </c>
      <c r="L9" s="64" t="str">
        <f>IFERROR(VLOOKUP(D9,[2]이원화!A:B,2,0),"")</f>
        <v>SMH250J-10RT(RE)</v>
      </c>
      <c r="M9" s="56"/>
    </row>
    <row r="10" spans="1:13">
      <c r="A10" s="63"/>
      <c r="B10" s="70"/>
      <c r="C10" s="70"/>
      <c r="D10" s="91"/>
      <c r="E10" s="67"/>
      <c r="F10" s="67"/>
      <c r="G10" s="71"/>
      <c r="H10" s="89"/>
      <c r="I10" s="93"/>
      <c r="J10" s="40"/>
      <c r="K10" s="64"/>
      <c r="L10" s="64"/>
      <c r="M10" s="56"/>
    </row>
    <row r="11" spans="1:13">
      <c r="A11" s="63">
        <f>ROW(A11)-3</f>
        <v>8</v>
      </c>
      <c r="B11" s="70" t="str">
        <f>J11</f>
        <v>HOUSING</v>
      </c>
      <c r="C11" s="70" t="str">
        <f>K11</f>
        <v>HOU1809</v>
      </c>
      <c r="D11" s="91" t="s">
        <v>1014</v>
      </c>
      <c r="E11" s="67" t="s">
        <v>1013</v>
      </c>
      <c r="F11" s="67">
        <v>1</v>
      </c>
      <c r="G11" s="88"/>
      <c r="H11" s="160" t="s">
        <v>1008</v>
      </c>
      <c r="I11" s="41" t="s">
        <v>1025</v>
      </c>
      <c r="J11" s="40" t="str">
        <f>VLOOKUP(D11,[1]자코드!$F:$H,2,0)</f>
        <v>HOUSING</v>
      </c>
      <c r="K11" s="64" t="str">
        <f>VLOOKUP(D11,[1]자코드!$F:$H,3,0)</f>
        <v>HOU1809</v>
      </c>
      <c r="L11" s="64" t="str">
        <f>IFERROR(VLOOKUP(D11,[2]이원화!A:B,2,0),"")</f>
        <v>WB20M-028-411</v>
      </c>
      <c r="M11" s="56"/>
    </row>
    <row r="12" spans="1:13">
      <c r="A12" s="63">
        <f t="shared" ref="A12:A56" si="2">ROW(A12)-3</f>
        <v>9</v>
      </c>
      <c r="B12" s="70" t="str">
        <f t="shared" ref="B12:B56" si="3">J12</f>
        <v>TPA</v>
      </c>
      <c r="C12" s="70" t="str">
        <f t="shared" ref="C12:C56" si="4">K12</f>
        <v>TPA0340</v>
      </c>
      <c r="D12" s="91" t="s">
        <v>414</v>
      </c>
      <c r="E12" s="67" t="s">
        <v>1013</v>
      </c>
      <c r="F12" s="67">
        <v>2</v>
      </c>
      <c r="G12" s="88"/>
      <c r="H12" s="160"/>
      <c r="I12" s="41" t="s">
        <v>1025</v>
      </c>
      <c r="J12" s="40" t="str">
        <f>VLOOKUP(D12,[1]자코드!$F:$H,2,0)</f>
        <v>TPA</v>
      </c>
      <c r="K12" s="64" t="str">
        <f>VLOOKUP(D12,[1]자코드!$F:$H,3,0)</f>
        <v>TPA0340</v>
      </c>
      <c r="L12" s="64" t="str">
        <f>IFERROR(VLOOKUP(D12,[2]이원화!A:B,2,0),"")</f>
        <v>WB20M-028-454</v>
      </c>
      <c r="M12" s="56"/>
    </row>
    <row r="13" spans="1:13">
      <c r="A13" s="63">
        <f>ROW(A13)-3</f>
        <v>10</v>
      </c>
      <c r="B13" s="70" t="s">
        <v>1070</v>
      </c>
      <c r="C13" s="70" t="s">
        <v>1069</v>
      </c>
      <c r="D13" s="91" t="s">
        <v>1068</v>
      </c>
      <c r="E13" s="67" t="s">
        <v>1013</v>
      </c>
      <c r="F13" s="67">
        <v>1</v>
      </c>
      <c r="G13" s="71"/>
      <c r="H13" s="160" t="s">
        <v>1063</v>
      </c>
      <c r="I13" s="41" t="s">
        <v>1025</v>
      </c>
      <c r="J13" s="40" t="e">
        <f>VLOOKUP(D13,[1]자코드!$F:$H,2,0)</f>
        <v>#N/A</v>
      </c>
      <c r="K13" s="64" t="e">
        <f>VLOOKUP(D13,[1]자코드!$F:$H,3,0)</f>
        <v>#N/A</v>
      </c>
      <c r="L13" s="64" t="str">
        <f>IFERROR(VLOOKUP(D13,[2]이원화!A:B,2,0),"")</f>
        <v/>
      </c>
      <c r="M13" s="56"/>
    </row>
    <row r="14" spans="1:13">
      <c r="A14" s="63">
        <f>ROW(A14)-3</f>
        <v>11</v>
      </c>
      <c r="B14" s="70" t="str">
        <f t="shared" ref="B14:C17" si="5">J14</f>
        <v>TPA</v>
      </c>
      <c r="C14" s="70" t="str">
        <f t="shared" si="5"/>
        <v>TPA0161</v>
      </c>
      <c r="D14" s="91" t="s">
        <v>904</v>
      </c>
      <c r="E14" s="67" t="s">
        <v>1013</v>
      </c>
      <c r="F14" s="67">
        <v>2</v>
      </c>
      <c r="G14" s="71"/>
      <c r="H14" s="160"/>
      <c r="I14" s="41" t="s">
        <v>1025</v>
      </c>
      <c r="J14" s="40" t="str">
        <f>VLOOKUP(D14,[1]자코드!$F:$H,2,0)</f>
        <v>TPA</v>
      </c>
      <c r="K14" s="64" t="str">
        <f>VLOOKUP(D14,[1]자코드!$F:$H,3,0)</f>
        <v>TPA0161</v>
      </c>
      <c r="L14" s="64" t="str">
        <f>IFERROR(VLOOKUP(D14,[2]이원화!A:B,2,0),"")</f>
        <v/>
      </c>
      <c r="M14" s="56"/>
    </row>
    <row r="15" spans="1:13">
      <c r="A15" s="63">
        <f>ROW(A15)-3</f>
        <v>12</v>
      </c>
      <c r="B15" s="70" t="s">
        <v>1079</v>
      </c>
      <c r="C15" s="70" t="s">
        <v>1078</v>
      </c>
      <c r="D15" s="99" t="s">
        <v>1077</v>
      </c>
      <c r="E15" s="67" t="s">
        <v>1013</v>
      </c>
      <c r="F15" s="67">
        <v>1</v>
      </c>
      <c r="G15" s="71"/>
      <c r="H15" s="167" t="s">
        <v>1011</v>
      </c>
      <c r="I15" s="41" t="s">
        <v>1025</v>
      </c>
      <c r="J15" s="40" t="e">
        <f>VLOOKUP(D15,[1]자코드!$F:$H,2,0)</f>
        <v>#N/A</v>
      </c>
      <c r="K15" s="64" t="e">
        <f>VLOOKUP(D15,[1]자코드!$F:$H,3,0)</f>
        <v>#N/A</v>
      </c>
      <c r="L15" s="64" t="str">
        <f>IFERROR(VLOOKUP(D15,[2]이원화!A:B,2,0),"")</f>
        <v>25045HP-12AZ</v>
      </c>
      <c r="M15" s="56"/>
    </row>
    <row r="16" spans="1:13">
      <c r="A16" s="63">
        <f>ROW(A16)-3</f>
        <v>13</v>
      </c>
      <c r="B16" s="70" t="str">
        <f t="shared" si="5"/>
        <v>TPA</v>
      </c>
      <c r="C16" s="70" t="str">
        <f t="shared" si="5"/>
        <v>TPA0335</v>
      </c>
      <c r="D16" s="99" t="s">
        <v>1060</v>
      </c>
      <c r="E16" s="67" t="s">
        <v>1013</v>
      </c>
      <c r="F16" s="67">
        <v>1</v>
      </c>
      <c r="G16" s="71"/>
      <c r="H16" s="167"/>
      <c r="I16" s="41" t="s">
        <v>1025</v>
      </c>
      <c r="J16" s="40" t="str">
        <f>VLOOKUP(D16,[1]자코드!$F:$H,2,0)</f>
        <v>TPA</v>
      </c>
      <c r="K16" s="64" t="str">
        <f>VLOOKUP(D16,[1]자코드!$F:$H,3,0)</f>
        <v>TPA0335</v>
      </c>
      <c r="L16" s="64" t="str">
        <f>IFERROR(VLOOKUP(D16,[2]이원화!A:B,2,0),"")</f>
        <v>SMH250J-12RT(RE)</v>
      </c>
      <c r="M16" s="56"/>
    </row>
    <row r="17" spans="1:13">
      <c r="A17" s="63">
        <f>ROW(A17)-3</f>
        <v>14</v>
      </c>
      <c r="B17" s="70" t="str">
        <f t="shared" si="5"/>
        <v>HOUSING</v>
      </c>
      <c r="C17" s="70" t="str">
        <f t="shared" si="5"/>
        <v>HOU2422</v>
      </c>
      <c r="D17" s="99" t="s">
        <v>1080</v>
      </c>
      <c r="E17" s="67" t="s">
        <v>1013</v>
      </c>
      <c r="F17" s="67">
        <v>1</v>
      </c>
      <c r="G17" s="71"/>
      <c r="H17" s="163" t="s">
        <v>1064</v>
      </c>
      <c r="I17" s="41" t="s">
        <v>1025</v>
      </c>
      <c r="J17" s="40" t="str">
        <f>VLOOKUP(D17,[1]자코드!$F:$H,2,0)</f>
        <v>HOUSING</v>
      </c>
      <c r="K17" s="64" t="str">
        <f>VLOOKUP(D17,[1]자코드!$F:$H,3,0)</f>
        <v>HOU2422</v>
      </c>
      <c r="L17" s="64" t="str">
        <f>IFERROR(VLOOKUP(D17,[2]이원화!A:B,2,0),"")</f>
        <v>25045HP-07AZ</v>
      </c>
      <c r="M17" s="56"/>
    </row>
    <row r="18" spans="1:13">
      <c r="A18" s="63">
        <f t="shared" si="2"/>
        <v>15</v>
      </c>
      <c r="B18" s="70" t="str">
        <f t="shared" ref="B18" si="6">J18</f>
        <v>TPA</v>
      </c>
      <c r="C18" s="70" t="str">
        <f t="shared" ref="C18" si="7">K18</f>
        <v>TPA0330</v>
      </c>
      <c r="D18" s="99" t="s">
        <v>1081</v>
      </c>
      <c r="E18" s="67" t="s">
        <v>1013</v>
      </c>
      <c r="F18" s="67">
        <v>1</v>
      </c>
      <c r="G18" s="71"/>
      <c r="H18" s="164"/>
      <c r="I18" s="41" t="s">
        <v>1025</v>
      </c>
      <c r="J18" s="40" t="str">
        <f>VLOOKUP(D18,[1]자코드!$F:$H,2,0)</f>
        <v>TPA</v>
      </c>
      <c r="K18" s="64" t="str">
        <f>VLOOKUP(D18,[1]자코드!$F:$H,3,0)</f>
        <v>TPA0330</v>
      </c>
      <c r="L18" s="64" t="str">
        <f>IFERROR(VLOOKUP(D18,[2]이원화!A:B,2,0),"")</f>
        <v>SMH250J-07RT(RE)</v>
      </c>
      <c r="M18" s="56"/>
    </row>
    <row r="19" spans="1:13">
      <c r="A19" s="63"/>
      <c r="B19" s="70"/>
      <c r="C19" s="70"/>
      <c r="D19" s="91"/>
      <c r="E19" s="67"/>
      <c r="F19" s="67"/>
      <c r="G19" s="88"/>
      <c r="H19" s="92"/>
      <c r="I19" s="93"/>
      <c r="J19" s="40"/>
      <c r="K19" s="64"/>
      <c r="L19" s="64"/>
      <c r="M19" s="56"/>
    </row>
    <row r="20" spans="1:13">
      <c r="A20" s="63">
        <f t="shared" si="2"/>
        <v>17</v>
      </c>
      <c r="B20" s="70" t="str">
        <f t="shared" si="3"/>
        <v>HOUSING</v>
      </c>
      <c r="C20" s="70" t="str">
        <f t="shared" si="4"/>
        <v>HOU1859</v>
      </c>
      <c r="D20" s="91" t="s">
        <v>1004</v>
      </c>
      <c r="E20" s="67" t="s">
        <v>1013</v>
      </c>
      <c r="F20" s="67">
        <v>1</v>
      </c>
      <c r="G20" s="71"/>
      <c r="H20" s="160" t="s">
        <v>1010</v>
      </c>
      <c r="I20" s="41" t="s">
        <v>1026</v>
      </c>
      <c r="J20" s="40" t="str">
        <f>VLOOKUP(D20,[1]자코드!$F:$H,2,0)</f>
        <v>HOUSING</v>
      </c>
      <c r="K20" s="64" t="str">
        <f>VLOOKUP(D20,[1]자코드!$F:$H,3,0)</f>
        <v>HOU1859</v>
      </c>
      <c r="L20" s="64" t="str">
        <f>IFERROR(VLOOKUP(D20,[2]이원화!A:B,2,0),"")</f>
        <v>WB20M-024-411</v>
      </c>
      <c r="M20" s="56"/>
    </row>
    <row r="21" spans="1:13">
      <c r="A21" s="63">
        <f t="shared" si="2"/>
        <v>18</v>
      </c>
      <c r="B21" s="70" t="str">
        <f t="shared" si="3"/>
        <v>TPA</v>
      </c>
      <c r="C21" s="70" t="str">
        <f t="shared" si="4"/>
        <v>TPA0348</v>
      </c>
      <c r="D21" s="91" t="s">
        <v>1006</v>
      </c>
      <c r="E21" s="67" t="s">
        <v>1013</v>
      </c>
      <c r="F21" s="67">
        <v>2</v>
      </c>
      <c r="G21" s="71"/>
      <c r="H21" s="160"/>
      <c r="I21" s="41" t="s">
        <v>1026</v>
      </c>
      <c r="J21" s="40" t="str">
        <f>VLOOKUP(D21,[1]자코드!$F:$H,2,0)</f>
        <v>TPA</v>
      </c>
      <c r="K21" s="64" t="str">
        <f>VLOOKUP(D21,[1]자코드!$F:$H,3,0)</f>
        <v>TPA0348</v>
      </c>
      <c r="L21" s="64" t="str">
        <f>IFERROR(VLOOKUP(D21,[2]이원화!A:B,2,0),"")</f>
        <v>WB20M-024-454</v>
      </c>
      <c r="M21" s="56"/>
    </row>
    <row r="22" spans="1:13">
      <c r="A22" s="63"/>
      <c r="B22" s="70"/>
      <c r="C22" s="70"/>
      <c r="D22" s="91"/>
      <c r="E22" s="67"/>
      <c r="F22" s="67"/>
      <c r="G22" s="67"/>
      <c r="H22" s="87"/>
      <c r="I22" s="41"/>
      <c r="J22" s="40" t="e">
        <f>VLOOKUP(D22,[1]자코드!$F:$H,2,0)</f>
        <v>#N/A</v>
      </c>
      <c r="K22" s="64" t="e">
        <f>VLOOKUP(D22,[1]자코드!$F:$H,3,0)</f>
        <v>#N/A</v>
      </c>
      <c r="L22" s="64" t="str">
        <f>IFERROR(VLOOKUP(D22,[2]이원화!A:B,2,0),"")</f>
        <v/>
      </c>
      <c r="M22" s="56"/>
    </row>
    <row r="23" spans="1:13">
      <c r="A23" s="63">
        <f t="shared" si="2"/>
        <v>20</v>
      </c>
      <c r="B23" s="70" t="str">
        <f t="shared" si="3"/>
        <v>PVC TAPE</v>
      </c>
      <c r="C23" s="70" t="str">
        <f t="shared" si="4"/>
        <v>TAP0035</v>
      </c>
      <c r="D23" s="91" t="s">
        <v>897</v>
      </c>
      <c r="E23" s="67" t="s">
        <v>1016</v>
      </c>
      <c r="F23" s="71">
        <v>2.2999999999999998</v>
      </c>
      <c r="G23" s="71"/>
      <c r="H23" s="87"/>
      <c r="I23" s="41" t="s">
        <v>1015</v>
      </c>
      <c r="J23" s="40" t="str">
        <f>VLOOKUP(D23,[1]자코드!$F:$H,2,0)</f>
        <v>PVC TAPE</v>
      </c>
      <c r="K23" s="64" t="str">
        <f>VLOOKUP(D23,[1]자코드!$F:$H,3,0)</f>
        <v>TAP0035</v>
      </c>
      <c r="L23" s="64" t="str">
        <f>IFERROR(VLOOKUP(D23,[2]이원화!A:B,2,0),"")</f>
        <v/>
      </c>
      <c r="M23" s="56"/>
    </row>
    <row r="24" spans="1:13">
      <c r="A24" s="63">
        <f t="shared" si="2"/>
        <v>21</v>
      </c>
      <c r="B24" s="70" t="str">
        <f t="shared" si="3"/>
        <v>LABEL</v>
      </c>
      <c r="C24" s="70" t="str">
        <f t="shared" si="4"/>
        <v>LAB1197</v>
      </c>
      <c r="D24" s="91" t="s">
        <v>1017</v>
      </c>
      <c r="E24" s="67" t="s">
        <v>1012</v>
      </c>
      <c r="F24" s="67">
        <v>1</v>
      </c>
      <c r="G24" s="71"/>
      <c r="H24" s="87"/>
      <c r="I24" s="41" t="s">
        <v>1015</v>
      </c>
      <c r="J24" s="40" t="str">
        <f>VLOOKUP(D24,[1]자코드!$F:$H,2,0)</f>
        <v>LABEL</v>
      </c>
      <c r="K24" s="64" t="str">
        <f>VLOOKUP(D24,[1]자코드!$F:$H,3,0)</f>
        <v>LAB1197</v>
      </c>
      <c r="L24" s="64" t="str">
        <f>IFERROR(VLOOKUP(D24,[2]이원화!A:B,2,0),"")</f>
        <v/>
      </c>
      <c r="M24" s="56"/>
    </row>
    <row r="25" spans="1:13">
      <c r="A25" s="63">
        <f t="shared" si="2"/>
        <v>22</v>
      </c>
      <c r="B25" s="70" t="s">
        <v>1020</v>
      </c>
      <c r="C25" s="70" t="s">
        <v>1019</v>
      </c>
      <c r="D25" s="91" t="s">
        <v>1018</v>
      </c>
      <c r="E25" s="67" t="s">
        <v>1012</v>
      </c>
      <c r="F25" s="67">
        <v>1</v>
      </c>
      <c r="G25" s="71"/>
      <c r="H25" s="87"/>
      <c r="I25" s="41" t="s">
        <v>1015</v>
      </c>
      <c r="J25" s="40" t="e">
        <f>VLOOKUP(D25,[1]자코드!$F:$H,2,0)</f>
        <v>#N/A</v>
      </c>
      <c r="K25" s="64" t="e">
        <f>VLOOKUP(D25,[1]자코드!$F:$H,3,0)</f>
        <v>#N/A</v>
      </c>
      <c r="L25" s="64" t="str">
        <f>IFERROR(VLOOKUP(D25,[2]이원화!A:B,2,0),"")</f>
        <v/>
      </c>
      <c r="M25" s="56"/>
    </row>
    <row r="26" spans="1:13">
      <c r="A26" s="63">
        <f t="shared" si="2"/>
        <v>23</v>
      </c>
      <c r="B26" s="70" t="str">
        <f t="shared" si="3"/>
        <v>PVC TUBE</v>
      </c>
      <c r="C26" s="70" t="str">
        <f t="shared" si="4"/>
        <v>TUB0102</v>
      </c>
      <c r="D26" s="99" t="s">
        <v>1086</v>
      </c>
      <c r="E26" s="71" t="s">
        <v>1083</v>
      </c>
      <c r="F26" s="71">
        <v>7.0000000000000007E-2</v>
      </c>
      <c r="G26" s="71"/>
      <c r="H26" s="87"/>
      <c r="I26" s="41" t="s">
        <v>1015</v>
      </c>
      <c r="J26" s="40" t="str">
        <f>VLOOKUP(D26,[1]자코드!$F:$H,2,0)</f>
        <v>PVC TUBE</v>
      </c>
      <c r="K26" s="64" t="str">
        <f>VLOOKUP(D26,[1]자코드!$F:$H,3,0)</f>
        <v>TUB0102</v>
      </c>
      <c r="L26" s="64" t="str">
        <f>IFERROR(VLOOKUP(D26,[2]이원화!A:B,2,0),"")</f>
        <v/>
      </c>
      <c r="M26" s="56"/>
    </row>
    <row r="27" spans="1:13">
      <c r="A27" s="63">
        <f t="shared" si="2"/>
        <v>24</v>
      </c>
      <c r="B27" s="70" t="e">
        <f t="shared" si="3"/>
        <v>#N/A</v>
      </c>
      <c r="C27" s="70" t="e">
        <f t="shared" si="4"/>
        <v>#N/A</v>
      </c>
      <c r="D27" s="91"/>
      <c r="E27" s="67"/>
      <c r="F27" s="67"/>
      <c r="G27" s="71"/>
      <c r="H27" s="87"/>
      <c r="I27" s="41" t="s">
        <v>1015</v>
      </c>
      <c r="J27" s="40" t="e">
        <f>VLOOKUP(D27,[1]자코드!$F:$H,2,0)</f>
        <v>#N/A</v>
      </c>
      <c r="K27" s="64" t="e">
        <f>VLOOKUP(D27,[1]자코드!$F:$H,3,0)</f>
        <v>#N/A</v>
      </c>
      <c r="L27" s="64" t="str">
        <f>IFERROR(VLOOKUP(D27,[2]이원화!A:B,2,0),"")</f>
        <v/>
      </c>
      <c r="M27" s="56"/>
    </row>
    <row r="28" spans="1:13">
      <c r="A28" s="63">
        <f t="shared" si="2"/>
        <v>25</v>
      </c>
      <c r="B28" s="70" t="e">
        <f t="shared" si="3"/>
        <v>#N/A</v>
      </c>
      <c r="C28" s="70" t="e">
        <f t="shared" si="4"/>
        <v>#N/A</v>
      </c>
      <c r="D28" s="91"/>
      <c r="E28" s="67"/>
      <c r="F28" s="67"/>
      <c r="G28" s="71"/>
      <c r="H28" s="87"/>
      <c r="I28" s="93"/>
      <c r="J28" s="40" t="e">
        <f>VLOOKUP(D28,[1]자코드!$F:$H,2,0)</f>
        <v>#N/A</v>
      </c>
      <c r="K28" s="64" t="e">
        <f>VLOOKUP(D28,[1]자코드!$F:$H,3,0)</f>
        <v>#N/A</v>
      </c>
      <c r="L28" s="64" t="str">
        <f>IFERROR(VLOOKUP(D28,[2]이원화!A:B,2,0),"")</f>
        <v/>
      </c>
      <c r="M28" s="56"/>
    </row>
    <row r="29" spans="1:13">
      <c r="A29" s="63">
        <f t="shared" si="2"/>
        <v>26</v>
      </c>
      <c r="B29" s="70" t="e">
        <f t="shared" si="3"/>
        <v>#N/A</v>
      </c>
      <c r="C29" s="70" t="e">
        <f t="shared" si="4"/>
        <v>#N/A</v>
      </c>
      <c r="D29" s="91"/>
      <c r="E29" s="67"/>
      <c r="F29" s="67"/>
      <c r="G29" s="71"/>
      <c r="H29" s="87"/>
      <c r="I29" s="93"/>
      <c r="J29" s="40" t="e">
        <f>VLOOKUP(D29,[1]자코드!$F:$H,2,0)</f>
        <v>#N/A</v>
      </c>
      <c r="K29" s="64" t="e">
        <f>VLOOKUP(D29,[1]자코드!$F:$H,3,0)</f>
        <v>#N/A</v>
      </c>
      <c r="L29" s="64" t="str">
        <f>IFERROR(VLOOKUP(D29,[2]이원화!A:B,2,0),"")</f>
        <v/>
      </c>
      <c r="M29" s="56"/>
    </row>
    <row r="30" spans="1:13">
      <c r="A30" s="63">
        <f t="shared" si="2"/>
        <v>27</v>
      </c>
      <c r="B30" s="70" t="e">
        <f t="shared" si="3"/>
        <v>#N/A</v>
      </c>
      <c r="C30" s="70" t="e">
        <f t="shared" si="4"/>
        <v>#N/A</v>
      </c>
      <c r="D30" s="91"/>
      <c r="E30" s="67"/>
      <c r="F30" s="67"/>
      <c r="G30" s="71"/>
      <c r="H30" s="87"/>
      <c r="I30" s="93"/>
      <c r="J30" s="40" t="e">
        <f>VLOOKUP(D30,[1]자코드!$F:$H,2,0)</f>
        <v>#N/A</v>
      </c>
      <c r="K30" s="64" t="e">
        <f>VLOOKUP(D30,[1]자코드!$F:$H,3,0)</f>
        <v>#N/A</v>
      </c>
      <c r="L30" s="64" t="str">
        <f>IFERROR(VLOOKUP(D30,[2]이원화!A:B,2,0),"")</f>
        <v/>
      </c>
      <c r="M30" s="56"/>
    </row>
    <row r="31" spans="1:13">
      <c r="A31" s="63">
        <f t="shared" si="2"/>
        <v>28</v>
      </c>
      <c r="B31" s="70" t="e">
        <f t="shared" si="3"/>
        <v>#N/A</v>
      </c>
      <c r="C31" s="70" t="e">
        <f t="shared" si="4"/>
        <v>#N/A</v>
      </c>
      <c r="D31" s="91"/>
      <c r="E31" s="67"/>
      <c r="F31" s="67"/>
      <c r="G31" s="71"/>
      <c r="H31" s="87"/>
      <c r="I31" s="93"/>
      <c r="J31" s="40" t="e">
        <f>VLOOKUP(D31,[1]자코드!$F:$H,2,0)</f>
        <v>#N/A</v>
      </c>
      <c r="K31" s="64" t="e">
        <f>VLOOKUP(D31,[1]자코드!$F:$H,3,0)</f>
        <v>#N/A</v>
      </c>
      <c r="L31" s="64" t="str">
        <f>IFERROR(VLOOKUP(D31,[2]이원화!A:B,2,0),"")</f>
        <v/>
      </c>
      <c r="M31" s="56"/>
    </row>
    <row r="32" spans="1:13">
      <c r="A32" s="63">
        <f t="shared" si="2"/>
        <v>29</v>
      </c>
      <c r="B32" s="70" t="e">
        <f t="shared" si="3"/>
        <v>#N/A</v>
      </c>
      <c r="C32" s="70" t="e">
        <f t="shared" si="4"/>
        <v>#N/A</v>
      </c>
      <c r="D32" s="91"/>
      <c r="E32" s="67"/>
      <c r="F32" s="67"/>
      <c r="G32" s="71"/>
      <c r="H32" s="87"/>
      <c r="I32" s="93"/>
      <c r="J32" s="40" t="e">
        <f>VLOOKUP(D32,[1]자코드!$F:$H,2,0)</f>
        <v>#N/A</v>
      </c>
      <c r="K32" s="64" t="e">
        <f>VLOOKUP(D32,[1]자코드!$F:$H,3,0)</f>
        <v>#N/A</v>
      </c>
      <c r="L32" s="64" t="str">
        <f>IFERROR(VLOOKUP(D32,[2]이원화!A:B,2,0),"")</f>
        <v/>
      </c>
      <c r="M32" s="56"/>
    </row>
    <row r="33" spans="1:13">
      <c r="A33" s="63">
        <f t="shared" si="2"/>
        <v>30</v>
      </c>
      <c r="B33" s="70" t="e">
        <f t="shared" si="3"/>
        <v>#N/A</v>
      </c>
      <c r="C33" s="70" t="e">
        <f t="shared" si="4"/>
        <v>#N/A</v>
      </c>
      <c r="D33" s="91"/>
      <c r="E33" s="67"/>
      <c r="F33" s="67"/>
      <c r="G33" s="71"/>
      <c r="H33" s="87"/>
      <c r="I33" s="93"/>
      <c r="J33" s="40" t="e">
        <f>VLOOKUP(D33,[1]자코드!$F:$H,2,0)</f>
        <v>#N/A</v>
      </c>
      <c r="K33" s="64" t="e">
        <f>VLOOKUP(D33,[1]자코드!$F:$H,3,0)</f>
        <v>#N/A</v>
      </c>
      <c r="L33" s="64" t="str">
        <f>IFERROR(VLOOKUP(D33,[2]이원화!A:B,2,0),"")</f>
        <v/>
      </c>
      <c r="M33" s="56"/>
    </row>
    <row r="34" spans="1:13">
      <c r="A34" s="63">
        <f t="shared" si="2"/>
        <v>31</v>
      </c>
      <c r="B34" s="70" t="e">
        <f t="shared" si="3"/>
        <v>#N/A</v>
      </c>
      <c r="C34" s="70" t="e">
        <f t="shared" si="4"/>
        <v>#N/A</v>
      </c>
      <c r="D34" s="91"/>
      <c r="E34" s="67"/>
      <c r="F34" s="67"/>
      <c r="G34" s="71"/>
      <c r="H34" s="87"/>
      <c r="I34" s="93"/>
      <c r="J34" s="40" t="e">
        <f>VLOOKUP(D34,[1]자코드!$F:$H,2,0)</f>
        <v>#N/A</v>
      </c>
      <c r="K34" s="64" t="e">
        <f>VLOOKUP(D34,[1]자코드!$F:$H,3,0)</f>
        <v>#N/A</v>
      </c>
      <c r="L34" s="64" t="str">
        <f>IFERROR(VLOOKUP(D34,[2]이원화!A:B,2,0),"")</f>
        <v/>
      </c>
      <c r="M34" s="56"/>
    </row>
    <row r="35" spans="1:13">
      <c r="A35" s="63">
        <f t="shared" si="2"/>
        <v>32</v>
      </c>
      <c r="B35" s="70" t="e">
        <f t="shared" si="3"/>
        <v>#N/A</v>
      </c>
      <c r="C35" s="70" t="e">
        <f t="shared" si="4"/>
        <v>#N/A</v>
      </c>
      <c r="D35" s="91"/>
      <c r="E35" s="67"/>
      <c r="F35" s="67"/>
      <c r="G35" s="71"/>
      <c r="H35" s="87"/>
      <c r="I35" s="93"/>
      <c r="J35" s="40" t="e">
        <f>VLOOKUP(D35,[1]자코드!$F:$H,2,0)</f>
        <v>#N/A</v>
      </c>
      <c r="K35" s="64" t="e">
        <f>VLOOKUP(D35,[1]자코드!$F:$H,3,0)</f>
        <v>#N/A</v>
      </c>
      <c r="L35" s="64" t="str">
        <f>IFERROR(VLOOKUP(D35,[2]이원화!A:B,2,0),"")</f>
        <v/>
      </c>
      <c r="M35" s="56"/>
    </row>
    <row r="36" spans="1:13">
      <c r="A36" s="63">
        <f t="shared" si="2"/>
        <v>33</v>
      </c>
      <c r="B36" s="70" t="e">
        <f t="shared" si="3"/>
        <v>#N/A</v>
      </c>
      <c r="C36" s="70" t="e">
        <f t="shared" si="4"/>
        <v>#N/A</v>
      </c>
      <c r="D36" s="69"/>
      <c r="E36" s="67"/>
      <c r="F36" s="67"/>
      <c r="G36" s="71"/>
      <c r="H36" s="87"/>
      <c r="I36" s="93"/>
      <c r="J36" s="40" t="e">
        <f>VLOOKUP(D36,[1]자코드!$F:$H,2,0)</f>
        <v>#N/A</v>
      </c>
      <c r="K36" s="64" t="e">
        <f>VLOOKUP(D36,[1]자코드!$F:$H,3,0)</f>
        <v>#N/A</v>
      </c>
      <c r="L36" s="64" t="str">
        <f>IFERROR(VLOOKUP(D36,[2]이원화!A:B,2,0),"")</f>
        <v/>
      </c>
      <c r="M36" s="56"/>
    </row>
    <row r="37" spans="1:13">
      <c r="A37" s="63">
        <f t="shared" si="2"/>
        <v>34</v>
      </c>
      <c r="B37" s="70" t="e">
        <f t="shared" si="3"/>
        <v>#N/A</v>
      </c>
      <c r="C37" s="70" t="e">
        <f t="shared" si="4"/>
        <v>#N/A</v>
      </c>
      <c r="D37" s="69"/>
      <c r="E37" s="67"/>
      <c r="F37" s="67"/>
      <c r="G37" s="71"/>
      <c r="H37" s="87"/>
      <c r="I37" s="93"/>
      <c r="J37" s="40" t="e">
        <f>VLOOKUP(D37,[1]자코드!$F:$H,2,0)</f>
        <v>#N/A</v>
      </c>
      <c r="K37" s="64" t="e">
        <f>VLOOKUP(D37,[1]자코드!$F:$H,3,0)</f>
        <v>#N/A</v>
      </c>
      <c r="L37" s="64" t="str">
        <f>IFERROR(VLOOKUP(D37,[2]이원화!A:B,2,0),"")</f>
        <v/>
      </c>
      <c r="M37" s="56"/>
    </row>
    <row r="38" spans="1:13">
      <c r="A38" s="63">
        <f t="shared" si="2"/>
        <v>35</v>
      </c>
      <c r="B38" s="70" t="e">
        <f t="shared" si="3"/>
        <v>#N/A</v>
      </c>
      <c r="C38" s="70" t="e">
        <f t="shared" si="4"/>
        <v>#N/A</v>
      </c>
      <c r="D38" s="69"/>
      <c r="E38" s="67"/>
      <c r="F38" s="67"/>
      <c r="G38" s="71"/>
      <c r="H38" s="87"/>
      <c r="I38" s="41"/>
      <c r="J38" s="40" t="e">
        <f>VLOOKUP(D38,[1]자코드!$F:$H,2,0)</f>
        <v>#N/A</v>
      </c>
      <c r="K38" s="64" t="e">
        <f>VLOOKUP(D38,[1]자코드!$F:$H,3,0)</f>
        <v>#N/A</v>
      </c>
      <c r="L38" s="64" t="str">
        <f>IFERROR(VLOOKUP(D38,[2]이원화!A:B,2,0),"")</f>
        <v/>
      </c>
      <c r="M38" s="56"/>
    </row>
    <row r="39" spans="1:13">
      <c r="A39" s="63">
        <f t="shared" si="2"/>
        <v>36</v>
      </c>
      <c r="B39" s="70" t="e">
        <f t="shared" si="3"/>
        <v>#N/A</v>
      </c>
      <c r="C39" s="70" t="e">
        <f t="shared" si="4"/>
        <v>#N/A</v>
      </c>
      <c r="D39" s="69"/>
      <c r="E39" s="67"/>
      <c r="F39" s="67"/>
      <c r="G39" s="71"/>
      <c r="H39" s="87"/>
      <c r="I39" s="41"/>
      <c r="J39" s="40" t="e">
        <f>VLOOKUP(D39,[1]자코드!$F:$H,2,0)</f>
        <v>#N/A</v>
      </c>
      <c r="K39" s="64" t="e">
        <f>VLOOKUP(D39,[1]자코드!$F:$H,3,0)</f>
        <v>#N/A</v>
      </c>
      <c r="L39" s="64" t="str">
        <f>IFERROR(VLOOKUP(D39,[2]이원화!A:B,2,0),"")</f>
        <v/>
      </c>
      <c r="M39" s="56"/>
    </row>
    <row r="40" spans="1:13">
      <c r="A40" s="63">
        <f t="shared" si="2"/>
        <v>37</v>
      </c>
      <c r="B40" s="70" t="e">
        <f t="shared" si="3"/>
        <v>#N/A</v>
      </c>
      <c r="C40" s="70" t="e">
        <f t="shared" si="4"/>
        <v>#N/A</v>
      </c>
      <c r="D40" s="69"/>
      <c r="E40" s="67"/>
      <c r="F40" s="67"/>
      <c r="G40" s="71"/>
      <c r="H40" s="87"/>
      <c r="I40" s="41"/>
      <c r="J40" s="40" t="e">
        <f>VLOOKUP(D40,[1]자코드!$F:$H,2,0)</f>
        <v>#N/A</v>
      </c>
      <c r="K40" s="64" t="e">
        <f>VLOOKUP(D40,[1]자코드!$F:$H,3,0)</f>
        <v>#N/A</v>
      </c>
      <c r="L40" s="64" t="str">
        <f>IFERROR(VLOOKUP(D40,[2]이원화!A:B,2,0),"")</f>
        <v/>
      </c>
      <c r="M40" s="56"/>
    </row>
    <row r="41" spans="1:13">
      <c r="A41" s="63">
        <f t="shared" si="2"/>
        <v>38</v>
      </c>
      <c r="B41" s="70" t="e">
        <f t="shared" si="3"/>
        <v>#N/A</v>
      </c>
      <c r="C41" s="70" t="e">
        <f t="shared" si="4"/>
        <v>#N/A</v>
      </c>
      <c r="D41" s="69"/>
      <c r="E41" s="67"/>
      <c r="F41" s="67"/>
      <c r="G41" s="71"/>
      <c r="H41" s="87"/>
      <c r="I41" s="41"/>
      <c r="J41" s="40" t="e">
        <f>VLOOKUP(D41,[1]자코드!$F:$H,2,0)</f>
        <v>#N/A</v>
      </c>
      <c r="K41" s="64" t="e">
        <f>VLOOKUP(D41,[1]자코드!$F:$H,3,0)</f>
        <v>#N/A</v>
      </c>
      <c r="L41" s="64" t="str">
        <f>IFERROR(VLOOKUP(D41,[2]이원화!A:B,2,0),"")</f>
        <v/>
      </c>
      <c r="M41" s="56"/>
    </row>
    <row r="42" spans="1:13">
      <c r="A42" s="63">
        <f t="shared" si="2"/>
        <v>39</v>
      </c>
      <c r="B42" s="70" t="e">
        <f t="shared" si="3"/>
        <v>#N/A</v>
      </c>
      <c r="C42" s="70" t="e">
        <f t="shared" si="4"/>
        <v>#N/A</v>
      </c>
      <c r="D42" s="69"/>
      <c r="E42" s="67"/>
      <c r="F42" s="67"/>
      <c r="G42" s="71"/>
      <c r="H42" s="87"/>
      <c r="I42" s="41"/>
      <c r="J42" s="40" t="e">
        <f>VLOOKUP(D42,[1]자코드!$F:$H,2,0)</f>
        <v>#N/A</v>
      </c>
      <c r="K42" s="64" t="e">
        <f>VLOOKUP(D42,[1]자코드!$F:$H,3,0)</f>
        <v>#N/A</v>
      </c>
      <c r="L42" s="64" t="str">
        <f>IFERROR(VLOOKUP(D42,[2]이원화!A:B,2,0),"")</f>
        <v/>
      </c>
      <c r="M42" s="56"/>
    </row>
    <row r="43" spans="1:13">
      <c r="A43" s="63">
        <f t="shared" si="2"/>
        <v>40</v>
      </c>
      <c r="B43" s="70" t="e">
        <f t="shared" si="3"/>
        <v>#N/A</v>
      </c>
      <c r="C43" s="70" t="e">
        <f t="shared" si="4"/>
        <v>#N/A</v>
      </c>
      <c r="D43" s="69"/>
      <c r="E43" s="67"/>
      <c r="F43" s="67"/>
      <c r="G43" s="71"/>
      <c r="H43" s="87"/>
      <c r="I43" s="41"/>
      <c r="J43" s="40" t="e">
        <f>VLOOKUP(D43,[1]자코드!$F:$H,2,0)</f>
        <v>#N/A</v>
      </c>
      <c r="K43" s="64" t="e">
        <f>VLOOKUP(D43,[1]자코드!$F:$H,3,0)</f>
        <v>#N/A</v>
      </c>
      <c r="L43" s="64" t="str">
        <f>IFERROR(VLOOKUP(D43,[2]이원화!A:B,2,0),"")</f>
        <v/>
      </c>
      <c r="M43" s="56"/>
    </row>
    <row r="44" spans="1:13">
      <c r="A44" s="63">
        <f t="shared" si="2"/>
        <v>41</v>
      </c>
      <c r="B44" s="70" t="e">
        <f t="shared" si="3"/>
        <v>#N/A</v>
      </c>
      <c r="C44" s="70" t="e">
        <f t="shared" si="4"/>
        <v>#N/A</v>
      </c>
      <c r="D44" s="69"/>
      <c r="E44" s="67"/>
      <c r="F44" s="67"/>
      <c r="G44" s="71"/>
      <c r="H44" s="87"/>
      <c r="I44" s="41"/>
      <c r="J44" s="40" t="e">
        <f>VLOOKUP(D44,[1]자코드!$F:$H,2,0)</f>
        <v>#N/A</v>
      </c>
      <c r="K44" s="64" t="e">
        <f>VLOOKUP(D44,[1]자코드!$F:$H,3,0)</f>
        <v>#N/A</v>
      </c>
      <c r="L44" s="64" t="str">
        <f>IFERROR(VLOOKUP(D44,[2]이원화!A:B,2,0),"")</f>
        <v/>
      </c>
      <c r="M44" s="56"/>
    </row>
    <row r="45" spans="1:13">
      <c r="A45" s="63">
        <f t="shared" si="2"/>
        <v>42</v>
      </c>
      <c r="B45" s="70" t="e">
        <f t="shared" si="3"/>
        <v>#N/A</v>
      </c>
      <c r="C45" s="70" t="e">
        <f t="shared" si="4"/>
        <v>#N/A</v>
      </c>
      <c r="D45" s="69"/>
      <c r="E45" s="67"/>
      <c r="F45" s="67"/>
      <c r="G45" s="71"/>
      <c r="H45" s="87"/>
      <c r="I45" s="41"/>
      <c r="J45" s="40" t="e">
        <f>VLOOKUP(D45,[1]자코드!$F:$H,2,0)</f>
        <v>#N/A</v>
      </c>
      <c r="K45" s="64" t="e">
        <f>VLOOKUP(D45,[1]자코드!$F:$H,3,0)</f>
        <v>#N/A</v>
      </c>
      <c r="L45" s="64" t="str">
        <f>IFERROR(VLOOKUP(D45,[2]이원화!A:B,2,0),"")</f>
        <v/>
      </c>
      <c r="M45" s="56"/>
    </row>
    <row r="46" spans="1:13">
      <c r="A46" s="63">
        <f t="shared" si="2"/>
        <v>43</v>
      </c>
      <c r="B46" s="70" t="e">
        <f t="shared" si="3"/>
        <v>#N/A</v>
      </c>
      <c r="C46" s="70" t="e">
        <f t="shared" si="4"/>
        <v>#N/A</v>
      </c>
      <c r="D46" s="69"/>
      <c r="E46" s="67"/>
      <c r="F46" s="67"/>
      <c r="G46" s="71"/>
      <c r="H46" s="87"/>
      <c r="I46" s="41"/>
      <c r="J46" s="40" t="e">
        <f>VLOOKUP(D46,[1]자코드!$F:$H,2,0)</f>
        <v>#N/A</v>
      </c>
      <c r="K46" s="64" t="e">
        <f>VLOOKUP(D46,[1]자코드!$F:$H,3,0)</f>
        <v>#N/A</v>
      </c>
      <c r="L46" s="64" t="str">
        <f>IFERROR(VLOOKUP(D46,[2]이원화!A:B,2,0),"")</f>
        <v/>
      </c>
      <c r="M46" s="56"/>
    </row>
    <row r="47" spans="1:13">
      <c r="A47" s="63">
        <f t="shared" si="2"/>
        <v>44</v>
      </c>
      <c r="B47" s="70" t="e">
        <f t="shared" si="3"/>
        <v>#N/A</v>
      </c>
      <c r="C47" s="70" t="e">
        <f t="shared" si="4"/>
        <v>#N/A</v>
      </c>
      <c r="D47" s="69"/>
      <c r="E47" s="67"/>
      <c r="F47" s="67"/>
      <c r="G47" s="71"/>
      <c r="H47" s="87"/>
      <c r="I47" s="41"/>
      <c r="J47" s="40" t="e">
        <f>VLOOKUP(D47,[1]자코드!$F:$H,2,0)</f>
        <v>#N/A</v>
      </c>
      <c r="K47" s="64" t="e">
        <f>VLOOKUP(D47,[1]자코드!$F:$H,3,0)</f>
        <v>#N/A</v>
      </c>
      <c r="L47" s="64" t="str">
        <f>IFERROR(VLOOKUP(D47,[2]이원화!A:B,2,0),"")</f>
        <v/>
      </c>
      <c r="M47" s="56"/>
    </row>
    <row r="48" spans="1:13">
      <c r="A48" s="63">
        <f t="shared" si="2"/>
        <v>45</v>
      </c>
      <c r="B48" s="70" t="e">
        <f t="shared" si="3"/>
        <v>#N/A</v>
      </c>
      <c r="C48" s="70" t="e">
        <f t="shared" si="4"/>
        <v>#N/A</v>
      </c>
      <c r="D48" s="69"/>
      <c r="E48" s="67"/>
      <c r="F48" s="67"/>
      <c r="G48" s="71"/>
      <c r="H48" s="87"/>
      <c r="I48" s="41"/>
      <c r="J48" s="40" t="e">
        <f>VLOOKUP(D48,[1]자코드!$F:$H,2,0)</f>
        <v>#N/A</v>
      </c>
      <c r="K48" s="64" t="e">
        <f>VLOOKUP(D48,[1]자코드!$F:$H,3,0)</f>
        <v>#N/A</v>
      </c>
      <c r="L48" s="64" t="str">
        <f>IFERROR(VLOOKUP(D48,[2]이원화!A:B,2,0),"")</f>
        <v/>
      </c>
      <c r="M48" s="56"/>
    </row>
    <row r="49" spans="1:13">
      <c r="A49" s="63">
        <f t="shared" si="2"/>
        <v>46</v>
      </c>
      <c r="B49" s="70" t="e">
        <f t="shared" si="3"/>
        <v>#N/A</v>
      </c>
      <c r="C49" s="70" t="e">
        <f t="shared" si="4"/>
        <v>#N/A</v>
      </c>
      <c r="D49" s="69"/>
      <c r="E49" s="67"/>
      <c r="F49" s="67"/>
      <c r="G49" s="71"/>
      <c r="H49" s="87"/>
      <c r="I49" s="41"/>
      <c r="J49" s="40" t="e">
        <f>VLOOKUP(D49,[1]자코드!$F:$H,2,0)</f>
        <v>#N/A</v>
      </c>
      <c r="K49" s="64" t="e">
        <f>VLOOKUP(D49,[1]자코드!$F:$H,3,0)</f>
        <v>#N/A</v>
      </c>
      <c r="L49" s="64" t="str">
        <f>IFERROR(VLOOKUP(D49,[2]이원화!A:B,2,0),"")</f>
        <v/>
      </c>
      <c r="M49" s="56"/>
    </row>
    <row r="50" spans="1:13">
      <c r="A50" s="63">
        <f t="shared" si="2"/>
        <v>47</v>
      </c>
      <c r="B50" s="70" t="e">
        <f t="shared" si="3"/>
        <v>#N/A</v>
      </c>
      <c r="C50" s="70" t="e">
        <f t="shared" si="4"/>
        <v>#N/A</v>
      </c>
      <c r="D50" s="69"/>
      <c r="E50" s="67"/>
      <c r="F50" s="67"/>
      <c r="G50" s="71"/>
      <c r="H50" s="87"/>
      <c r="I50" s="41"/>
      <c r="J50" s="40" t="e">
        <f>VLOOKUP(D50,[1]자코드!$F:$H,2,0)</f>
        <v>#N/A</v>
      </c>
      <c r="K50" s="64" t="e">
        <f>VLOOKUP(D50,[1]자코드!$F:$H,3,0)</f>
        <v>#N/A</v>
      </c>
      <c r="L50" s="64" t="str">
        <f>IFERROR(VLOOKUP(D50,[2]이원화!A:B,2,0),"")</f>
        <v/>
      </c>
      <c r="M50" s="56"/>
    </row>
    <row r="51" spans="1:13">
      <c r="A51" s="63">
        <f t="shared" si="2"/>
        <v>48</v>
      </c>
      <c r="B51" s="70" t="e">
        <f t="shared" si="3"/>
        <v>#N/A</v>
      </c>
      <c r="C51" s="70" t="e">
        <f t="shared" si="4"/>
        <v>#N/A</v>
      </c>
      <c r="D51" s="69"/>
      <c r="E51" s="67"/>
      <c r="F51" s="67"/>
      <c r="G51" s="71"/>
      <c r="H51" s="87"/>
      <c r="I51" s="41"/>
      <c r="J51" s="40" t="e">
        <f>VLOOKUP(D51,[1]자코드!$F:$H,2,0)</f>
        <v>#N/A</v>
      </c>
      <c r="K51" s="64" t="e">
        <f>VLOOKUP(D51,[1]자코드!$F:$H,3,0)</f>
        <v>#N/A</v>
      </c>
      <c r="L51" s="64" t="str">
        <f>IFERROR(VLOOKUP(D51,[2]이원화!A:B,2,0),"")</f>
        <v/>
      </c>
      <c r="M51" s="56"/>
    </row>
    <row r="52" spans="1:13">
      <c r="A52" s="63">
        <f t="shared" si="2"/>
        <v>49</v>
      </c>
      <c r="B52" s="70" t="e">
        <f t="shared" si="3"/>
        <v>#N/A</v>
      </c>
      <c r="C52" s="70" t="e">
        <f t="shared" si="4"/>
        <v>#N/A</v>
      </c>
      <c r="D52" s="69"/>
      <c r="E52" s="67"/>
      <c r="F52" s="67"/>
      <c r="G52" s="71"/>
      <c r="H52" s="87"/>
      <c r="I52" s="41"/>
      <c r="J52" s="40" t="e">
        <f>VLOOKUP(D52,[1]자코드!$F:$H,2,0)</f>
        <v>#N/A</v>
      </c>
      <c r="K52" s="64" t="e">
        <f>VLOOKUP(D52,[1]자코드!$F:$H,3,0)</f>
        <v>#N/A</v>
      </c>
      <c r="L52" s="64" t="str">
        <f>IFERROR(VLOOKUP(D52,[2]이원화!A:B,2,0),"")</f>
        <v/>
      </c>
      <c r="M52" s="56"/>
    </row>
    <row r="53" spans="1:13">
      <c r="A53" s="63">
        <f t="shared" si="2"/>
        <v>50</v>
      </c>
      <c r="B53" s="70" t="e">
        <f t="shared" si="3"/>
        <v>#N/A</v>
      </c>
      <c r="C53" s="70" t="e">
        <f t="shared" si="4"/>
        <v>#N/A</v>
      </c>
      <c r="D53" s="69"/>
      <c r="E53" s="67"/>
      <c r="F53" s="67"/>
      <c r="G53" s="71"/>
      <c r="H53" s="87"/>
      <c r="I53" s="41"/>
      <c r="J53" s="40" t="e">
        <f>VLOOKUP(D53,[1]자코드!$F:$H,2,0)</f>
        <v>#N/A</v>
      </c>
      <c r="K53" s="64" t="e">
        <f>VLOOKUP(D53,[1]자코드!$F:$H,3,0)</f>
        <v>#N/A</v>
      </c>
      <c r="L53" s="64" t="str">
        <f>IFERROR(VLOOKUP(D53,[2]이원화!A:B,2,0),"")</f>
        <v/>
      </c>
      <c r="M53" s="56"/>
    </row>
    <row r="54" spans="1:13">
      <c r="A54" s="63">
        <f t="shared" si="2"/>
        <v>51</v>
      </c>
      <c r="B54" s="70" t="e">
        <f t="shared" si="3"/>
        <v>#N/A</v>
      </c>
      <c r="C54" s="70" t="e">
        <f t="shared" si="4"/>
        <v>#N/A</v>
      </c>
      <c r="D54" s="69"/>
      <c r="E54" s="67"/>
      <c r="F54" s="67"/>
      <c r="G54" s="71"/>
      <c r="H54" s="87"/>
      <c r="I54" s="41"/>
      <c r="J54" s="40" t="e">
        <f>VLOOKUP(D54,[1]자코드!$F:$H,2,0)</f>
        <v>#N/A</v>
      </c>
      <c r="K54" s="64" t="e">
        <f>VLOOKUP(D54,[1]자코드!$F:$H,3,0)</f>
        <v>#N/A</v>
      </c>
      <c r="L54" s="64" t="str">
        <f>IFERROR(VLOOKUP(D54,[2]이원화!A:B,2,0),"")</f>
        <v/>
      </c>
      <c r="M54" s="56"/>
    </row>
    <row r="55" spans="1:13">
      <c r="A55" s="63">
        <f t="shared" si="2"/>
        <v>52</v>
      </c>
      <c r="B55" s="70" t="e">
        <f t="shared" si="3"/>
        <v>#N/A</v>
      </c>
      <c r="C55" s="70" t="e">
        <f t="shared" si="4"/>
        <v>#N/A</v>
      </c>
      <c r="D55" s="69"/>
      <c r="E55" s="67"/>
      <c r="F55" s="67"/>
      <c r="G55" s="71"/>
      <c r="H55" s="87"/>
      <c r="I55" s="41"/>
      <c r="J55" s="40" t="e">
        <f>VLOOKUP(D55,[1]자코드!$F:$H,2,0)</f>
        <v>#N/A</v>
      </c>
      <c r="K55" s="64" t="e">
        <f>VLOOKUP(D55,[1]자코드!$F:$H,3,0)</f>
        <v>#N/A</v>
      </c>
      <c r="L55" s="64" t="str">
        <f>IFERROR(VLOOKUP(D55,[2]이원화!A:B,2,0),"")</f>
        <v/>
      </c>
      <c r="M55" s="56"/>
    </row>
    <row r="56" spans="1:13">
      <c r="A56" s="63">
        <f t="shared" si="2"/>
        <v>53</v>
      </c>
      <c r="B56" s="70" t="e">
        <f t="shared" si="3"/>
        <v>#N/A</v>
      </c>
      <c r="C56" s="70" t="e">
        <f t="shared" si="4"/>
        <v>#N/A</v>
      </c>
      <c r="D56" s="69"/>
      <c r="E56" s="67"/>
      <c r="F56" s="67"/>
      <c r="G56" s="71"/>
      <c r="H56" s="87"/>
      <c r="I56" s="41"/>
      <c r="J56" s="40" t="e">
        <f>VLOOKUP(D56,[1]자코드!$F:$H,2,0)</f>
        <v>#N/A</v>
      </c>
      <c r="K56" s="64" t="e">
        <f>VLOOKUP(D56,[1]자코드!$F:$H,3,0)</f>
        <v>#N/A</v>
      </c>
      <c r="L56" s="64" t="str">
        <f>IFERROR(VLOOKUP(D56,[2]이원화!A:B,2,0),"")</f>
        <v/>
      </c>
      <c r="M56" s="56"/>
    </row>
    <row r="57" spans="1:13">
      <c r="A57" s="63">
        <f t="shared" ref="A57:A88" si="8">ROW(A57)-3</f>
        <v>54</v>
      </c>
      <c r="B57" s="70" t="e">
        <f t="shared" ref="B57:B88" si="9">J57</f>
        <v>#N/A</v>
      </c>
      <c r="C57" s="70" t="e">
        <f t="shared" ref="C57:C88" si="10">K57</f>
        <v>#N/A</v>
      </c>
      <c r="D57" s="69"/>
      <c r="E57" s="67"/>
      <c r="F57" s="67"/>
      <c r="G57" s="71"/>
      <c r="H57" s="87"/>
      <c r="I57" s="41"/>
      <c r="J57" s="40" t="e">
        <f>VLOOKUP(D57,[1]자코드!$F:$H,2,0)</f>
        <v>#N/A</v>
      </c>
      <c r="K57" s="64" t="e">
        <f>VLOOKUP(D57,[1]자코드!$F:$H,3,0)</f>
        <v>#N/A</v>
      </c>
      <c r="L57" s="64" t="str">
        <f>IFERROR(VLOOKUP(D57,[2]이원화!A:B,2,0),"")</f>
        <v/>
      </c>
      <c r="M57" s="56"/>
    </row>
    <row r="58" spans="1:13">
      <c r="A58" s="63">
        <f t="shared" si="8"/>
        <v>55</v>
      </c>
      <c r="B58" s="70" t="e">
        <f t="shared" si="9"/>
        <v>#N/A</v>
      </c>
      <c r="C58" s="70" t="e">
        <f t="shared" si="10"/>
        <v>#N/A</v>
      </c>
      <c r="D58" s="69"/>
      <c r="E58" s="67"/>
      <c r="F58" s="67"/>
      <c r="G58" s="71"/>
      <c r="H58" s="87"/>
      <c r="I58" s="41"/>
      <c r="J58" s="40" t="e">
        <f>VLOOKUP(D58,[1]자코드!$F:$H,2,0)</f>
        <v>#N/A</v>
      </c>
      <c r="K58" s="64" t="e">
        <f>VLOOKUP(D58,[1]자코드!$F:$H,3,0)</f>
        <v>#N/A</v>
      </c>
      <c r="L58" s="64" t="str">
        <f>IFERROR(VLOOKUP(D58,[2]이원화!A:B,2,0),"")</f>
        <v/>
      </c>
      <c r="M58" s="56"/>
    </row>
    <row r="59" spans="1:13">
      <c r="A59" s="63">
        <f t="shared" si="8"/>
        <v>56</v>
      </c>
      <c r="B59" s="70" t="e">
        <f t="shared" si="9"/>
        <v>#N/A</v>
      </c>
      <c r="C59" s="70" t="e">
        <f t="shared" si="10"/>
        <v>#N/A</v>
      </c>
      <c r="D59" s="69"/>
      <c r="E59" s="67"/>
      <c r="F59" s="67"/>
      <c r="G59" s="71"/>
      <c r="H59" s="87"/>
      <c r="I59" s="41"/>
      <c r="J59" s="40" t="e">
        <f>VLOOKUP(D59,[1]자코드!$F:$H,2,0)</f>
        <v>#N/A</v>
      </c>
      <c r="K59" s="64" t="e">
        <f>VLOOKUP(D59,[1]자코드!$F:$H,3,0)</f>
        <v>#N/A</v>
      </c>
      <c r="L59" s="64" t="str">
        <f>IFERROR(VLOOKUP(D59,[2]이원화!A:B,2,0),"")</f>
        <v/>
      </c>
      <c r="M59" s="56"/>
    </row>
    <row r="60" spans="1:13">
      <c r="A60" s="63">
        <f t="shared" si="8"/>
        <v>57</v>
      </c>
      <c r="B60" s="70" t="e">
        <f t="shared" si="9"/>
        <v>#N/A</v>
      </c>
      <c r="C60" s="70" t="e">
        <f t="shared" si="10"/>
        <v>#N/A</v>
      </c>
      <c r="D60" s="69"/>
      <c r="E60" s="67"/>
      <c r="F60" s="67"/>
      <c r="G60" s="71"/>
      <c r="H60" s="87"/>
      <c r="I60" s="41"/>
      <c r="J60" s="40" t="e">
        <f>VLOOKUP(D60,[1]자코드!$F:$H,2,0)</f>
        <v>#N/A</v>
      </c>
      <c r="K60" s="64" t="e">
        <f>VLOOKUP(D60,[1]자코드!$F:$H,3,0)</f>
        <v>#N/A</v>
      </c>
      <c r="L60" s="64" t="str">
        <f>IFERROR(VLOOKUP(D60,[2]이원화!A:B,2,0),"")</f>
        <v/>
      </c>
      <c r="M60" s="56"/>
    </row>
    <row r="61" spans="1:13">
      <c r="A61" s="63">
        <f t="shared" si="8"/>
        <v>58</v>
      </c>
      <c r="B61" s="70" t="e">
        <f t="shared" si="9"/>
        <v>#N/A</v>
      </c>
      <c r="C61" s="70" t="e">
        <f t="shared" si="10"/>
        <v>#N/A</v>
      </c>
      <c r="D61" s="69"/>
      <c r="E61" s="67"/>
      <c r="F61" s="67"/>
      <c r="G61" s="71"/>
      <c r="H61" s="87"/>
      <c r="I61" s="41"/>
      <c r="J61" s="40" t="e">
        <f>VLOOKUP(D61,[1]자코드!$F:$H,2,0)</f>
        <v>#N/A</v>
      </c>
      <c r="K61" s="64" t="e">
        <f>VLOOKUP(D61,[1]자코드!$F:$H,3,0)</f>
        <v>#N/A</v>
      </c>
      <c r="L61" s="64" t="str">
        <f>IFERROR(VLOOKUP(D61,[2]이원화!A:B,2,0),"")</f>
        <v/>
      </c>
      <c r="M61" s="56"/>
    </row>
    <row r="62" spans="1:13">
      <c r="A62" s="63">
        <f t="shared" si="8"/>
        <v>59</v>
      </c>
      <c r="B62" s="70" t="e">
        <f t="shared" si="9"/>
        <v>#N/A</v>
      </c>
      <c r="C62" s="70" t="e">
        <f t="shared" si="10"/>
        <v>#N/A</v>
      </c>
      <c r="D62" s="69"/>
      <c r="E62" s="67"/>
      <c r="F62" s="67"/>
      <c r="G62" s="71"/>
      <c r="H62" s="87"/>
      <c r="I62" s="41"/>
      <c r="J62" s="40" t="e">
        <f>VLOOKUP(D62,[1]자코드!$F:$H,2,0)</f>
        <v>#N/A</v>
      </c>
      <c r="K62" s="64" t="e">
        <f>VLOOKUP(D62,[1]자코드!$F:$H,3,0)</f>
        <v>#N/A</v>
      </c>
      <c r="L62" s="64" t="str">
        <f>IFERROR(VLOOKUP(D62,[2]이원화!A:B,2,0),"")</f>
        <v/>
      </c>
      <c r="M62" s="56"/>
    </row>
    <row r="63" spans="1:13">
      <c r="A63" s="63">
        <f t="shared" si="8"/>
        <v>60</v>
      </c>
      <c r="B63" s="70" t="e">
        <f t="shared" si="9"/>
        <v>#N/A</v>
      </c>
      <c r="C63" s="70" t="e">
        <f t="shared" si="10"/>
        <v>#N/A</v>
      </c>
      <c r="D63" s="69"/>
      <c r="E63" s="67"/>
      <c r="F63" s="67"/>
      <c r="G63" s="71"/>
      <c r="H63" s="87"/>
      <c r="I63" s="41"/>
      <c r="J63" s="40" t="e">
        <f>VLOOKUP(D63,[1]자코드!$F:$H,2,0)</f>
        <v>#N/A</v>
      </c>
      <c r="K63" s="64" t="e">
        <f>VLOOKUP(D63,[1]자코드!$F:$H,3,0)</f>
        <v>#N/A</v>
      </c>
      <c r="L63" s="64" t="str">
        <f>IFERROR(VLOOKUP(D63,[2]이원화!A:B,2,0),"")</f>
        <v/>
      </c>
      <c r="M63" s="56"/>
    </row>
    <row r="64" spans="1:13">
      <c r="A64" s="63">
        <f t="shared" si="8"/>
        <v>61</v>
      </c>
      <c r="B64" s="70" t="e">
        <f t="shared" si="9"/>
        <v>#N/A</v>
      </c>
      <c r="C64" s="70" t="e">
        <f t="shared" si="10"/>
        <v>#N/A</v>
      </c>
      <c r="D64" s="69"/>
      <c r="E64" s="67"/>
      <c r="F64" s="67"/>
      <c r="G64" s="71"/>
      <c r="H64" s="87"/>
      <c r="I64" s="41"/>
      <c r="J64" s="40" t="e">
        <f>VLOOKUP(D64,[1]자코드!$F:$H,2,0)</f>
        <v>#N/A</v>
      </c>
      <c r="K64" s="64" t="e">
        <f>VLOOKUP(D64,[1]자코드!$F:$H,3,0)</f>
        <v>#N/A</v>
      </c>
      <c r="L64" s="64" t="str">
        <f>IFERROR(VLOOKUP(D64,[2]이원화!A:B,2,0),"")</f>
        <v/>
      </c>
      <c r="M64" s="56"/>
    </row>
    <row r="65" spans="1:13">
      <c r="A65" s="63">
        <f t="shared" si="8"/>
        <v>62</v>
      </c>
      <c r="B65" s="70" t="e">
        <f t="shared" si="9"/>
        <v>#N/A</v>
      </c>
      <c r="C65" s="70" t="e">
        <f t="shared" si="10"/>
        <v>#N/A</v>
      </c>
      <c r="D65" s="69"/>
      <c r="E65" s="67"/>
      <c r="F65" s="67"/>
      <c r="G65" s="71"/>
      <c r="H65" s="87"/>
      <c r="I65" s="41"/>
      <c r="J65" s="40" t="e">
        <f>VLOOKUP(D65,[1]자코드!$F:$H,2,0)</f>
        <v>#N/A</v>
      </c>
      <c r="K65" s="64" t="e">
        <f>VLOOKUP(D65,[1]자코드!$F:$H,3,0)</f>
        <v>#N/A</v>
      </c>
      <c r="L65" s="64" t="str">
        <f>IFERROR(VLOOKUP(D65,[2]이원화!A:B,2,0),"")</f>
        <v/>
      </c>
      <c r="M65" s="56"/>
    </row>
    <row r="66" spans="1:13">
      <c r="A66" s="63">
        <f t="shared" si="8"/>
        <v>63</v>
      </c>
      <c r="B66" s="70" t="e">
        <f t="shared" si="9"/>
        <v>#N/A</v>
      </c>
      <c r="C66" s="70" t="e">
        <f t="shared" si="10"/>
        <v>#N/A</v>
      </c>
      <c r="D66" s="69"/>
      <c r="E66" s="67"/>
      <c r="F66" s="67"/>
      <c r="G66" s="71"/>
      <c r="H66" s="87"/>
      <c r="I66" s="41"/>
      <c r="J66" s="40" t="e">
        <f>VLOOKUP(D66,[1]자코드!$F:$H,2,0)</f>
        <v>#N/A</v>
      </c>
      <c r="K66" s="64" t="e">
        <f>VLOOKUP(D66,[1]자코드!$F:$H,3,0)</f>
        <v>#N/A</v>
      </c>
      <c r="L66" s="64" t="str">
        <f>IFERROR(VLOOKUP(D66,[2]이원화!A:B,2,0),"")</f>
        <v/>
      </c>
      <c r="M66" s="56"/>
    </row>
    <row r="67" spans="1:13">
      <c r="A67" s="63">
        <f t="shared" si="8"/>
        <v>64</v>
      </c>
      <c r="B67" s="70" t="e">
        <f t="shared" si="9"/>
        <v>#N/A</v>
      </c>
      <c r="C67" s="70" t="e">
        <f t="shared" si="10"/>
        <v>#N/A</v>
      </c>
      <c r="D67" s="69"/>
      <c r="E67" s="67"/>
      <c r="F67" s="67"/>
      <c r="G67" s="71"/>
      <c r="H67" s="87"/>
      <c r="I67" s="41"/>
      <c r="J67" s="40" t="e">
        <f>VLOOKUP(D67,[1]자코드!$F:$H,2,0)</f>
        <v>#N/A</v>
      </c>
      <c r="K67" s="64" t="e">
        <f>VLOOKUP(D67,[1]자코드!$F:$H,3,0)</f>
        <v>#N/A</v>
      </c>
      <c r="L67" s="64" t="str">
        <f>IFERROR(VLOOKUP(D67,[2]이원화!A:B,2,0),"")</f>
        <v/>
      </c>
      <c r="M67" s="56"/>
    </row>
    <row r="68" spans="1:13">
      <c r="A68" s="63">
        <f t="shared" si="8"/>
        <v>65</v>
      </c>
      <c r="B68" s="70" t="e">
        <f t="shared" si="9"/>
        <v>#N/A</v>
      </c>
      <c r="C68" s="70" t="e">
        <f t="shared" si="10"/>
        <v>#N/A</v>
      </c>
      <c r="D68" s="69"/>
      <c r="E68" s="67"/>
      <c r="F68" s="67"/>
      <c r="G68" s="71"/>
      <c r="H68" s="87"/>
      <c r="I68" s="41"/>
      <c r="J68" s="40" t="e">
        <f>VLOOKUP(D68,[1]자코드!$F:$H,2,0)</f>
        <v>#N/A</v>
      </c>
      <c r="K68" s="64" t="e">
        <f>VLOOKUP(D68,[1]자코드!$F:$H,3,0)</f>
        <v>#N/A</v>
      </c>
      <c r="L68" s="64" t="str">
        <f>IFERROR(VLOOKUP(D68,[2]이원화!A:B,2,0),"")</f>
        <v/>
      </c>
      <c r="M68" s="56"/>
    </row>
    <row r="69" spans="1:13">
      <c r="A69" s="63">
        <f t="shared" si="8"/>
        <v>66</v>
      </c>
      <c r="B69" s="70" t="e">
        <f t="shared" si="9"/>
        <v>#N/A</v>
      </c>
      <c r="C69" s="70" t="e">
        <f t="shared" si="10"/>
        <v>#N/A</v>
      </c>
      <c r="D69" s="69"/>
      <c r="E69" s="67"/>
      <c r="F69" s="67"/>
      <c r="G69" s="71"/>
      <c r="H69" s="87"/>
      <c r="I69" s="41"/>
      <c r="J69" s="40" t="e">
        <f>VLOOKUP(D69,[1]자코드!$F:$H,2,0)</f>
        <v>#N/A</v>
      </c>
      <c r="K69" s="64" t="e">
        <f>VLOOKUP(D69,[1]자코드!$F:$H,3,0)</f>
        <v>#N/A</v>
      </c>
      <c r="L69" s="64" t="str">
        <f>IFERROR(VLOOKUP(D69,[2]이원화!A:B,2,0),"")</f>
        <v/>
      </c>
      <c r="M69" s="56"/>
    </row>
    <row r="70" spans="1:13">
      <c r="A70" s="63">
        <f t="shared" si="8"/>
        <v>67</v>
      </c>
      <c r="B70" s="70" t="e">
        <f t="shared" si="9"/>
        <v>#N/A</v>
      </c>
      <c r="C70" s="70" t="e">
        <f t="shared" si="10"/>
        <v>#N/A</v>
      </c>
      <c r="D70" s="69"/>
      <c r="E70" s="67"/>
      <c r="F70" s="67"/>
      <c r="G70" s="71"/>
      <c r="H70" s="87"/>
      <c r="I70" s="41"/>
      <c r="J70" s="40" t="e">
        <f>VLOOKUP(D70,[1]자코드!$F:$H,2,0)</f>
        <v>#N/A</v>
      </c>
      <c r="K70" s="64" t="e">
        <f>VLOOKUP(D70,[1]자코드!$F:$H,3,0)</f>
        <v>#N/A</v>
      </c>
      <c r="L70" s="64" t="str">
        <f>IFERROR(VLOOKUP(D70,[2]이원화!A:B,2,0),"")</f>
        <v/>
      </c>
      <c r="M70" s="56"/>
    </row>
    <row r="71" spans="1:13">
      <c r="A71" s="63">
        <f t="shared" si="8"/>
        <v>68</v>
      </c>
      <c r="B71" s="70" t="e">
        <f t="shared" si="9"/>
        <v>#N/A</v>
      </c>
      <c r="C71" s="70" t="e">
        <f t="shared" si="10"/>
        <v>#N/A</v>
      </c>
      <c r="D71" s="69"/>
      <c r="E71" s="67"/>
      <c r="F71" s="67"/>
      <c r="G71" s="71"/>
      <c r="H71" s="87"/>
      <c r="I71" s="41"/>
      <c r="J71" s="40" t="e">
        <f>VLOOKUP(D71,[1]자코드!$F:$H,2,0)</f>
        <v>#N/A</v>
      </c>
      <c r="K71" s="64" t="e">
        <f>VLOOKUP(D71,[1]자코드!$F:$H,3,0)</f>
        <v>#N/A</v>
      </c>
      <c r="L71" s="64" t="str">
        <f>IFERROR(VLOOKUP(D71,[2]이원화!A:B,2,0),"")</f>
        <v/>
      </c>
      <c r="M71" s="56"/>
    </row>
    <row r="72" spans="1:13">
      <c r="A72" s="63">
        <f t="shared" si="8"/>
        <v>69</v>
      </c>
      <c r="B72" s="70" t="e">
        <f t="shared" si="9"/>
        <v>#N/A</v>
      </c>
      <c r="C72" s="70" t="e">
        <f t="shared" si="10"/>
        <v>#N/A</v>
      </c>
      <c r="D72" s="69"/>
      <c r="E72" s="67"/>
      <c r="F72" s="67"/>
      <c r="G72" s="71"/>
      <c r="H72" s="87"/>
      <c r="I72" s="41"/>
      <c r="J72" s="40" t="e">
        <f>VLOOKUP(D72,[1]자코드!$F:$H,2,0)</f>
        <v>#N/A</v>
      </c>
      <c r="K72" s="64" t="e">
        <f>VLOOKUP(D72,[1]자코드!$F:$H,3,0)</f>
        <v>#N/A</v>
      </c>
      <c r="L72" s="64" t="str">
        <f>IFERROR(VLOOKUP(D72,[2]이원화!A:B,2,0),"")</f>
        <v/>
      </c>
      <c r="M72" s="56"/>
    </row>
    <row r="73" spans="1:13">
      <c r="A73" s="63">
        <f t="shared" si="8"/>
        <v>70</v>
      </c>
      <c r="B73" s="70" t="e">
        <f t="shared" si="9"/>
        <v>#N/A</v>
      </c>
      <c r="C73" s="70" t="e">
        <f t="shared" si="10"/>
        <v>#N/A</v>
      </c>
      <c r="D73" s="69"/>
      <c r="E73" s="67"/>
      <c r="F73" s="67"/>
      <c r="G73" s="71"/>
      <c r="H73" s="87"/>
      <c r="I73" s="41"/>
      <c r="J73" s="40" t="e">
        <f>VLOOKUP(D73,[1]자코드!$F:$H,2,0)</f>
        <v>#N/A</v>
      </c>
      <c r="K73" s="64" t="e">
        <f>VLOOKUP(D73,[1]자코드!$F:$H,3,0)</f>
        <v>#N/A</v>
      </c>
      <c r="L73" s="64" t="str">
        <f>IFERROR(VLOOKUP(D73,[2]이원화!A:B,2,0),"")</f>
        <v/>
      </c>
      <c r="M73" s="56"/>
    </row>
    <row r="74" spans="1:13">
      <c r="A74" s="63">
        <f t="shared" si="8"/>
        <v>71</v>
      </c>
      <c r="B74" s="70" t="e">
        <f t="shared" si="9"/>
        <v>#N/A</v>
      </c>
      <c r="C74" s="70" t="e">
        <f t="shared" si="10"/>
        <v>#N/A</v>
      </c>
      <c r="D74" s="69"/>
      <c r="E74" s="67"/>
      <c r="F74" s="67"/>
      <c r="G74" s="71"/>
      <c r="H74" s="87"/>
      <c r="I74" s="41"/>
      <c r="J74" s="40" t="e">
        <f>VLOOKUP(D74,[1]자코드!$F:$H,2,0)</f>
        <v>#N/A</v>
      </c>
      <c r="K74" s="64" t="e">
        <f>VLOOKUP(D74,[1]자코드!$F:$H,3,0)</f>
        <v>#N/A</v>
      </c>
      <c r="L74" s="64" t="str">
        <f>IFERROR(VLOOKUP(D74,[2]이원화!A:B,2,0),"")</f>
        <v/>
      </c>
      <c r="M74" s="56"/>
    </row>
    <row r="75" spans="1:13">
      <c r="A75" s="63">
        <f t="shared" si="8"/>
        <v>72</v>
      </c>
      <c r="B75" s="70" t="e">
        <f t="shared" si="9"/>
        <v>#N/A</v>
      </c>
      <c r="C75" s="70" t="e">
        <f t="shared" si="10"/>
        <v>#N/A</v>
      </c>
      <c r="D75" s="69"/>
      <c r="E75" s="67"/>
      <c r="F75" s="67"/>
      <c r="G75" s="71"/>
      <c r="H75" s="87"/>
      <c r="I75" s="41"/>
      <c r="J75" s="40" t="e">
        <f>VLOOKUP(D75,[1]자코드!$F:$H,2,0)</f>
        <v>#N/A</v>
      </c>
      <c r="K75" s="64" t="e">
        <f>VLOOKUP(D75,[1]자코드!$F:$H,3,0)</f>
        <v>#N/A</v>
      </c>
      <c r="L75" s="64" t="str">
        <f>IFERROR(VLOOKUP(D75,[2]이원화!A:B,2,0),"")</f>
        <v/>
      </c>
      <c r="M75" s="56"/>
    </row>
    <row r="76" spans="1:13">
      <c r="A76" s="63">
        <f t="shared" si="8"/>
        <v>73</v>
      </c>
      <c r="B76" s="70" t="e">
        <f t="shared" si="9"/>
        <v>#N/A</v>
      </c>
      <c r="C76" s="70" t="e">
        <f t="shared" si="10"/>
        <v>#N/A</v>
      </c>
      <c r="D76" s="69"/>
      <c r="E76" s="67"/>
      <c r="F76" s="67"/>
      <c r="G76" s="71"/>
      <c r="H76" s="87"/>
      <c r="I76" s="41"/>
      <c r="J76" s="40" t="e">
        <f>VLOOKUP(D76,[1]자코드!$F:$H,2,0)</f>
        <v>#N/A</v>
      </c>
      <c r="K76" s="64" t="e">
        <f>VLOOKUP(D76,[1]자코드!$F:$H,3,0)</f>
        <v>#N/A</v>
      </c>
      <c r="L76" s="64" t="str">
        <f>IFERROR(VLOOKUP(D76,[2]이원화!A:B,2,0),"")</f>
        <v/>
      </c>
      <c r="M76" s="56"/>
    </row>
    <row r="77" spans="1:13">
      <c r="A77" s="63">
        <f t="shared" si="8"/>
        <v>74</v>
      </c>
      <c r="B77" s="70" t="e">
        <f t="shared" si="9"/>
        <v>#N/A</v>
      </c>
      <c r="C77" s="70" t="e">
        <f t="shared" si="10"/>
        <v>#N/A</v>
      </c>
      <c r="D77" s="69"/>
      <c r="E77" s="67"/>
      <c r="F77" s="67"/>
      <c r="G77" s="71"/>
      <c r="H77" s="87"/>
      <c r="I77" s="41"/>
      <c r="J77" s="40" t="e">
        <f>VLOOKUP(D77,[1]자코드!$F:$H,2,0)</f>
        <v>#N/A</v>
      </c>
      <c r="K77" s="64" t="e">
        <f>VLOOKUP(D77,[1]자코드!$F:$H,3,0)</f>
        <v>#N/A</v>
      </c>
      <c r="L77" s="64" t="str">
        <f>IFERROR(VLOOKUP(D77,[2]이원화!A:B,2,0),"")</f>
        <v/>
      </c>
      <c r="M77" s="56"/>
    </row>
    <row r="78" spans="1:13">
      <c r="A78" s="63">
        <f t="shared" si="8"/>
        <v>75</v>
      </c>
      <c r="B78" s="70" t="e">
        <f t="shared" si="9"/>
        <v>#N/A</v>
      </c>
      <c r="C78" s="70" t="e">
        <f t="shared" si="10"/>
        <v>#N/A</v>
      </c>
      <c r="D78" s="69"/>
      <c r="E78" s="67"/>
      <c r="F78" s="67"/>
      <c r="G78" s="71"/>
      <c r="H78" s="87"/>
      <c r="I78" s="41"/>
      <c r="J78" s="40" t="e">
        <f>VLOOKUP(D78,[1]자코드!$F:$H,2,0)</f>
        <v>#N/A</v>
      </c>
      <c r="K78" s="64" t="e">
        <f>VLOOKUP(D78,[1]자코드!$F:$H,3,0)</f>
        <v>#N/A</v>
      </c>
      <c r="L78" s="64" t="str">
        <f>IFERROR(VLOOKUP(D78,[2]이원화!A:B,2,0),"")</f>
        <v/>
      </c>
      <c r="M78" s="56"/>
    </row>
    <row r="79" spans="1:13">
      <c r="A79" s="63">
        <f t="shared" si="8"/>
        <v>76</v>
      </c>
      <c r="B79" s="70" t="e">
        <f t="shared" si="9"/>
        <v>#N/A</v>
      </c>
      <c r="C79" s="70" t="e">
        <f t="shared" si="10"/>
        <v>#N/A</v>
      </c>
      <c r="D79" s="69"/>
      <c r="E79" s="67"/>
      <c r="F79" s="67"/>
      <c r="G79" s="71"/>
      <c r="H79" s="87"/>
      <c r="I79" s="41"/>
      <c r="J79" s="40" t="e">
        <f>VLOOKUP(D79,[1]자코드!$F:$H,2,0)</f>
        <v>#N/A</v>
      </c>
      <c r="K79" s="64" t="e">
        <f>VLOOKUP(D79,[1]자코드!$F:$H,3,0)</f>
        <v>#N/A</v>
      </c>
      <c r="L79" s="64" t="str">
        <f>IFERROR(VLOOKUP(D79,[2]이원화!A:B,2,0),"")</f>
        <v/>
      </c>
      <c r="M79" s="56"/>
    </row>
    <row r="80" spans="1:13">
      <c r="A80" s="63">
        <f t="shared" si="8"/>
        <v>77</v>
      </c>
      <c r="B80" s="70" t="e">
        <f t="shared" si="9"/>
        <v>#N/A</v>
      </c>
      <c r="C80" s="70" t="e">
        <f t="shared" si="10"/>
        <v>#N/A</v>
      </c>
      <c r="D80" s="69"/>
      <c r="E80" s="67"/>
      <c r="F80" s="67"/>
      <c r="G80" s="71"/>
      <c r="H80" s="87"/>
      <c r="I80" s="41"/>
      <c r="J80" s="40" t="e">
        <f>VLOOKUP(D80,[1]자코드!$F:$H,2,0)</f>
        <v>#N/A</v>
      </c>
      <c r="K80" s="64" t="e">
        <f>VLOOKUP(D80,[1]자코드!$F:$H,3,0)</f>
        <v>#N/A</v>
      </c>
      <c r="L80" s="64" t="str">
        <f>IFERROR(VLOOKUP(D80,[2]이원화!A:B,2,0),"")</f>
        <v/>
      </c>
      <c r="M80" s="56"/>
    </row>
    <row r="81" spans="1:13">
      <c r="A81" s="63">
        <f t="shared" si="8"/>
        <v>78</v>
      </c>
      <c r="B81" s="70" t="e">
        <f t="shared" si="9"/>
        <v>#N/A</v>
      </c>
      <c r="C81" s="70" t="e">
        <f t="shared" si="10"/>
        <v>#N/A</v>
      </c>
      <c r="D81" s="69"/>
      <c r="E81" s="67"/>
      <c r="F81" s="67"/>
      <c r="G81" s="71"/>
      <c r="H81" s="87"/>
      <c r="I81" s="41"/>
      <c r="J81" s="40" t="e">
        <f>VLOOKUP(D81,[1]자코드!$F:$H,2,0)</f>
        <v>#N/A</v>
      </c>
      <c r="K81" s="64" t="e">
        <f>VLOOKUP(D81,[1]자코드!$F:$H,3,0)</f>
        <v>#N/A</v>
      </c>
      <c r="L81" s="64" t="str">
        <f>IFERROR(VLOOKUP(D81,[2]이원화!A:B,2,0),"")</f>
        <v/>
      </c>
      <c r="M81" s="56"/>
    </row>
    <row r="82" spans="1:13">
      <c r="A82" s="63">
        <f t="shared" si="8"/>
        <v>79</v>
      </c>
      <c r="B82" s="70" t="e">
        <f t="shared" si="9"/>
        <v>#N/A</v>
      </c>
      <c r="C82" s="70" t="e">
        <f t="shared" si="10"/>
        <v>#N/A</v>
      </c>
      <c r="D82" s="69"/>
      <c r="E82" s="67"/>
      <c r="F82" s="67"/>
      <c r="G82" s="71"/>
      <c r="H82" s="87"/>
      <c r="I82" s="41"/>
      <c r="J82" s="40" t="e">
        <f>VLOOKUP(D82,[1]자코드!$F:$H,2,0)</f>
        <v>#N/A</v>
      </c>
      <c r="K82" s="64" t="e">
        <f>VLOOKUP(D82,[1]자코드!$F:$H,3,0)</f>
        <v>#N/A</v>
      </c>
      <c r="L82" s="64" t="str">
        <f>IFERROR(VLOOKUP(D82,[2]이원화!A:B,2,0),"")</f>
        <v/>
      </c>
      <c r="M82" s="56"/>
    </row>
    <row r="83" spans="1:13">
      <c r="A83" s="63">
        <f t="shared" si="8"/>
        <v>80</v>
      </c>
      <c r="B83" s="70" t="e">
        <f t="shared" si="9"/>
        <v>#N/A</v>
      </c>
      <c r="C83" s="70" t="e">
        <f t="shared" si="10"/>
        <v>#N/A</v>
      </c>
      <c r="D83" s="69"/>
      <c r="E83" s="67"/>
      <c r="F83" s="67"/>
      <c r="G83" s="71"/>
      <c r="H83" s="87"/>
      <c r="I83" s="41"/>
      <c r="J83" s="40" t="e">
        <f>VLOOKUP(D83,[1]자코드!$F:$H,2,0)</f>
        <v>#N/A</v>
      </c>
      <c r="K83" s="64" t="e">
        <f>VLOOKUP(D83,[1]자코드!$F:$H,3,0)</f>
        <v>#N/A</v>
      </c>
      <c r="L83" s="64" t="str">
        <f>IFERROR(VLOOKUP(D83,[2]이원화!A:B,2,0),"")</f>
        <v/>
      </c>
      <c r="M83" s="56"/>
    </row>
    <row r="84" spans="1:13">
      <c r="A84" s="63">
        <f t="shared" si="8"/>
        <v>81</v>
      </c>
      <c r="B84" s="70" t="e">
        <f t="shared" si="9"/>
        <v>#N/A</v>
      </c>
      <c r="C84" s="70" t="e">
        <f t="shared" si="10"/>
        <v>#N/A</v>
      </c>
      <c r="D84" s="69"/>
      <c r="E84" s="67"/>
      <c r="F84" s="67"/>
      <c r="G84" s="71"/>
      <c r="H84" s="87"/>
      <c r="I84" s="41"/>
      <c r="J84" s="40" t="e">
        <f>VLOOKUP(D84,[1]자코드!$F:$H,2,0)</f>
        <v>#N/A</v>
      </c>
      <c r="K84" s="64" t="e">
        <f>VLOOKUP(D84,[1]자코드!$F:$H,3,0)</f>
        <v>#N/A</v>
      </c>
      <c r="L84" s="64" t="str">
        <f>IFERROR(VLOOKUP(D84,[2]이원화!A:B,2,0),"")</f>
        <v/>
      </c>
      <c r="M84" s="56"/>
    </row>
    <row r="85" spans="1:13">
      <c r="A85" s="63">
        <f t="shared" si="8"/>
        <v>82</v>
      </c>
      <c r="B85" s="70" t="e">
        <f t="shared" si="9"/>
        <v>#N/A</v>
      </c>
      <c r="C85" s="70" t="e">
        <f t="shared" si="10"/>
        <v>#N/A</v>
      </c>
      <c r="D85" s="69"/>
      <c r="E85" s="67"/>
      <c r="F85" s="67"/>
      <c r="G85" s="71"/>
      <c r="H85" s="87"/>
      <c r="I85" s="41"/>
      <c r="J85" s="40" t="e">
        <f>VLOOKUP(D85,[1]자코드!$F:$H,2,0)</f>
        <v>#N/A</v>
      </c>
      <c r="K85" s="64" t="e">
        <f>VLOOKUP(D85,[1]자코드!$F:$H,3,0)</f>
        <v>#N/A</v>
      </c>
      <c r="L85" s="64" t="str">
        <f>IFERROR(VLOOKUP(D85,[2]이원화!A:B,2,0),"")</f>
        <v/>
      </c>
      <c r="M85" s="56"/>
    </row>
    <row r="86" spans="1:13">
      <c r="A86" s="63">
        <f t="shared" si="8"/>
        <v>83</v>
      </c>
      <c r="B86" s="70" t="e">
        <f t="shared" si="9"/>
        <v>#N/A</v>
      </c>
      <c r="C86" s="70" t="e">
        <f t="shared" si="10"/>
        <v>#N/A</v>
      </c>
      <c r="D86" s="69"/>
      <c r="E86" s="67"/>
      <c r="F86" s="67"/>
      <c r="G86" s="71"/>
      <c r="H86" s="87"/>
      <c r="I86" s="41"/>
      <c r="J86" s="40" t="e">
        <f>VLOOKUP(D86,[1]자코드!$F:$H,2,0)</f>
        <v>#N/A</v>
      </c>
      <c r="K86" s="64" t="e">
        <f>VLOOKUP(D86,[1]자코드!$F:$H,3,0)</f>
        <v>#N/A</v>
      </c>
      <c r="L86" s="64" t="str">
        <f>IFERROR(VLOOKUP(D86,[2]이원화!A:B,2,0),"")</f>
        <v/>
      </c>
      <c r="M86" s="56"/>
    </row>
    <row r="87" spans="1:13">
      <c r="A87" s="63">
        <f t="shared" si="8"/>
        <v>84</v>
      </c>
      <c r="B87" s="70" t="e">
        <f t="shared" si="9"/>
        <v>#N/A</v>
      </c>
      <c r="C87" s="70" t="e">
        <f t="shared" si="10"/>
        <v>#N/A</v>
      </c>
      <c r="D87" s="69"/>
      <c r="E87" s="67"/>
      <c r="F87" s="67"/>
      <c r="G87" s="71"/>
      <c r="H87" s="87"/>
      <c r="I87" s="41"/>
      <c r="J87" s="40" t="e">
        <f>VLOOKUP(D87,[1]자코드!$F:$H,2,0)</f>
        <v>#N/A</v>
      </c>
      <c r="K87" s="64" t="e">
        <f>VLOOKUP(D87,[1]자코드!$F:$H,3,0)</f>
        <v>#N/A</v>
      </c>
      <c r="L87" s="64" t="str">
        <f>IFERROR(VLOOKUP(D87,[2]이원화!A:B,2,0),"")</f>
        <v/>
      </c>
      <c r="M87" s="56"/>
    </row>
    <row r="88" spans="1:13">
      <c r="A88" s="63">
        <f t="shared" si="8"/>
        <v>85</v>
      </c>
      <c r="B88" s="70" t="e">
        <f t="shared" si="9"/>
        <v>#N/A</v>
      </c>
      <c r="C88" s="70" t="e">
        <f t="shared" si="10"/>
        <v>#N/A</v>
      </c>
      <c r="D88" s="69"/>
      <c r="E88" s="67"/>
      <c r="F88" s="67"/>
      <c r="G88" s="71"/>
      <c r="H88" s="87"/>
      <c r="I88" s="41"/>
      <c r="J88" s="40" t="e">
        <f>VLOOKUP(D88,[1]자코드!$F:$H,2,0)</f>
        <v>#N/A</v>
      </c>
      <c r="K88" s="64" t="e">
        <f>VLOOKUP(D88,[1]자코드!$F:$H,3,0)</f>
        <v>#N/A</v>
      </c>
      <c r="L88" s="64" t="str">
        <f>IFERROR(VLOOKUP(D88,[2]이원화!A:B,2,0),"")</f>
        <v/>
      </c>
      <c r="M88" s="56"/>
    </row>
  </sheetData>
  <autoFilter ref="A3:M21" xr:uid="{00000000-0009-0000-0000-000001000000}"/>
  <mergeCells count="9">
    <mergeCell ref="H20:H21"/>
    <mergeCell ref="H13:H14"/>
    <mergeCell ref="H6:H7"/>
    <mergeCell ref="H17:H18"/>
    <mergeCell ref="A1:I2"/>
    <mergeCell ref="H8:H9"/>
    <mergeCell ref="H15:H16"/>
    <mergeCell ref="H11:H12"/>
    <mergeCell ref="H4:H5"/>
  </mergeCells>
  <phoneticPr fontId="64" type="noConversion"/>
  <pageMargins left="0.7" right="0.7" top="0.75" bottom="0.75" header="0.3" footer="0.3"/>
  <pageSetup paperSize="9" scale="6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C154"/>
  <sheetViews>
    <sheetView topLeftCell="A10" workbookViewId="0">
      <selection activeCell="E23" sqref="E23"/>
    </sheetView>
  </sheetViews>
  <sheetFormatPr defaultColWidth="9" defaultRowHeight="13.2"/>
  <cols>
    <col min="1" max="1" width="23.59765625" style="42" bestFit="1" customWidth="1"/>
    <col min="2" max="2" width="16.3984375" style="42" bestFit="1" customWidth="1"/>
    <col min="3" max="3" width="8" style="42" bestFit="1" customWidth="1"/>
    <col min="4" max="16384" width="9" style="42"/>
  </cols>
  <sheetData>
    <row r="1" spans="1:3" ht="13.8" thickBot="1"/>
    <row r="2" spans="1:3" ht="22.2" thickBot="1">
      <c r="A2" s="6" t="s">
        <v>175</v>
      </c>
      <c r="B2" s="7" t="s">
        <v>183</v>
      </c>
      <c r="C2" s="8" t="s">
        <v>46</v>
      </c>
    </row>
    <row r="3" spans="1:3">
      <c r="A3" s="9" t="s">
        <v>47</v>
      </c>
      <c r="B3" s="10">
        <v>2.2000000000000002</v>
      </c>
      <c r="C3" s="19">
        <v>2.2000000000000002</v>
      </c>
    </row>
    <row r="4" spans="1:3">
      <c r="A4" s="11" t="s">
        <v>34</v>
      </c>
      <c r="B4" s="12">
        <v>4.75</v>
      </c>
      <c r="C4" s="20">
        <v>4.75</v>
      </c>
    </row>
    <row r="5" spans="1:3">
      <c r="A5" s="11" t="s">
        <v>48</v>
      </c>
      <c r="B5" s="12" t="s">
        <v>49</v>
      </c>
      <c r="C5" s="20">
        <v>1.5</v>
      </c>
    </row>
    <row r="6" spans="1:3">
      <c r="A6" s="13" t="s">
        <v>50</v>
      </c>
      <c r="B6" s="14" t="s">
        <v>51</v>
      </c>
      <c r="C6" s="20">
        <v>1.9</v>
      </c>
    </row>
    <row r="7" spans="1:3">
      <c r="A7" s="45" t="s">
        <v>844</v>
      </c>
      <c r="B7" s="14"/>
      <c r="C7" s="46" t="s">
        <v>845</v>
      </c>
    </row>
    <row r="8" spans="1:3">
      <c r="A8" s="13"/>
      <c r="B8" s="14"/>
      <c r="C8" s="20"/>
    </row>
    <row r="9" spans="1:3">
      <c r="A9" s="13"/>
      <c r="B9" s="14"/>
      <c r="C9" s="20"/>
    </row>
    <row r="10" spans="1:3">
      <c r="A10" s="13"/>
      <c r="B10" s="14"/>
      <c r="C10" s="20"/>
    </row>
    <row r="11" spans="1:3">
      <c r="A11" s="13"/>
      <c r="B11" s="14"/>
      <c r="C11" s="20"/>
    </row>
    <row r="12" spans="1:3">
      <c r="A12" s="13"/>
      <c r="B12" s="14"/>
      <c r="C12" s="20"/>
    </row>
    <row r="13" spans="1:3">
      <c r="A13" s="13"/>
      <c r="B13" s="14"/>
      <c r="C13" s="20"/>
    </row>
    <row r="14" spans="1:3">
      <c r="A14" s="13"/>
      <c r="B14" s="14"/>
      <c r="C14" s="20"/>
    </row>
    <row r="15" spans="1:3">
      <c r="A15" s="13"/>
      <c r="B15" s="14"/>
      <c r="C15" s="20"/>
    </row>
    <row r="16" spans="1:3">
      <c r="A16" s="13"/>
      <c r="B16" s="14"/>
      <c r="C16" s="20"/>
    </row>
    <row r="17" spans="1:3">
      <c r="A17" s="13"/>
      <c r="B17" s="14"/>
      <c r="C17" s="20"/>
    </row>
    <row r="18" spans="1:3">
      <c r="A18" s="13"/>
      <c r="B18" s="14"/>
      <c r="C18" s="20"/>
    </row>
    <row r="19" spans="1:3">
      <c r="A19" s="13"/>
      <c r="B19" s="14"/>
      <c r="C19" s="20"/>
    </row>
    <row r="20" spans="1:3">
      <c r="A20" s="13"/>
      <c r="B20" s="14"/>
      <c r="C20" s="20"/>
    </row>
    <row r="21" spans="1:3">
      <c r="A21" s="13"/>
      <c r="B21" s="14"/>
      <c r="C21" s="20"/>
    </row>
    <row r="22" spans="1:3">
      <c r="A22" s="13"/>
      <c r="B22" s="14"/>
      <c r="C22" s="20"/>
    </row>
    <row r="23" spans="1:3">
      <c r="A23" s="13"/>
      <c r="B23" s="14"/>
      <c r="C23" s="20"/>
    </row>
    <row r="24" spans="1:3">
      <c r="A24" s="13"/>
      <c r="B24" s="14"/>
      <c r="C24" s="20"/>
    </row>
    <row r="25" spans="1:3">
      <c r="A25" s="13" t="s">
        <v>52</v>
      </c>
      <c r="B25" s="14" t="s">
        <v>51</v>
      </c>
      <c r="C25" s="20">
        <v>1.9</v>
      </c>
    </row>
    <row r="26" spans="1:3">
      <c r="A26" s="11" t="s">
        <v>53</v>
      </c>
      <c r="B26" s="12" t="s">
        <v>54</v>
      </c>
      <c r="C26" s="20">
        <v>2</v>
      </c>
    </row>
    <row r="27" spans="1:3">
      <c r="A27" s="11" t="s">
        <v>55</v>
      </c>
      <c r="B27" s="12" t="s">
        <v>56</v>
      </c>
      <c r="C27" s="20">
        <v>1.9</v>
      </c>
    </row>
    <row r="28" spans="1:3">
      <c r="A28" s="15" t="s">
        <v>57</v>
      </c>
      <c r="B28" s="12" t="s">
        <v>56</v>
      </c>
      <c r="C28" s="20">
        <v>1.9</v>
      </c>
    </row>
    <row r="29" spans="1:3">
      <c r="A29" s="15" t="s">
        <v>58</v>
      </c>
      <c r="B29" s="12" t="s">
        <v>56</v>
      </c>
      <c r="C29" s="20">
        <v>2.5</v>
      </c>
    </row>
    <row r="30" spans="1:3">
      <c r="A30" s="11" t="s">
        <v>59</v>
      </c>
      <c r="B30" s="12" t="s">
        <v>60</v>
      </c>
      <c r="C30" s="20">
        <v>2</v>
      </c>
    </row>
    <row r="31" spans="1:3">
      <c r="A31" s="11" t="s">
        <v>61</v>
      </c>
      <c r="B31" s="12" t="s">
        <v>60</v>
      </c>
      <c r="C31" s="20">
        <v>2</v>
      </c>
    </row>
    <row r="32" spans="1:3">
      <c r="A32" s="13" t="s">
        <v>62</v>
      </c>
      <c r="B32" s="14" t="s">
        <v>63</v>
      </c>
      <c r="C32" s="21">
        <v>2</v>
      </c>
    </row>
    <row r="33" spans="1:3">
      <c r="A33" s="11" t="s">
        <v>64</v>
      </c>
      <c r="B33" s="12" t="s">
        <v>65</v>
      </c>
      <c r="C33" s="20">
        <v>2</v>
      </c>
    </row>
    <row r="34" spans="1:3">
      <c r="A34" s="11" t="s">
        <v>66</v>
      </c>
      <c r="B34" s="12" t="s">
        <v>65</v>
      </c>
      <c r="C34" s="20">
        <v>2</v>
      </c>
    </row>
    <row r="35" spans="1:3">
      <c r="A35" s="15" t="s">
        <v>35</v>
      </c>
      <c r="B35" s="14" t="s">
        <v>67</v>
      </c>
      <c r="C35" s="21">
        <v>2.7</v>
      </c>
    </row>
    <row r="36" spans="1:3">
      <c r="A36" s="11" t="s">
        <v>68</v>
      </c>
      <c r="B36" s="12" t="s">
        <v>69</v>
      </c>
      <c r="C36" s="20">
        <v>2.5</v>
      </c>
    </row>
    <row r="37" spans="1:3">
      <c r="A37" s="11" t="s">
        <v>70</v>
      </c>
      <c r="B37" s="12" t="s">
        <v>71</v>
      </c>
      <c r="C37" s="20">
        <v>2.5</v>
      </c>
    </row>
    <row r="38" spans="1:3">
      <c r="A38" s="11" t="s">
        <v>72</v>
      </c>
      <c r="B38" s="12" t="s">
        <v>71</v>
      </c>
      <c r="C38" s="20">
        <v>2.5</v>
      </c>
    </row>
    <row r="39" spans="1:3">
      <c r="A39" s="15" t="s">
        <v>73</v>
      </c>
      <c r="B39" s="16" t="s">
        <v>74</v>
      </c>
      <c r="C39" s="22">
        <v>2.7</v>
      </c>
    </row>
    <row r="40" spans="1:3">
      <c r="A40" s="15" t="s">
        <v>75</v>
      </c>
      <c r="B40" s="12" t="s">
        <v>76</v>
      </c>
      <c r="C40" s="20">
        <v>3</v>
      </c>
    </row>
    <row r="41" spans="1:3">
      <c r="A41" s="15" t="s">
        <v>77</v>
      </c>
      <c r="B41" s="12" t="s">
        <v>76</v>
      </c>
      <c r="C41" s="20">
        <v>3</v>
      </c>
    </row>
    <row r="42" spans="1:3">
      <c r="A42" s="15" t="s">
        <v>78</v>
      </c>
      <c r="B42" s="16" t="s">
        <v>76</v>
      </c>
      <c r="C42" s="22">
        <v>3</v>
      </c>
    </row>
    <row r="43" spans="1:3">
      <c r="A43" s="15" t="s">
        <v>79</v>
      </c>
      <c r="B43" s="16" t="s">
        <v>76</v>
      </c>
      <c r="C43" s="22">
        <v>3</v>
      </c>
    </row>
    <row r="44" spans="1:3">
      <c r="A44" s="15" t="s">
        <v>80</v>
      </c>
      <c r="B44" s="16" t="s">
        <v>81</v>
      </c>
      <c r="C44" s="22">
        <v>3</v>
      </c>
    </row>
    <row r="45" spans="1:3">
      <c r="A45" s="11" t="s">
        <v>82</v>
      </c>
      <c r="B45" s="12" t="s">
        <v>83</v>
      </c>
      <c r="C45" s="20">
        <v>3</v>
      </c>
    </row>
    <row r="46" spans="1:3">
      <c r="A46" s="15" t="s">
        <v>37</v>
      </c>
      <c r="B46" s="14" t="s">
        <v>84</v>
      </c>
      <c r="C46" s="21">
        <v>3</v>
      </c>
    </row>
    <row r="47" spans="1:3">
      <c r="A47" s="15" t="s">
        <v>33</v>
      </c>
      <c r="B47" s="14" t="s">
        <v>84</v>
      </c>
      <c r="C47" s="21">
        <v>3</v>
      </c>
    </row>
    <row r="48" spans="1:3">
      <c r="A48" s="11" t="s">
        <v>85</v>
      </c>
      <c r="B48" s="12" t="s">
        <v>86</v>
      </c>
      <c r="C48" s="20">
        <v>3</v>
      </c>
    </row>
    <row r="49" spans="1:3">
      <c r="A49" s="11" t="s">
        <v>87</v>
      </c>
      <c r="B49" s="12" t="s">
        <v>86</v>
      </c>
      <c r="C49" s="20">
        <v>3</v>
      </c>
    </row>
    <row r="50" spans="1:3">
      <c r="A50" s="11" t="s">
        <v>88</v>
      </c>
      <c r="B50" s="12" t="s">
        <v>86</v>
      </c>
      <c r="C50" s="20">
        <v>3</v>
      </c>
    </row>
    <row r="51" spans="1:3">
      <c r="A51" s="11" t="s">
        <v>89</v>
      </c>
      <c r="B51" s="12" t="s">
        <v>86</v>
      </c>
      <c r="C51" s="20">
        <v>3</v>
      </c>
    </row>
    <row r="52" spans="1:3">
      <c r="A52" s="11" t="s">
        <v>85</v>
      </c>
      <c r="B52" s="12" t="s">
        <v>86</v>
      </c>
      <c r="C52" s="20">
        <v>3</v>
      </c>
    </row>
    <row r="53" spans="1:3">
      <c r="A53" s="11" t="s">
        <v>90</v>
      </c>
      <c r="B53" s="12" t="s">
        <v>86</v>
      </c>
      <c r="C53" s="20">
        <v>3</v>
      </c>
    </row>
    <row r="54" spans="1:3">
      <c r="A54" s="11" t="s">
        <v>89</v>
      </c>
      <c r="B54" s="12" t="s">
        <v>86</v>
      </c>
      <c r="C54" s="20">
        <v>3</v>
      </c>
    </row>
    <row r="55" spans="1:3">
      <c r="A55" s="15" t="s">
        <v>91</v>
      </c>
      <c r="B55" s="14" t="s">
        <v>92</v>
      </c>
      <c r="C55" s="21">
        <v>3</v>
      </c>
    </row>
    <row r="56" spans="1:3">
      <c r="A56" s="15" t="s">
        <v>93</v>
      </c>
      <c r="B56" s="14" t="s">
        <v>92</v>
      </c>
      <c r="C56" s="21">
        <v>3</v>
      </c>
    </row>
    <row r="57" spans="1:3">
      <c r="A57" s="15" t="s">
        <v>895</v>
      </c>
      <c r="B57" s="14" t="s">
        <v>92</v>
      </c>
      <c r="C57" s="21">
        <v>3</v>
      </c>
    </row>
    <row r="58" spans="1:3">
      <c r="A58" s="15" t="s">
        <v>94</v>
      </c>
      <c r="B58" s="14" t="s">
        <v>92</v>
      </c>
      <c r="C58" s="21">
        <v>3</v>
      </c>
    </row>
    <row r="59" spans="1:3">
      <c r="A59" s="13" t="s">
        <v>95</v>
      </c>
      <c r="B59" s="14" t="s">
        <v>92</v>
      </c>
      <c r="C59" s="21">
        <v>3</v>
      </c>
    </row>
    <row r="60" spans="1:3">
      <c r="A60" s="15" t="s">
        <v>96</v>
      </c>
      <c r="B60" s="17" t="s">
        <v>92</v>
      </c>
      <c r="C60" s="23">
        <v>3</v>
      </c>
    </row>
    <row r="61" spans="1:3">
      <c r="A61" s="15" t="s">
        <v>97</v>
      </c>
      <c r="B61" s="17" t="s">
        <v>92</v>
      </c>
      <c r="C61" s="23">
        <v>3</v>
      </c>
    </row>
    <row r="62" spans="1:3">
      <c r="A62" s="15" t="s">
        <v>98</v>
      </c>
      <c r="B62" s="12" t="s">
        <v>92</v>
      </c>
      <c r="C62" s="20">
        <v>3</v>
      </c>
    </row>
    <row r="63" spans="1:3">
      <c r="A63" s="15" t="s">
        <v>24</v>
      </c>
      <c r="B63" s="12" t="s">
        <v>92</v>
      </c>
      <c r="C63" s="20">
        <v>3</v>
      </c>
    </row>
    <row r="64" spans="1:3">
      <c r="A64" s="15" t="s">
        <v>38</v>
      </c>
      <c r="B64" s="14" t="s">
        <v>54</v>
      </c>
      <c r="C64" s="21">
        <v>2</v>
      </c>
    </row>
    <row r="65" spans="1:3">
      <c r="A65" s="11" t="s">
        <v>99</v>
      </c>
      <c r="B65" s="12" t="s">
        <v>100</v>
      </c>
      <c r="C65" s="20">
        <v>3.5</v>
      </c>
    </row>
    <row r="66" spans="1:3">
      <c r="A66" s="11" t="s">
        <v>101</v>
      </c>
      <c r="B66" s="12" t="s">
        <v>102</v>
      </c>
      <c r="C66" s="20">
        <v>4</v>
      </c>
    </row>
    <row r="67" spans="1:3">
      <c r="A67" s="15" t="s">
        <v>103</v>
      </c>
      <c r="B67" s="17" t="s">
        <v>104</v>
      </c>
      <c r="C67" s="23">
        <v>4</v>
      </c>
    </row>
    <row r="68" spans="1:3">
      <c r="A68" s="15" t="s">
        <v>105</v>
      </c>
      <c r="B68" s="14" t="s">
        <v>106</v>
      </c>
      <c r="C68" s="21">
        <v>4</v>
      </c>
    </row>
    <row r="69" spans="1:3">
      <c r="A69" s="11" t="s">
        <v>107</v>
      </c>
      <c r="B69" s="12" t="s">
        <v>108</v>
      </c>
      <c r="C69" s="20">
        <v>4</v>
      </c>
    </row>
    <row r="70" spans="1:3">
      <c r="A70" s="15" t="s">
        <v>109</v>
      </c>
      <c r="B70" s="12" t="s">
        <v>108</v>
      </c>
      <c r="C70" s="20">
        <v>4</v>
      </c>
    </row>
    <row r="71" spans="1:3">
      <c r="A71" s="15" t="s">
        <v>110</v>
      </c>
      <c r="B71" s="12" t="s">
        <v>108</v>
      </c>
      <c r="C71" s="20">
        <v>4</v>
      </c>
    </row>
    <row r="72" spans="1:3">
      <c r="A72" s="15" t="s">
        <v>111</v>
      </c>
      <c r="B72" s="12" t="s">
        <v>108</v>
      </c>
      <c r="C72" s="20">
        <v>4</v>
      </c>
    </row>
    <row r="73" spans="1:3">
      <c r="A73" s="15" t="s">
        <v>112</v>
      </c>
      <c r="B73" s="12" t="s">
        <v>108</v>
      </c>
      <c r="C73" s="20">
        <v>4</v>
      </c>
    </row>
    <row r="74" spans="1:3">
      <c r="A74" s="15" t="s">
        <v>113</v>
      </c>
      <c r="B74" s="12" t="s">
        <v>108</v>
      </c>
      <c r="C74" s="20">
        <v>4</v>
      </c>
    </row>
    <row r="75" spans="1:3">
      <c r="A75" s="15" t="s">
        <v>114</v>
      </c>
      <c r="B75" s="12" t="s">
        <v>108</v>
      </c>
      <c r="C75" s="20">
        <v>4</v>
      </c>
    </row>
    <row r="76" spans="1:3">
      <c r="A76" s="15" t="s">
        <v>115</v>
      </c>
      <c r="B76" s="12" t="s">
        <v>108</v>
      </c>
      <c r="C76" s="20">
        <v>4</v>
      </c>
    </row>
    <row r="77" spans="1:3">
      <c r="A77" s="15" t="s">
        <v>116</v>
      </c>
      <c r="B77" s="12" t="s">
        <v>108</v>
      </c>
      <c r="C77" s="20">
        <v>4</v>
      </c>
    </row>
    <row r="78" spans="1:3">
      <c r="A78" s="15" t="s">
        <v>117</v>
      </c>
      <c r="B78" s="12" t="s">
        <v>108</v>
      </c>
      <c r="C78" s="20">
        <v>4</v>
      </c>
    </row>
    <row r="79" spans="1:3">
      <c r="A79" s="15" t="s">
        <v>118</v>
      </c>
      <c r="B79" s="12" t="s">
        <v>108</v>
      </c>
      <c r="C79" s="20">
        <v>4</v>
      </c>
    </row>
    <row r="80" spans="1:3">
      <c r="A80" s="15" t="s">
        <v>119</v>
      </c>
      <c r="B80" s="12" t="s">
        <v>108</v>
      </c>
      <c r="C80" s="20">
        <v>4</v>
      </c>
    </row>
    <row r="81" spans="1:3">
      <c r="A81" s="15" t="s">
        <v>120</v>
      </c>
      <c r="B81" s="17" t="s">
        <v>121</v>
      </c>
      <c r="C81" s="23">
        <v>4</v>
      </c>
    </row>
    <row r="82" spans="1:3">
      <c r="A82" s="15" t="s">
        <v>122</v>
      </c>
      <c r="B82" s="17" t="s">
        <v>121</v>
      </c>
      <c r="C82" s="23">
        <v>4</v>
      </c>
    </row>
    <row r="83" spans="1:3">
      <c r="A83" s="15" t="s">
        <v>123</v>
      </c>
      <c r="B83" s="17" t="s">
        <v>121</v>
      </c>
      <c r="C83" s="23">
        <v>4</v>
      </c>
    </row>
    <row r="84" spans="1:3">
      <c r="A84" s="15" t="s">
        <v>124</v>
      </c>
      <c r="B84" s="17" t="s">
        <v>121</v>
      </c>
      <c r="C84" s="23">
        <v>4</v>
      </c>
    </row>
    <row r="85" spans="1:3">
      <c r="A85" s="15" t="s">
        <v>125</v>
      </c>
      <c r="B85" s="17" t="s">
        <v>121</v>
      </c>
      <c r="C85" s="23">
        <v>4</v>
      </c>
    </row>
    <row r="86" spans="1:3">
      <c r="A86" s="11" t="s">
        <v>126</v>
      </c>
      <c r="B86" s="12" t="s">
        <v>121</v>
      </c>
      <c r="C86" s="20">
        <v>4</v>
      </c>
    </row>
    <row r="87" spans="1:3">
      <c r="A87" s="15" t="s">
        <v>127</v>
      </c>
      <c r="B87" s="17" t="s">
        <v>128</v>
      </c>
      <c r="C87" s="23">
        <v>4.5</v>
      </c>
    </row>
    <row r="88" spans="1:3">
      <c r="A88" s="15" t="s">
        <v>129</v>
      </c>
      <c r="B88" s="17" t="s">
        <v>128</v>
      </c>
      <c r="C88" s="23">
        <v>4.5</v>
      </c>
    </row>
    <row r="89" spans="1:3">
      <c r="A89" s="15" t="s">
        <v>130</v>
      </c>
      <c r="B89" s="17" t="s">
        <v>131</v>
      </c>
      <c r="C89" s="23">
        <v>4.5</v>
      </c>
    </row>
    <row r="90" spans="1:3">
      <c r="A90" s="11" t="s">
        <v>132</v>
      </c>
      <c r="B90" s="12" t="s">
        <v>131</v>
      </c>
      <c r="C90" s="23">
        <v>4.5</v>
      </c>
    </row>
    <row r="91" spans="1:3">
      <c r="A91" s="15" t="s">
        <v>133</v>
      </c>
      <c r="B91" s="17" t="s">
        <v>134</v>
      </c>
      <c r="C91" s="23">
        <v>4.5</v>
      </c>
    </row>
    <row r="92" spans="1:3">
      <c r="A92" s="11" t="s">
        <v>135</v>
      </c>
      <c r="B92" s="12" t="s">
        <v>134</v>
      </c>
      <c r="C92" s="23">
        <v>4.5</v>
      </c>
    </row>
    <row r="93" spans="1:3">
      <c r="A93" s="15" t="s">
        <v>136</v>
      </c>
      <c r="B93" s="17" t="s">
        <v>137</v>
      </c>
      <c r="C93" s="23">
        <v>4.5</v>
      </c>
    </row>
    <row r="94" spans="1:3">
      <c r="A94" s="15" t="s">
        <v>138</v>
      </c>
      <c r="B94" s="17" t="s">
        <v>137</v>
      </c>
      <c r="C94" s="23">
        <v>4.5</v>
      </c>
    </row>
    <row r="95" spans="1:3">
      <c r="A95" s="15" t="s">
        <v>139</v>
      </c>
      <c r="B95" s="17" t="s">
        <v>137</v>
      </c>
      <c r="C95" s="23">
        <v>4.5</v>
      </c>
    </row>
    <row r="96" spans="1:3">
      <c r="A96" s="15" t="s">
        <v>140</v>
      </c>
      <c r="B96" s="17" t="s">
        <v>137</v>
      </c>
      <c r="C96" s="23">
        <v>4.5</v>
      </c>
    </row>
    <row r="97" spans="1:3">
      <c r="A97" s="11" t="s">
        <v>141</v>
      </c>
      <c r="B97" s="12" t="s">
        <v>137</v>
      </c>
      <c r="C97" s="23">
        <v>4.5</v>
      </c>
    </row>
    <row r="98" spans="1:3">
      <c r="A98" s="11" t="s">
        <v>142</v>
      </c>
      <c r="B98" s="12" t="s">
        <v>137</v>
      </c>
      <c r="C98" s="23">
        <v>4.5</v>
      </c>
    </row>
    <row r="99" spans="1:3">
      <c r="A99" s="15" t="s">
        <v>36</v>
      </c>
      <c r="B99" s="12" t="s">
        <v>137</v>
      </c>
      <c r="C99" s="23">
        <v>4.5</v>
      </c>
    </row>
    <row r="100" spans="1:3">
      <c r="A100" s="11" t="s">
        <v>143</v>
      </c>
      <c r="B100" s="12" t="s">
        <v>144</v>
      </c>
      <c r="C100" s="20">
        <v>5</v>
      </c>
    </row>
    <row r="101" spans="1:3">
      <c r="A101" s="11" t="s">
        <v>145</v>
      </c>
      <c r="B101" s="12" t="s">
        <v>144</v>
      </c>
      <c r="C101" s="20">
        <v>5</v>
      </c>
    </row>
    <row r="102" spans="1:3">
      <c r="A102" s="15" t="s">
        <v>146</v>
      </c>
      <c r="B102" s="12" t="s">
        <v>144</v>
      </c>
      <c r="C102" s="20">
        <v>5</v>
      </c>
    </row>
    <row r="103" spans="1:3">
      <c r="A103" s="15" t="s">
        <v>147</v>
      </c>
      <c r="B103" s="17" t="s">
        <v>148</v>
      </c>
      <c r="C103" s="23">
        <v>5</v>
      </c>
    </row>
    <row r="104" spans="1:3">
      <c r="A104" s="15" t="s">
        <v>149</v>
      </c>
      <c r="B104" s="17" t="s">
        <v>148</v>
      </c>
      <c r="C104" s="23">
        <v>5</v>
      </c>
    </row>
    <row r="105" spans="1:3">
      <c r="A105" s="15" t="s">
        <v>150</v>
      </c>
      <c r="B105" s="17" t="s">
        <v>148</v>
      </c>
      <c r="C105" s="23">
        <v>5</v>
      </c>
    </row>
    <row r="106" spans="1:3">
      <c r="A106" s="15" t="s">
        <v>151</v>
      </c>
      <c r="B106" s="17" t="s">
        <v>148</v>
      </c>
      <c r="C106" s="23">
        <v>5</v>
      </c>
    </row>
    <row r="107" spans="1:3">
      <c r="A107" s="15" t="s">
        <v>152</v>
      </c>
      <c r="B107" s="17" t="s">
        <v>148</v>
      </c>
      <c r="C107" s="23">
        <v>5</v>
      </c>
    </row>
    <row r="108" spans="1:3">
      <c r="A108" s="15" t="s">
        <v>153</v>
      </c>
      <c r="B108" s="17" t="s">
        <v>148</v>
      </c>
      <c r="C108" s="23">
        <v>5</v>
      </c>
    </row>
    <row r="109" spans="1:3">
      <c r="A109" s="15" t="s">
        <v>154</v>
      </c>
      <c r="B109" s="17" t="s">
        <v>148</v>
      </c>
      <c r="C109" s="23">
        <v>5</v>
      </c>
    </row>
    <row r="110" spans="1:3">
      <c r="A110" s="15" t="s">
        <v>155</v>
      </c>
      <c r="B110" s="17" t="s">
        <v>148</v>
      </c>
      <c r="C110" s="23">
        <v>5</v>
      </c>
    </row>
    <row r="111" spans="1:3">
      <c r="A111" s="11" t="s">
        <v>156</v>
      </c>
      <c r="B111" s="12" t="s">
        <v>148</v>
      </c>
      <c r="C111" s="20">
        <v>5</v>
      </c>
    </row>
    <row r="112" spans="1:3">
      <c r="A112" s="15" t="s">
        <v>25</v>
      </c>
      <c r="B112" s="12" t="s">
        <v>148</v>
      </c>
      <c r="C112" s="20">
        <v>5</v>
      </c>
    </row>
    <row r="113" spans="1:3">
      <c r="A113" s="11" t="s">
        <v>157</v>
      </c>
      <c r="B113" s="12" t="s">
        <v>158</v>
      </c>
      <c r="C113" s="20">
        <v>5.5</v>
      </c>
    </row>
    <row r="114" spans="1:3">
      <c r="A114" s="15" t="s">
        <v>159</v>
      </c>
      <c r="B114" s="17" t="s">
        <v>160</v>
      </c>
      <c r="C114" s="23">
        <v>5.5</v>
      </c>
    </row>
    <row r="115" spans="1:3">
      <c r="A115" s="15" t="s">
        <v>161</v>
      </c>
      <c r="B115" s="16" t="s">
        <v>162</v>
      </c>
      <c r="C115" s="22">
        <v>8</v>
      </c>
    </row>
    <row r="116" spans="1:3">
      <c r="A116" s="11" t="s">
        <v>163</v>
      </c>
      <c r="B116" s="12" t="s">
        <v>164</v>
      </c>
      <c r="C116" s="22">
        <v>10</v>
      </c>
    </row>
    <row r="117" spans="1:3">
      <c r="A117" s="11" t="s">
        <v>876</v>
      </c>
      <c r="B117" s="12" t="s">
        <v>164</v>
      </c>
      <c r="C117" s="22">
        <v>10</v>
      </c>
    </row>
    <row r="118" spans="1:3">
      <c r="A118" s="11" t="s">
        <v>165</v>
      </c>
      <c r="B118" s="12" t="s">
        <v>164</v>
      </c>
      <c r="C118" s="22">
        <v>10</v>
      </c>
    </row>
    <row r="119" spans="1:3">
      <c r="A119" s="11" t="s">
        <v>166</v>
      </c>
      <c r="B119" s="12" t="s">
        <v>164</v>
      </c>
      <c r="C119" s="22">
        <v>10</v>
      </c>
    </row>
    <row r="120" spans="1:3">
      <c r="A120" s="11" t="s">
        <v>167</v>
      </c>
      <c r="B120" s="12" t="s">
        <v>164</v>
      </c>
      <c r="C120" s="22">
        <v>10</v>
      </c>
    </row>
    <row r="121" spans="1:3">
      <c r="A121" s="11" t="s">
        <v>168</v>
      </c>
      <c r="B121" s="12" t="s">
        <v>164</v>
      </c>
      <c r="C121" s="22">
        <v>10</v>
      </c>
    </row>
    <row r="122" spans="1:3">
      <c r="A122" s="11" t="s">
        <v>169</v>
      </c>
      <c r="B122" s="18"/>
      <c r="C122" s="22"/>
    </row>
    <row r="123" spans="1:3">
      <c r="A123" s="11" t="s">
        <v>170</v>
      </c>
      <c r="B123" s="18"/>
      <c r="C123" s="22"/>
    </row>
    <row r="124" spans="1:3">
      <c r="A124" s="11" t="s">
        <v>877</v>
      </c>
      <c r="B124" s="18"/>
      <c r="C124" s="22">
        <v>3.5</v>
      </c>
    </row>
    <row r="125" spans="1:3">
      <c r="A125" s="11" t="s">
        <v>171</v>
      </c>
      <c r="B125" s="18"/>
      <c r="C125" s="22"/>
    </row>
    <row r="126" spans="1:3">
      <c r="A126" s="11" t="s">
        <v>39</v>
      </c>
      <c r="B126" s="18" t="s">
        <v>172</v>
      </c>
      <c r="C126" s="22">
        <v>3</v>
      </c>
    </row>
    <row r="127" spans="1:3">
      <c r="A127" s="11" t="s">
        <v>173</v>
      </c>
      <c r="B127" s="18" t="s">
        <v>174</v>
      </c>
      <c r="C127" s="22">
        <v>2.7</v>
      </c>
    </row>
    <row r="128" spans="1:3">
      <c r="A128" s="11" t="s">
        <v>150</v>
      </c>
      <c r="B128" s="18" t="s">
        <v>848</v>
      </c>
      <c r="C128" s="22">
        <v>5</v>
      </c>
    </row>
    <row r="129" spans="1:3">
      <c r="A129" s="11" t="s">
        <v>849</v>
      </c>
      <c r="B129" s="18" t="s">
        <v>850</v>
      </c>
      <c r="C129" s="22">
        <v>5.5</v>
      </c>
    </row>
    <row r="130" spans="1:3">
      <c r="A130" s="11" t="s">
        <v>851</v>
      </c>
      <c r="B130" s="18" t="s">
        <v>850</v>
      </c>
      <c r="C130" s="22">
        <v>5.5</v>
      </c>
    </row>
    <row r="131" spans="1:3">
      <c r="A131" s="11" t="s">
        <v>852</v>
      </c>
      <c r="B131" s="18" t="s">
        <v>848</v>
      </c>
      <c r="C131" s="22">
        <v>5</v>
      </c>
    </row>
    <row r="132" spans="1:3">
      <c r="A132" s="11" t="s">
        <v>150</v>
      </c>
      <c r="B132" s="18" t="s">
        <v>848</v>
      </c>
      <c r="C132" s="22">
        <v>5</v>
      </c>
    </row>
    <row r="133" spans="1:3">
      <c r="A133" s="11" t="s">
        <v>853</v>
      </c>
      <c r="B133" s="18" t="s">
        <v>848</v>
      </c>
      <c r="C133" s="22">
        <v>5</v>
      </c>
    </row>
    <row r="134" spans="1:3">
      <c r="A134" s="11" t="s">
        <v>854</v>
      </c>
      <c r="B134" s="18" t="s">
        <v>855</v>
      </c>
      <c r="C134" s="22">
        <v>3.5</v>
      </c>
    </row>
    <row r="135" spans="1:3">
      <c r="A135" s="11" t="s">
        <v>856</v>
      </c>
      <c r="B135" s="18" t="s">
        <v>857</v>
      </c>
      <c r="C135" s="22">
        <v>6.5</v>
      </c>
    </row>
    <row r="136" spans="1:3">
      <c r="A136" s="11" t="s">
        <v>858</v>
      </c>
      <c r="B136" s="18" t="s">
        <v>891</v>
      </c>
      <c r="C136" s="22">
        <v>4.7</v>
      </c>
    </row>
    <row r="137" spans="1:3">
      <c r="A137" s="11" t="s">
        <v>859</v>
      </c>
      <c r="B137" s="18" t="s">
        <v>891</v>
      </c>
      <c r="C137" s="22">
        <v>5</v>
      </c>
    </row>
    <row r="138" spans="1:3">
      <c r="A138" s="11">
        <v>41728</v>
      </c>
      <c r="B138" s="18"/>
      <c r="C138" s="22">
        <v>5</v>
      </c>
    </row>
    <row r="139" spans="1:3">
      <c r="A139" s="11" t="s">
        <v>860</v>
      </c>
      <c r="B139" s="18"/>
      <c r="C139" s="22">
        <v>5</v>
      </c>
    </row>
    <row r="140" spans="1:3">
      <c r="A140" s="11" t="s">
        <v>1076</v>
      </c>
      <c r="B140" s="18" t="s">
        <v>892</v>
      </c>
      <c r="C140" s="22">
        <v>5</v>
      </c>
    </row>
    <row r="141" spans="1:3">
      <c r="A141" s="11" t="s">
        <v>878</v>
      </c>
      <c r="B141" s="18" t="s">
        <v>848</v>
      </c>
      <c r="C141" s="22">
        <v>5.5</v>
      </c>
    </row>
    <row r="142" spans="1:3">
      <c r="A142" s="11" t="s">
        <v>880</v>
      </c>
      <c r="B142" s="18" t="s">
        <v>879</v>
      </c>
      <c r="C142" s="22">
        <v>4.5</v>
      </c>
    </row>
    <row r="143" spans="1:3">
      <c r="A143" s="11" t="s">
        <v>881</v>
      </c>
      <c r="B143" s="18"/>
      <c r="C143" s="22">
        <v>5</v>
      </c>
    </row>
    <row r="144" spans="1:3">
      <c r="A144" s="11" t="s">
        <v>883</v>
      </c>
      <c r="B144" s="18"/>
      <c r="C144" s="22">
        <v>5</v>
      </c>
    </row>
    <row r="145" spans="1:3">
      <c r="A145" s="11" t="s">
        <v>882</v>
      </c>
      <c r="B145" s="18"/>
      <c r="C145" s="22">
        <v>5</v>
      </c>
    </row>
    <row r="146" spans="1:3">
      <c r="A146" s="11" t="s">
        <v>884</v>
      </c>
      <c r="B146" s="18" t="s">
        <v>848</v>
      </c>
      <c r="C146" s="22">
        <v>5.5</v>
      </c>
    </row>
    <row r="147" spans="1:3">
      <c r="A147" s="11" t="s">
        <v>887</v>
      </c>
      <c r="B147" s="18" t="s">
        <v>879</v>
      </c>
      <c r="C147" s="22">
        <v>5</v>
      </c>
    </row>
    <row r="148" spans="1:3">
      <c r="A148" s="11" t="s">
        <v>888</v>
      </c>
      <c r="B148" s="18" t="s">
        <v>879</v>
      </c>
      <c r="C148" s="22">
        <v>4.5</v>
      </c>
    </row>
    <row r="149" spans="1:3">
      <c r="A149" s="11" t="s">
        <v>889</v>
      </c>
      <c r="B149" s="18" t="s">
        <v>879</v>
      </c>
      <c r="C149" s="22">
        <v>4.5</v>
      </c>
    </row>
    <row r="150" spans="1:3">
      <c r="A150" s="11" t="s">
        <v>890</v>
      </c>
      <c r="B150" s="18" t="s">
        <v>879</v>
      </c>
      <c r="C150" s="22">
        <v>4.5</v>
      </c>
    </row>
    <row r="151" spans="1:3">
      <c r="A151" s="79" t="s">
        <v>894</v>
      </c>
      <c r="B151" s="78"/>
      <c r="C151" s="80">
        <v>5</v>
      </c>
    </row>
    <row r="152" spans="1:3">
      <c r="A152" s="81" t="s">
        <v>901</v>
      </c>
      <c r="B152" s="81"/>
      <c r="C152" s="81">
        <v>2.2000000000000002</v>
      </c>
    </row>
    <row r="153" spans="1:3">
      <c r="A153" s="85" t="s">
        <v>902</v>
      </c>
      <c r="B153" s="86"/>
      <c r="C153" s="86">
        <v>2.7</v>
      </c>
    </row>
    <row r="154" spans="1:3">
      <c r="A154" s="4" t="s">
        <v>1075</v>
      </c>
      <c r="C154" s="42">
        <v>3</v>
      </c>
    </row>
  </sheetData>
  <phoneticPr fontId="64" type="noConversion"/>
  <conditionalFormatting sqref="A86:A93 B120:B151">
    <cfRule type="expression" dxfId="30" priority="23">
      <formula>IF(#REF!="","미적용","적용")</formula>
    </cfRule>
    <cfRule type="cellIs" dxfId="29" priority="27" operator="equal">
      <formula>"""미적용"""</formula>
    </cfRule>
    <cfRule type="expression" dxfId="28" priority="28">
      <formula>#REF!="미적용"</formula>
    </cfRule>
  </conditionalFormatting>
  <conditionalFormatting sqref="A120:A121">
    <cfRule type="cellIs" dxfId="27" priority="17" operator="equal">
      <formula>"""미적용"""</formula>
    </cfRule>
    <cfRule type="expression" dxfId="26" priority="18">
      <formula>IF(#REF!="","미적용","적용")</formula>
    </cfRule>
    <cfRule type="expression" dxfId="25" priority="19">
      <formula>#REF!="미적용"</formula>
    </cfRule>
  </conditionalFormatting>
  <conditionalFormatting sqref="A125:A151">
    <cfRule type="expression" dxfId="24" priority="7">
      <formula>IF(#REF!="","미적용","적용")</formula>
    </cfRule>
    <cfRule type="cellIs" dxfId="23" priority="8" operator="equal">
      <formula>"""미적용"""</formula>
    </cfRule>
    <cfRule type="expression" dxfId="22" priority="9">
      <formula>#REF!="미적용"</formula>
    </cfRule>
  </conditionalFormatting>
  <conditionalFormatting sqref="A153:A154">
    <cfRule type="cellIs" dxfId="21" priority="1" operator="equal">
      <formula>"BLU"</formula>
    </cfRule>
  </conditionalFormatting>
  <conditionalFormatting sqref="A3:C27">
    <cfRule type="expression" dxfId="20" priority="10">
      <formula>IF(#REF!="","미적용","적용")</formula>
    </cfRule>
    <cfRule type="cellIs" dxfId="19" priority="11" operator="equal">
      <formula>"""미적용"""</formula>
    </cfRule>
    <cfRule type="expression" dxfId="18" priority="12">
      <formula>#REF!="미적용"</formula>
    </cfRule>
  </conditionalFormatting>
  <conditionalFormatting sqref="A52:C53">
    <cfRule type="expression" dxfId="17" priority="24">
      <formula>IF(#REF!="","미적용","적용")</formula>
    </cfRule>
    <cfRule type="cellIs" dxfId="16" priority="25" operator="equal">
      <formula>"""미적용"""</formula>
    </cfRule>
    <cfRule type="expression" dxfId="15" priority="26">
      <formula>#REF!="미적용"</formula>
    </cfRule>
  </conditionalFormatting>
  <conditionalFormatting sqref="A86:C86">
    <cfRule type="expression" dxfId="14" priority="16">
      <formula>IF(#REF!="","미적용","적용")</formula>
    </cfRule>
  </conditionalFormatting>
  <conditionalFormatting sqref="B120:B151">
    <cfRule type="expression" dxfId="13" priority="5">
      <formula>IF(XCS120="","미적용","적용")</formula>
    </cfRule>
    <cfRule type="expression" dxfId="12" priority="6">
      <formula>IF(XCT120="","미적용","적용")</formula>
    </cfRule>
  </conditionalFormatting>
  <conditionalFormatting sqref="B74:C117 B118 C118:C151">
    <cfRule type="cellIs" dxfId="11" priority="20" operator="equal">
      <formula>"""미적용"""</formula>
    </cfRule>
    <cfRule type="expression" dxfId="10" priority="21">
      <formula>IF(#REF!="","미적용","적용")</formula>
    </cfRule>
    <cfRule type="expression" dxfId="9" priority="22">
      <formula>#REF!="미적용"</formula>
    </cfRule>
  </conditionalFormatting>
  <conditionalFormatting sqref="B78:C85">
    <cfRule type="expression" dxfId="8" priority="29">
      <formula>IF(XAU78="","미적용","적용")</formula>
    </cfRule>
    <cfRule type="expression" dxfId="7" priority="30">
      <formula>IF(XAV78="","미적용","적용")</formula>
    </cfRule>
  </conditionalFormatting>
  <conditionalFormatting sqref="B136:C148">
    <cfRule type="cellIs" dxfId="6" priority="2" operator="equal">
      <formula>"""미적용"""</formula>
    </cfRule>
    <cfRule type="expression" dxfId="5" priority="3">
      <formula>IF(#REF!="","미적용","적용")</formula>
    </cfRule>
    <cfRule type="expression" dxfId="4" priority="4">
      <formula>#REF!="미적용"</formula>
    </cfRule>
  </conditionalFormatting>
  <conditionalFormatting sqref="C28:C29">
    <cfRule type="expression" dxfId="3" priority="13">
      <formula>IF(#REF!="","미적용","적용")</formula>
    </cfRule>
    <cfRule type="cellIs" dxfId="2" priority="14" operator="equal">
      <formula>"""미적용"""</formula>
    </cfRule>
    <cfRule type="expression" dxfId="1" priority="15">
      <formula>#REF!="미적용"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2:B166"/>
  <sheetViews>
    <sheetView topLeftCell="A156" workbookViewId="0">
      <selection activeCell="A172" sqref="A172"/>
    </sheetView>
  </sheetViews>
  <sheetFormatPr defaultColWidth="9" defaultRowHeight="13.2"/>
  <cols>
    <col min="1" max="1" width="41.19921875" style="47" bestFit="1" customWidth="1"/>
    <col min="2" max="2" width="6" style="47" bestFit="1" customWidth="1"/>
    <col min="3" max="16384" width="9" style="42"/>
  </cols>
  <sheetData>
    <row r="2" spans="1:2">
      <c r="A2" s="29" t="s">
        <v>184</v>
      </c>
      <c r="B2" s="30" t="s">
        <v>185</v>
      </c>
    </row>
    <row r="3" spans="1:2">
      <c r="A3" s="43" t="s">
        <v>187</v>
      </c>
      <c r="B3" s="43" t="s">
        <v>186</v>
      </c>
    </row>
    <row r="4" spans="1:2">
      <c r="A4" s="43" t="s">
        <v>188</v>
      </c>
      <c r="B4" s="43" t="s">
        <v>186</v>
      </c>
    </row>
    <row r="5" spans="1:2">
      <c r="A5" s="43" t="s">
        <v>189</v>
      </c>
      <c r="B5" s="43" t="s">
        <v>191</v>
      </c>
    </row>
    <row r="6" spans="1:2">
      <c r="A6" s="43" t="s">
        <v>190</v>
      </c>
      <c r="B6" s="43" t="s">
        <v>191</v>
      </c>
    </row>
    <row r="7" spans="1:2">
      <c r="A7" s="43" t="s">
        <v>192</v>
      </c>
      <c r="B7" s="43" t="s">
        <v>194</v>
      </c>
    </row>
    <row r="8" spans="1:2">
      <c r="A8" s="43" t="s">
        <v>193</v>
      </c>
      <c r="B8" s="43" t="s">
        <v>194</v>
      </c>
    </row>
    <row r="9" spans="1:2">
      <c r="A9" s="43" t="s">
        <v>195</v>
      </c>
      <c r="B9" s="43" t="s">
        <v>197</v>
      </c>
    </row>
    <row r="10" spans="1:2">
      <c r="A10" s="43" t="s">
        <v>196</v>
      </c>
      <c r="B10" s="43" t="s">
        <v>197</v>
      </c>
    </row>
    <row r="11" spans="1:2">
      <c r="A11" s="43" t="s">
        <v>198</v>
      </c>
      <c r="B11" s="43" t="s">
        <v>191</v>
      </c>
    </row>
    <row r="12" spans="1:2">
      <c r="A12" s="43" t="s">
        <v>199</v>
      </c>
      <c r="B12" s="43" t="s">
        <v>191</v>
      </c>
    </row>
    <row r="13" spans="1:2">
      <c r="A13" s="43" t="s">
        <v>200</v>
      </c>
      <c r="B13" s="43" t="s">
        <v>194</v>
      </c>
    </row>
    <row r="14" spans="1:2">
      <c r="A14" s="43" t="s">
        <v>29</v>
      </c>
      <c r="B14" s="43" t="s">
        <v>194</v>
      </c>
    </row>
    <row r="15" spans="1:2">
      <c r="A15" s="43" t="s">
        <v>201</v>
      </c>
      <c r="B15" s="43" t="s">
        <v>197</v>
      </c>
    </row>
    <row r="16" spans="1:2">
      <c r="A16" s="43" t="s">
        <v>28</v>
      </c>
      <c r="B16" s="43" t="s">
        <v>197</v>
      </c>
    </row>
    <row r="17" spans="1:2">
      <c r="A17" s="43" t="s">
        <v>202</v>
      </c>
      <c r="B17" s="43" t="s">
        <v>197</v>
      </c>
    </row>
    <row r="18" spans="1:2">
      <c r="A18" s="43" t="s">
        <v>203</v>
      </c>
      <c r="B18" s="43" t="s">
        <v>197</v>
      </c>
    </row>
    <row r="19" spans="1:2">
      <c r="A19" s="43" t="s">
        <v>204</v>
      </c>
      <c r="B19" s="43" t="s">
        <v>186</v>
      </c>
    </row>
    <row r="20" spans="1:2">
      <c r="A20" s="43" t="s">
        <v>205</v>
      </c>
      <c r="B20" s="43" t="s">
        <v>186</v>
      </c>
    </row>
    <row r="21" spans="1:2">
      <c r="A21" s="43" t="s">
        <v>206</v>
      </c>
      <c r="B21" s="43" t="s">
        <v>191</v>
      </c>
    </row>
    <row r="22" spans="1:2">
      <c r="A22" s="43" t="s">
        <v>207</v>
      </c>
      <c r="B22" s="43" t="s">
        <v>191</v>
      </c>
    </row>
    <row r="23" spans="1:2">
      <c r="A23" s="43" t="s">
        <v>208</v>
      </c>
      <c r="B23" s="43" t="s">
        <v>194</v>
      </c>
    </row>
    <row r="24" spans="1:2">
      <c r="A24" s="43" t="s">
        <v>209</v>
      </c>
      <c r="B24" s="43" t="s">
        <v>194</v>
      </c>
    </row>
    <row r="25" spans="1:2">
      <c r="A25" s="43" t="s">
        <v>210</v>
      </c>
      <c r="B25" s="43" t="s">
        <v>197</v>
      </c>
    </row>
    <row r="26" spans="1:2">
      <c r="A26" s="43" t="s">
        <v>211</v>
      </c>
      <c r="B26" s="43" t="s">
        <v>197</v>
      </c>
    </row>
    <row r="27" spans="1:2">
      <c r="A27" s="43" t="s">
        <v>212</v>
      </c>
      <c r="B27" s="43" t="s">
        <v>191</v>
      </c>
    </row>
    <row r="28" spans="1:2">
      <c r="A28" s="43" t="s">
        <v>213</v>
      </c>
      <c r="B28" s="43" t="s">
        <v>191</v>
      </c>
    </row>
    <row r="29" spans="1:2">
      <c r="A29" s="43" t="s">
        <v>214</v>
      </c>
      <c r="B29" s="43" t="s">
        <v>194</v>
      </c>
    </row>
    <row r="30" spans="1:2">
      <c r="A30" s="43" t="s">
        <v>215</v>
      </c>
      <c r="B30" s="43" t="s">
        <v>194</v>
      </c>
    </row>
    <row r="31" spans="1:2">
      <c r="A31" s="43" t="s">
        <v>216</v>
      </c>
      <c r="B31" s="43" t="s">
        <v>197</v>
      </c>
    </row>
    <row r="32" spans="1:2">
      <c r="A32" s="43" t="s">
        <v>217</v>
      </c>
      <c r="B32" s="43" t="s">
        <v>197</v>
      </c>
    </row>
    <row r="33" spans="1:2">
      <c r="A33" s="43" t="s">
        <v>218</v>
      </c>
      <c r="B33" s="43" t="s">
        <v>197</v>
      </c>
    </row>
    <row r="34" spans="1:2">
      <c r="A34" s="43" t="s">
        <v>219</v>
      </c>
      <c r="B34" s="43" t="s">
        <v>197</v>
      </c>
    </row>
    <row r="35" spans="1:2">
      <c r="A35" s="43" t="s">
        <v>220</v>
      </c>
      <c r="B35" s="43" t="s">
        <v>197</v>
      </c>
    </row>
    <row r="36" spans="1:2">
      <c r="A36" s="43" t="s">
        <v>221</v>
      </c>
      <c r="B36" s="43" t="s">
        <v>197</v>
      </c>
    </row>
    <row r="37" spans="1:2">
      <c r="A37" s="43" t="s">
        <v>222</v>
      </c>
      <c r="B37" s="43" t="s">
        <v>224</v>
      </c>
    </row>
    <row r="38" spans="1:2">
      <c r="A38" s="43" t="s">
        <v>223</v>
      </c>
      <c r="B38" s="43" t="s">
        <v>186</v>
      </c>
    </row>
    <row r="39" spans="1:2">
      <c r="A39" s="43" t="s">
        <v>737</v>
      </c>
      <c r="B39" s="43" t="s">
        <v>186</v>
      </c>
    </row>
    <row r="40" spans="1:2">
      <c r="A40" s="43" t="s">
        <v>738</v>
      </c>
      <c r="B40" s="43" t="s">
        <v>186</v>
      </c>
    </row>
    <row r="41" spans="1:2">
      <c r="A41" s="43" t="s">
        <v>739</v>
      </c>
      <c r="B41" s="43" t="s">
        <v>186</v>
      </c>
    </row>
    <row r="42" spans="1:2">
      <c r="A42" s="43" t="s">
        <v>740</v>
      </c>
      <c r="B42" s="43" t="s">
        <v>186</v>
      </c>
    </row>
    <row r="43" spans="1:2">
      <c r="A43" s="43" t="s">
        <v>741</v>
      </c>
      <c r="B43" s="43" t="s">
        <v>186</v>
      </c>
    </row>
    <row r="44" spans="1:2">
      <c r="A44" s="43" t="s">
        <v>742</v>
      </c>
      <c r="B44" s="43" t="s">
        <v>186</v>
      </c>
    </row>
    <row r="45" spans="1:2">
      <c r="A45" s="43" t="s">
        <v>743</v>
      </c>
      <c r="B45" s="43" t="s">
        <v>186</v>
      </c>
    </row>
    <row r="46" spans="1:2">
      <c r="A46" s="43" t="s">
        <v>32</v>
      </c>
      <c r="B46" s="43" t="s">
        <v>186</v>
      </c>
    </row>
    <row r="47" spans="1:2">
      <c r="A47" s="43" t="s">
        <v>227</v>
      </c>
      <c r="B47" s="43" t="s">
        <v>186</v>
      </c>
    </row>
    <row r="48" spans="1:2">
      <c r="A48" s="43" t="s">
        <v>744</v>
      </c>
      <c r="B48" s="43" t="s">
        <v>186</v>
      </c>
    </row>
    <row r="49" spans="1:2">
      <c r="A49" s="43" t="s">
        <v>745</v>
      </c>
      <c r="B49" s="43" t="s">
        <v>186</v>
      </c>
    </row>
    <row r="50" spans="1:2">
      <c r="A50" s="43" t="s">
        <v>746</v>
      </c>
      <c r="B50" s="43" t="s">
        <v>186</v>
      </c>
    </row>
    <row r="51" spans="1:2">
      <c r="A51" s="43" t="s">
        <v>30</v>
      </c>
      <c r="B51" s="43" t="s">
        <v>186</v>
      </c>
    </row>
    <row r="52" spans="1:2">
      <c r="A52" s="43" t="s">
        <v>226</v>
      </c>
      <c r="B52" s="43" t="s">
        <v>186</v>
      </c>
    </row>
    <row r="53" spans="1:2">
      <c r="A53" s="43" t="s">
        <v>747</v>
      </c>
      <c r="B53" s="43" t="s">
        <v>186</v>
      </c>
    </row>
    <row r="54" spans="1:2">
      <c r="A54" s="43" t="s">
        <v>748</v>
      </c>
      <c r="B54" s="43" t="s">
        <v>186</v>
      </c>
    </row>
    <row r="55" spans="1:2">
      <c r="A55" s="43" t="s">
        <v>749</v>
      </c>
      <c r="B55" s="43" t="s">
        <v>186</v>
      </c>
    </row>
    <row r="56" spans="1:2">
      <c r="A56" s="43" t="s">
        <v>750</v>
      </c>
      <c r="B56" s="43" t="s">
        <v>186</v>
      </c>
    </row>
    <row r="57" spans="1:2">
      <c r="A57" s="43" t="s">
        <v>751</v>
      </c>
      <c r="B57" s="43" t="s">
        <v>186</v>
      </c>
    </row>
    <row r="58" spans="1:2">
      <c r="A58" s="43" t="s">
        <v>27</v>
      </c>
      <c r="B58" s="43" t="s">
        <v>186</v>
      </c>
    </row>
    <row r="59" spans="1:2">
      <c r="A59" s="43" t="s">
        <v>752</v>
      </c>
      <c r="B59" s="43" t="s">
        <v>186</v>
      </c>
    </row>
    <row r="60" spans="1:2">
      <c r="A60" s="43" t="s">
        <v>31</v>
      </c>
      <c r="B60" s="43" t="s">
        <v>186</v>
      </c>
    </row>
    <row r="61" spans="1:2">
      <c r="A61" s="43" t="s">
        <v>26</v>
      </c>
      <c r="B61" s="43" t="s">
        <v>186</v>
      </c>
    </row>
    <row r="62" spans="1:2">
      <c r="A62" s="43" t="s">
        <v>753</v>
      </c>
      <c r="B62" s="43" t="s">
        <v>186</v>
      </c>
    </row>
    <row r="63" spans="1:2">
      <c r="A63" s="43" t="s">
        <v>754</v>
      </c>
      <c r="B63" s="43" t="s">
        <v>186</v>
      </c>
    </row>
    <row r="64" spans="1:2">
      <c r="A64" s="43" t="s">
        <v>755</v>
      </c>
      <c r="B64" s="43" t="s">
        <v>186</v>
      </c>
    </row>
    <row r="65" spans="1:2">
      <c r="A65" s="43" t="s">
        <v>756</v>
      </c>
      <c r="B65" s="43" t="s">
        <v>186</v>
      </c>
    </row>
    <row r="66" spans="1:2">
      <c r="A66" s="43" t="s">
        <v>757</v>
      </c>
      <c r="B66" s="43" t="s">
        <v>186</v>
      </c>
    </row>
    <row r="67" spans="1:2">
      <c r="A67" s="43" t="s">
        <v>758</v>
      </c>
      <c r="B67" s="43" t="s">
        <v>186</v>
      </c>
    </row>
    <row r="68" spans="1:2">
      <c r="A68" s="43" t="s">
        <v>759</v>
      </c>
      <c r="B68" s="43" t="s">
        <v>186</v>
      </c>
    </row>
    <row r="69" spans="1:2">
      <c r="A69" s="43" t="s">
        <v>760</v>
      </c>
      <c r="B69" s="43" t="s">
        <v>186</v>
      </c>
    </row>
    <row r="70" spans="1:2">
      <c r="A70" s="43" t="s">
        <v>761</v>
      </c>
      <c r="B70" s="43" t="s">
        <v>186</v>
      </c>
    </row>
    <row r="71" spans="1:2">
      <c r="A71" s="43" t="s">
        <v>225</v>
      </c>
      <c r="B71" s="43" t="s">
        <v>186</v>
      </c>
    </row>
    <row r="72" spans="1:2">
      <c r="A72" s="43" t="s">
        <v>762</v>
      </c>
      <c r="B72" s="43" t="s">
        <v>186</v>
      </c>
    </row>
    <row r="73" spans="1:2">
      <c r="A73" s="43" t="s">
        <v>763</v>
      </c>
      <c r="B73" s="43" t="s">
        <v>186</v>
      </c>
    </row>
    <row r="74" spans="1:2">
      <c r="A74" s="43" t="s">
        <v>228</v>
      </c>
      <c r="B74" s="43" t="s">
        <v>186</v>
      </c>
    </row>
    <row r="75" spans="1:2">
      <c r="A75" s="43" t="s">
        <v>764</v>
      </c>
      <c r="B75" s="43" t="s">
        <v>186</v>
      </c>
    </row>
    <row r="76" spans="1:2">
      <c r="A76" s="43" t="s">
        <v>765</v>
      </c>
      <c r="B76" s="43" t="s">
        <v>186</v>
      </c>
    </row>
    <row r="77" spans="1:2">
      <c r="A77" s="43" t="s">
        <v>766</v>
      </c>
      <c r="B77" s="43" t="s">
        <v>186</v>
      </c>
    </row>
    <row r="78" spans="1:2">
      <c r="A78" s="43" t="s">
        <v>767</v>
      </c>
      <c r="B78" s="43" t="s">
        <v>186</v>
      </c>
    </row>
    <row r="79" spans="1:2">
      <c r="A79" s="43" t="s">
        <v>229</v>
      </c>
      <c r="B79" s="43" t="s">
        <v>186</v>
      </c>
    </row>
    <row r="80" spans="1:2">
      <c r="A80" s="43" t="s">
        <v>768</v>
      </c>
      <c r="B80" s="43" t="s">
        <v>186</v>
      </c>
    </row>
    <row r="81" spans="1:2">
      <c r="A81" s="44" t="s">
        <v>769</v>
      </c>
      <c r="B81" s="43" t="s">
        <v>191</v>
      </c>
    </row>
    <row r="82" spans="1:2">
      <c r="A82" s="44" t="s">
        <v>770</v>
      </c>
      <c r="B82" s="43" t="s">
        <v>191</v>
      </c>
    </row>
    <row r="83" spans="1:2">
      <c r="A83" s="44" t="s">
        <v>771</v>
      </c>
      <c r="B83" s="43" t="s">
        <v>191</v>
      </c>
    </row>
    <row r="84" spans="1:2">
      <c r="A84" s="44" t="s">
        <v>772</v>
      </c>
      <c r="B84" s="43" t="s">
        <v>191</v>
      </c>
    </row>
    <row r="85" spans="1:2">
      <c r="A85" s="43" t="s">
        <v>773</v>
      </c>
      <c r="B85" s="43" t="s">
        <v>186</v>
      </c>
    </row>
    <row r="86" spans="1:2">
      <c r="A86" s="43" t="s">
        <v>774</v>
      </c>
      <c r="B86" s="43" t="s">
        <v>186</v>
      </c>
    </row>
    <row r="87" spans="1:2">
      <c r="A87" s="43" t="s">
        <v>775</v>
      </c>
      <c r="B87" s="43" t="s">
        <v>186</v>
      </c>
    </row>
    <row r="88" spans="1:2">
      <c r="A88" s="43" t="s">
        <v>776</v>
      </c>
      <c r="B88" s="43" t="s">
        <v>186</v>
      </c>
    </row>
    <row r="89" spans="1:2">
      <c r="A89" s="43" t="s">
        <v>777</v>
      </c>
      <c r="B89" s="43" t="s">
        <v>186</v>
      </c>
    </row>
    <row r="90" spans="1:2">
      <c r="A90" s="43" t="s">
        <v>778</v>
      </c>
      <c r="B90" s="43" t="s">
        <v>186</v>
      </c>
    </row>
    <row r="91" spans="1:2">
      <c r="A91" s="43" t="s">
        <v>779</v>
      </c>
      <c r="B91" s="43" t="s">
        <v>186</v>
      </c>
    </row>
    <row r="92" spans="1:2">
      <c r="A92" s="43" t="s">
        <v>780</v>
      </c>
      <c r="B92" s="43" t="s">
        <v>186</v>
      </c>
    </row>
    <row r="93" spans="1:2">
      <c r="A93" s="43" t="s">
        <v>781</v>
      </c>
      <c r="B93" s="43" t="s">
        <v>186</v>
      </c>
    </row>
    <row r="94" spans="1:2">
      <c r="A94" s="43" t="s">
        <v>782</v>
      </c>
      <c r="B94" s="43" t="s">
        <v>186</v>
      </c>
    </row>
    <row r="95" spans="1:2">
      <c r="A95" s="43" t="s">
        <v>783</v>
      </c>
      <c r="B95" s="43" t="s">
        <v>186</v>
      </c>
    </row>
    <row r="96" spans="1:2">
      <c r="A96" s="43" t="s">
        <v>784</v>
      </c>
      <c r="B96" s="43" t="s">
        <v>186</v>
      </c>
    </row>
    <row r="97" spans="1:2">
      <c r="A97" s="43" t="s">
        <v>785</v>
      </c>
      <c r="B97" s="43" t="s">
        <v>186</v>
      </c>
    </row>
    <row r="98" spans="1:2">
      <c r="A98" s="43" t="s">
        <v>786</v>
      </c>
      <c r="B98" s="43" t="s">
        <v>186</v>
      </c>
    </row>
    <row r="99" spans="1:2">
      <c r="A99" s="43" t="s">
        <v>787</v>
      </c>
      <c r="B99" s="43" t="s">
        <v>186</v>
      </c>
    </row>
    <row r="100" spans="1:2">
      <c r="A100" s="43" t="s">
        <v>788</v>
      </c>
      <c r="B100" s="43" t="s">
        <v>186</v>
      </c>
    </row>
    <row r="101" spans="1:2">
      <c r="A101" s="43" t="s">
        <v>789</v>
      </c>
      <c r="B101" s="43" t="s">
        <v>186</v>
      </c>
    </row>
    <row r="102" spans="1:2">
      <c r="A102" s="43" t="s">
        <v>790</v>
      </c>
      <c r="B102" s="43" t="s">
        <v>186</v>
      </c>
    </row>
    <row r="103" spans="1:2">
      <c r="A103" s="43" t="s">
        <v>791</v>
      </c>
      <c r="B103" s="43" t="s">
        <v>186</v>
      </c>
    </row>
    <row r="104" spans="1:2">
      <c r="A104" s="43" t="s">
        <v>792</v>
      </c>
      <c r="B104" s="43" t="s">
        <v>186</v>
      </c>
    </row>
    <row r="105" spans="1:2">
      <c r="A105" s="43" t="s">
        <v>793</v>
      </c>
      <c r="B105" s="43" t="s">
        <v>186</v>
      </c>
    </row>
    <row r="106" spans="1:2">
      <c r="A106" s="43" t="s">
        <v>794</v>
      </c>
      <c r="B106" s="43" t="s">
        <v>186</v>
      </c>
    </row>
    <row r="107" spans="1:2">
      <c r="A107" s="43" t="s">
        <v>795</v>
      </c>
      <c r="B107" s="43" t="s">
        <v>186</v>
      </c>
    </row>
    <row r="108" spans="1:2">
      <c r="A108" s="43" t="s">
        <v>796</v>
      </c>
      <c r="B108" s="43" t="s">
        <v>186</v>
      </c>
    </row>
    <row r="109" spans="1:2">
      <c r="A109" s="44" t="s">
        <v>797</v>
      </c>
      <c r="B109" s="43" t="s">
        <v>191</v>
      </c>
    </row>
    <row r="110" spans="1:2">
      <c r="A110" s="44" t="s">
        <v>798</v>
      </c>
      <c r="B110" s="43" t="s">
        <v>191</v>
      </c>
    </row>
    <row r="111" spans="1:2">
      <c r="A111" s="44" t="s">
        <v>799</v>
      </c>
      <c r="B111" s="43" t="s">
        <v>191</v>
      </c>
    </row>
    <row r="112" spans="1:2">
      <c r="A112" s="44" t="s">
        <v>800</v>
      </c>
      <c r="B112" s="43" t="s">
        <v>191</v>
      </c>
    </row>
    <row r="113" spans="1:2">
      <c r="A113" s="44" t="s">
        <v>801</v>
      </c>
      <c r="B113" s="43" t="s">
        <v>191</v>
      </c>
    </row>
    <row r="114" spans="1:2">
      <c r="A114" s="44" t="s">
        <v>802</v>
      </c>
      <c r="B114" s="43" t="s">
        <v>191</v>
      </c>
    </row>
    <row r="115" spans="1:2">
      <c r="A115" s="44" t="s">
        <v>803</v>
      </c>
      <c r="B115" s="43" t="s">
        <v>191</v>
      </c>
    </row>
    <row r="116" spans="1:2">
      <c r="A116" s="44" t="s">
        <v>804</v>
      </c>
      <c r="B116" s="43" t="s">
        <v>191</v>
      </c>
    </row>
    <row r="117" spans="1:2">
      <c r="A117" s="44" t="s">
        <v>805</v>
      </c>
      <c r="B117" s="43" t="s">
        <v>191</v>
      </c>
    </row>
    <row r="118" spans="1:2">
      <c r="A118" s="44" t="s">
        <v>806</v>
      </c>
      <c r="B118" s="43" t="s">
        <v>191</v>
      </c>
    </row>
    <row r="119" spans="1:2">
      <c r="A119" s="44" t="s">
        <v>807</v>
      </c>
      <c r="B119" s="43" t="s">
        <v>191</v>
      </c>
    </row>
    <row r="120" spans="1:2">
      <c r="A120" s="44" t="s">
        <v>808</v>
      </c>
      <c r="B120" s="43" t="s">
        <v>191</v>
      </c>
    </row>
    <row r="121" spans="1:2">
      <c r="A121" s="44" t="s">
        <v>809</v>
      </c>
      <c r="B121" s="43" t="s">
        <v>191</v>
      </c>
    </row>
    <row r="122" spans="1:2">
      <c r="A122" s="44" t="s">
        <v>810</v>
      </c>
      <c r="B122" s="43" t="s">
        <v>191</v>
      </c>
    </row>
    <row r="123" spans="1:2">
      <c r="A123" s="44" t="s">
        <v>811</v>
      </c>
      <c r="B123" s="43" t="s">
        <v>191</v>
      </c>
    </row>
    <row r="124" spans="1:2">
      <c r="A124" s="44" t="s">
        <v>812</v>
      </c>
      <c r="B124" s="43" t="s">
        <v>191</v>
      </c>
    </row>
    <row r="125" spans="1:2">
      <c r="A125" s="44" t="s">
        <v>813</v>
      </c>
      <c r="B125" s="43" t="s">
        <v>191</v>
      </c>
    </row>
    <row r="126" spans="1:2">
      <c r="A126" s="44" t="s">
        <v>814</v>
      </c>
      <c r="B126" s="43" t="s">
        <v>191</v>
      </c>
    </row>
    <row r="127" spans="1:2">
      <c r="A127" s="44" t="s">
        <v>815</v>
      </c>
      <c r="B127" s="43" t="s">
        <v>191</v>
      </c>
    </row>
    <row r="128" spans="1:2">
      <c r="A128" s="44" t="s">
        <v>816</v>
      </c>
      <c r="B128" s="43" t="s">
        <v>191</v>
      </c>
    </row>
    <row r="129" spans="1:2">
      <c r="A129" s="44" t="s">
        <v>817</v>
      </c>
      <c r="B129" s="43" t="s">
        <v>191</v>
      </c>
    </row>
    <row r="130" spans="1:2">
      <c r="A130" s="44" t="s">
        <v>818</v>
      </c>
      <c r="B130" s="43" t="s">
        <v>191</v>
      </c>
    </row>
    <row r="131" spans="1:2">
      <c r="A131" s="44" t="s">
        <v>819</v>
      </c>
      <c r="B131" s="43" t="s">
        <v>191</v>
      </c>
    </row>
    <row r="132" spans="1:2">
      <c r="A132" s="44" t="s">
        <v>820</v>
      </c>
      <c r="B132" s="43" t="s">
        <v>191</v>
      </c>
    </row>
    <row r="133" spans="1:2">
      <c r="A133" s="44" t="s">
        <v>821</v>
      </c>
      <c r="B133" s="43" t="s">
        <v>191</v>
      </c>
    </row>
    <row r="134" spans="1:2">
      <c r="A134" s="44" t="s">
        <v>822</v>
      </c>
      <c r="B134" s="43" t="s">
        <v>191</v>
      </c>
    </row>
    <row r="135" spans="1:2">
      <c r="A135" s="44" t="s">
        <v>823</v>
      </c>
      <c r="B135" s="43" t="s">
        <v>191</v>
      </c>
    </row>
    <row r="136" spans="1:2">
      <c r="A136" s="44" t="s">
        <v>824</v>
      </c>
      <c r="B136" s="43" t="s">
        <v>224</v>
      </c>
    </row>
    <row r="137" spans="1:2">
      <c r="A137" s="44" t="s">
        <v>825</v>
      </c>
      <c r="B137" s="43" t="s">
        <v>224</v>
      </c>
    </row>
    <row r="138" spans="1:2">
      <c r="A138" s="44" t="s">
        <v>826</v>
      </c>
      <c r="B138" s="43" t="s">
        <v>224</v>
      </c>
    </row>
    <row r="139" spans="1:2">
      <c r="A139" s="44" t="s">
        <v>827</v>
      </c>
      <c r="B139" s="43" t="s">
        <v>186</v>
      </c>
    </row>
    <row r="140" spans="1:2">
      <c r="A140" s="44" t="s">
        <v>828</v>
      </c>
      <c r="B140" s="43" t="s">
        <v>224</v>
      </c>
    </row>
    <row r="141" spans="1:2">
      <c r="A141" s="44" t="s">
        <v>829</v>
      </c>
      <c r="B141" s="43" t="s">
        <v>224</v>
      </c>
    </row>
    <row r="142" spans="1:2">
      <c r="A142" s="44" t="s">
        <v>830</v>
      </c>
      <c r="B142" s="43" t="s">
        <v>224</v>
      </c>
    </row>
    <row r="143" spans="1:2">
      <c r="A143" s="43" t="s">
        <v>831</v>
      </c>
      <c r="B143" s="43" t="s">
        <v>224</v>
      </c>
    </row>
    <row r="144" spans="1:2">
      <c r="A144" s="43" t="s">
        <v>832</v>
      </c>
      <c r="B144" s="43" t="s">
        <v>194</v>
      </c>
    </row>
    <row r="145" spans="1:2">
      <c r="A145" s="43" t="s">
        <v>833</v>
      </c>
      <c r="B145" s="43" t="s">
        <v>186</v>
      </c>
    </row>
    <row r="146" spans="1:2">
      <c r="A146" s="43" t="s">
        <v>834</v>
      </c>
      <c r="B146" s="43" t="s">
        <v>194</v>
      </c>
    </row>
    <row r="147" spans="1:2">
      <c r="A147" s="43" t="s">
        <v>835</v>
      </c>
      <c r="B147" s="43" t="s">
        <v>194</v>
      </c>
    </row>
    <row r="148" spans="1:2">
      <c r="A148" s="43" t="s">
        <v>836</v>
      </c>
      <c r="B148" s="43" t="s">
        <v>194</v>
      </c>
    </row>
    <row r="149" spans="1:2">
      <c r="A149" s="43" t="s">
        <v>837</v>
      </c>
      <c r="B149" s="43" t="s">
        <v>186</v>
      </c>
    </row>
    <row r="150" spans="1:2">
      <c r="A150" s="43" t="s">
        <v>838</v>
      </c>
      <c r="B150" s="43" t="s">
        <v>197</v>
      </c>
    </row>
    <row r="151" spans="1:2">
      <c r="A151" s="43" t="s">
        <v>839</v>
      </c>
      <c r="B151" s="43" t="s">
        <v>194</v>
      </c>
    </row>
    <row r="152" spans="1:2">
      <c r="A152" s="43" t="s">
        <v>864</v>
      </c>
      <c r="B152" s="43" t="s">
        <v>191</v>
      </c>
    </row>
    <row r="153" spans="1:2">
      <c r="A153" s="43" t="s">
        <v>866</v>
      </c>
      <c r="B153" s="43" t="s">
        <v>870</v>
      </c>
    </row>
    <row r="154" spans="1:2">
      <c r="A154" s="43" t="s">
        <v>867</v>
      </c>
      <c r="B154" s="43" t="s">
        <v>870</v>
      </c>
    </row>
    <row r="155" spans="1:2">
      <c r="A155" s="43" t="s">
        <v>868</v>
      </c>
      <c r="B155" s="43" t="s">
        <v>870</v>
      </c>
    </row>
    <row r="156" spans="1:2">
      <c r="A156" s="43" t="s">
        <v>874</v>
      </c>
      <c r="B156" s="43" t="s">
        <v>197</v>
      </c>
    </row>
    <row r="157" spans="1:2">
      <c r="A157" s="43" t="s">
        <v>865</v>
      </c>
      <c r="B157" s="43" t="s">
        <v>197</v>
      </c>
    </row>
    <row r="158" spans="1:2">
      <c r="A158" s="43" t="s">
        <v>873</v>
      </c>
      <c r="B158" s="43" t="s">
        <v>197</v>
      </c>
    </row>
    <row r="159" spans="1:2">
      <c r="A159" s="43" t="s">
        <v>869</v>
      </c>
      <c r="B159" s="43" t="s">
        <v>194</v>
      </c>
    </row>
    <row r="160" spans="1:2">
      <c r="A160" s="43" t="s">
        <v>885</v>
      </c>
      <c r="B160" s="43" t="s">
        <v>194</v>
      </c>
    </row>
    <row r="161" spans="1:2">
      <c r="A161" s="43" t="s">
        <v>886</v>
      </c>
      <c r="B161" s="43" t="s">
        <v>197</v>
      </c>
    </row>
    <row r="162" spans="1:2">
      <c r="A162" s="43" t="s">
        <v>893</v>
      </c>
      <c r="B162" s="43" t="s">
        <v>191</v>
      </c>
    </row>
    <row r="163" spans="1:2">
      <c r="A163" s="47" t="s">
        <v>896</v>
      </c>
      <c r="B163" s="43" t="s">
        <v>186</v>
      </c>
    </row>
    <row r="164" spans="1:2">
      <c r="A164" s="47" t="s">
        <v>899</v>
      </c>
      <c r="B164" s="43" t="s">
        <v>186</v>
      </c>
    </row>
    <row r="165" spans="1:2">
      <c r="A165" s="47" t="s">
        <v>900</v>
      </c>
      <c r="B165" s="43" t="s">
        <v>186</v>
      </c>
    </row>
    <row r="166" spans="1:2">
      <c r="A166" s="68"/>
      <c r="B166" s="43"/>
    </row>
  </sheetData>
  <phoneticPr fontId="64" type="noConversion"/>
  <conditionalFormatting sqref="A166">
    <cfRule type="cellIs" dxfId="0" priority="1" operator="equal">
      <formula>"BLU"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551"/>
  <sheetViews>
    <sheetView workbookViewId="0"/>
  </sheetViews>
  <sheetFormatPr defaultRowHeight="17.399999999999999"/>
  <cols>
    <col min="1" max="1" width="21.69921875" style="31" customWidth="1"/>
    <col min="2" max="2" width="22.8984375" style="31" bestFit="1" customWidth="1"/>
  </cols>
  <sheetData>
    <row r="1" spans="1:2">
      <c r="A1" s="5" t="s">
        <v>233</v>
      </c>
      <c r="B1" s="5" t="s">
        <v>233</v>
      </c>
    </row>
    <row r="2" spans="1:2">
      <c r="A2" s="5" t="s">
        <v>234</v>
      </c>
      <c r="B2" s="5" t="s">
        <v>235</v>
      </c>
    </row>
    <row r="3" spans="1:2">
      <c r="A3" s="5" t="s">
        <v>236</v>
      </c>
      <c r="B3" s="5" t="s">
        <v>237</v>
      </c>
    </row>
    <row r="4" spans="1:2">
      <c r="A4" s="5" t="s">
        <v>238</v>
      </c>
      <c r="B4" s="5" t="s">
        <v>239</v>
      </c>
    </row>
    <row r="5" spans="1:2">
      <c r="A5" s="5" t="s">
        <v>240</v>
      </c>
      <c r="B5" s="5" t="s">
        <v>241</v>
      </c>
    </row>
    <row r="6" spans="1:2">
      <c r="A6" s="5" t="s">
        <v>242</v>
      </c>
      <c r="B6" s="5" t="s">
        <v>235</v>
      </c>
    </row>
    <row r="7" spans="1:2">
      <c r="A7" s="5" t="s">
        <v>243</v>
      </c>
      <c r="B7" s="5" t="s">
        <v>237</v>
      </c>
    </row>
    <row r="8" spans="1:2">
      <c r="A8" s="5" t="s">
        <v>244</v>
      </c>
      <c r="B8" s="5" t="s">
        <v>239</v>
      </c>
    </row>
    <row r="9" spans="1:2">
      <c r="A9" s="5" t="s">
        <v>245</v>
      </c>
      <c r="B9" s="5" t="s">
        <v>241</v>
      </c>
    </row>
    <row r="10" spans="1:2">
      <c r="A10" s="5" t="s">
        <v>246</v>
      </c>
      <c r="B10" s="5" t="s">
        <v>247</v>
      </c>
    </row>
    <row r="11" spans="1:2">
      <c r="A11" s="5" t="s">
        <v>248</v>
      </c>
      <c r="B11" s="5" t="s">
        <v>249</v>
      </c>
    </row>
    <row r="12" spans="1:2">
      <c r="A12" s="5" t="s">
        <v>250</v>
      </c>
      <c r="B12" s="5" t="s">
        <v>251</v>
      </c>
    </row>
    <row r="13" spans="1:2">
      <c r="A13" s="5" t="s">
        <v>252</v>
      </c>
      <c r="B13" s="5" t="s">
        <v>253</v>
      </c>
    </row>
    <row r="14" spans="1:2">
      <c r="A14" s="5" t="s">
        <v>254</v>
      </c>
      <c r="B14" s="5" t="s">
        <v>247</v>
      </c>
    </row>
    <row r="15" spans="1:2">
      <c r="A15" s="5" t="s">
        <v>255</v>
      </c>
      <c r="B15" s="5" t="s">
        <v>249</v>
      </c>
    </row>
    <row r="16" spans="1:2">
      <c r="A16" s="5" t="s">
        <v>256</v>
      </c>
      <c r="B16" s="5" t="s">
        <v>251</v>
      </c>
    </row>
    <row r="17" spans="1:2">
      <c r="A17" s="5" t="s">
        <v>257</v>
      </c>
      <c r="B17" s="5" t="s">
        <v>253</v>
      </c>
    </row>
    <row r="18" spans="1:2">
      <c r="A18" s="5" t="s">
        <v>258</v>
      </c>
      <c r="B18" s="5" t="s">
        <v>259</v>
      </c>
    </row>
    <row r="19" spans="1:2">
      <c r="A19" s="5" t="s">
        <v>260</v>
      </c>
      <c r="B19" s="5" t="s">
        <v>261</v>
      </c>
    </row>
    <row r="20" spans="1:2">
      <c r="A20" s="5" t="s">
        <v>262</v>
      </c>
      <c r="B20" s="5" t="s">
        <v>263</v>
      </c>
    </row>
    <row r="21" spans="1:2">
      <c r="A21" s="5" t="s">
        <v>264</v>
      </c>
      <c r="B21" s="5" t="s">
        <v>265</v>
      </c>
    </row>
    <row r="22" spans="1:2">
      <c r="A22" s="5" t="s">
        <v>266</v>
      </c>
      <c r="B22" s="5" t="s">
        <v>259</v>
      </c>
    </row>
    <row r="23" spans="1:2">
      <c r="A23" s="5" t="s">
        <v>267</v>
      </c>
      <c r="B23" s="5" t="s">
        <v>261</v>
      </c>
    </row>
    <row r="24" spans="1:2">
      <c r="A24" s="5" t="s">
        <v>268</v>
      </c>
      <c r="B24" s="5" t="s">
        <v>263</v>
      </c>
    </row>
    <row r="25" spans="1:2">
      <c r="A25" s="5" t="s">
        <v>269</v>
      </c>
      <c r="B25" s="5" t="s">
        <v>265</v>
      </c>
    </row>
    <row r="26" spans="1:2">
      <c r="A26" s="5" t="s">
        <v>270</v>
      </c>
      <c r="B26" s="5" t="s">
        <v>271</v>
      </c>
    </row>
    <row r="27" spans="1:2">
      <c r="A27" s="5" t="s">
        <v>272</v>
      </c>
      <c r="B27" s="5" t="s">
        <v>273</v>
      </c>
    </row>
    <row r="28" spans="1:2">
      <c r="A28" s="5" t="s">
        <v>274</v>
      </c>
      <c r="B28" s="5" t="s">
        <v>275</v>
      </c>
    </row>
    <row r="29" spans="1:2">
      <c r="A29" s="5" t="s">
        <v>276</v>
      </c>
      <c r="B29" s="5" t="s">
        <v>277</v>
      </c>
    </row>
    <row r="30" spans="1:2">
      <c r="A30" s="36" t="s">
        <v>278</v>
      </c>
      <c r="B30" s="37" t="s">
        <v>279</v>
      </c>
    </row>
    <row r="31" spans="1:2">
      <c r="A31" s="36" t="s">
        <v>280</v>
      </c>
      <c r="B31" s="37" t="s">
        <v>281</v>
      </c>
    </row>
    <row r="32" spans="1:2">
      <c r="A32" s="36" t="s">
        <v>282</v>
      </c>
      <c r="B32" s="37" t="s">
        <v>283</v>
      </c>
    </row>
    <row r="33" spans="1:2">
      <c r="A33" s="36" t="s">
        <v>284</v>
      </c>
      <c r="B33" s="37" t="s">
        <v>285</v>
      </c>
    </row>
    <row r="34" spans="1:2">
      <c r="A34" s="36" t="s">
        <v>286</v>
      </c>
      <c r="B34" s="37" t="s">
        <v>287</v>
      </c>
    </row>
    <row r="35" spans="1:2">
      <c r="A35" s="36" t="s">
        <v>288</v>
      </c>
      <c r="B35" s="37" t="s">
        <v>289</v>
      </c>
    </row>
    <row r="36" spans="1:2">
      <c r="A36" s="36" t="s">
        <v>290</v>
      </c>
      <c r="B36" s="37" t="s">
        <v>291</v>
      </c>
    </row>
    <row r="37" spans="1:2">
      <c r="A37" s="36" t="s">
        <v>292</v>
      </c>
      <c r="B37" s="37" t="s">
        <v>293</v>
      </c>
    </row>
    <row r="38" spans="1:2">
      <c r="A38" s="36" t="s">
        <v>294</v>
      </c>
      <c r="B38" s="37" t="s">
        <v>295</v>
      </c>
    </row>
    <row r="39" spans="1:2">
      <c r="A39" s="36" t="s">
        <v>296</v>
      </c>
      <c r="B39" s="37" t="s">
        <v>297</v>
      </c>
    </row>
    <row r="40" spans="1:2">
      <c r="A40" s="36" t="s">
        <v>298</v>
      </c>
      <c r="B40" s="37" t="s">
        <v>299</v>
      </c>
    </row>
    <row r="41" spans="1:2">
      <c r="A41" s="36" t="s">
        <v>300</v>
      </c>
      <c r="B41" s="37" t="s">
        <v>301</v>
      </c>
    </row>
    <row r="42" spans="1:2">
      <c r="A42" s="5" t="s">
        <v>302</v>
      </c>
      <c r="B42" s="5" t="s">
        <v>303</v>
      </c>
    </row>
    <row r="43" spans="1:2">
      <c r="A43" s="5" t="s">
        <v>304</v>
      </c>
      <c r="B43" s="5" t="s">
        <v>305</v>
      </c>
    </row>
    <row r="44" spans="1:2">
      <c r="A44" s="5" t="s">
        <v>306</v>
      </c>
      <c r="B44" s="5" t="s">
        <v>307</v>
      </c>
    </row>
    <row r="45" spans="1:2">
      <c r="A45" s="5" t="s">
        <v>308</v>
      </c>
      <c r="B45" s="5" t="s">
        <v>309</v>
      </c>
    </row>
    <row r="46" spans="1:2">
      <c r="A46" s="5" t="s">
        <v>310</v>
      </c>
      <c r="B46" s="5" t="s">
        <v>303</v>
      </c>
    </row>
    <row r="47" spans="1:2">
      <c r="A47" s="5" t="s">
        <v>311</v>
      </c>
      <c r="B47" s="5" t="s">
        <v>305</v>
      </c>
    </row>
    <row r="48" spans="1:2">
      <c r="A48" s="5" t="s">
        <v>312</v>
      </c>
      <c r="B48" s="5" t="s">
        <v>307</v>
      </c>
    </row>
    <row r="49" spans="1:2">
      <c r="A49" s="5" t="s">
        <v>313</v>
      </c>
      <c r="B49" s="5" t="s">
        <v>309</v>
      </c>
    </row>
    <row r="50" spans="1:2">
      <c r="A50" s="5" t="s">
        <v>314</v>
      </c>
      <c r="B50" s="5" t="s">
        <v>315</v>
      </c>
    </row>
    <row r="51" spans="1:2">
      <c r="A51" s="5" t="s">
        <v>316</v>
      </c>
      <c r="B51" s="5" t="s">
        <v>317</v>
      </c>
    </row>
    <row r="52" spans="1:2">
      <c r="A52" s="5" t="s">
        <v>318</v>
      </c>
      <c r="B52" s="5" t="s">
        <v>319</v>
      </c>
    </row>
    <row r="53" spans="1:2">
      <c r="A53" s="5" t="s">
        <v>320</v>
      </c>
      <c r="B53" s="5" t="s">
        <v>321</v>
      </c>
    </row>
    <row r="54" spans="1:2">
      <c r="A54" s="5" t="s">
        <v>322</v>
      </c>
      <c r="B54" s="5" t="s">
        <v>315</v>
      </c>
    </row>
    <row r="55" spans="1:2">
      <c r="A55" s="5" t="s">
        <v>323</v>
      </c>
      <c r="B55" s="5" t="s">
        <v>317</v>
      </c>
    </row>
    <row r="56" spans="1:2">
      <c r="A56" s="5" t="s">
        <v>324</v>
      </c>
      <c r="B56" s="5" t="s">
        <v>319</v>
      </c>
    </row>
    <row r="57" spans="1:2">
      <c r="A57" s="5" t="s">
        <v>325</v>
      </c>
      <c r="B57" s="5" t="s">
        <v>321</v>
      </c>
    </row>
    <row r="58" spans="1:2">
      <c r="A58" s="5" t="s">
        <v>326</v>
      </c>
      <c r="B58" s="5" t="s">
        <v>327</v>
      </c>
    </row>
    <row r="59" spans="1:2">
      <c r="A59" s="5" t="s">
        <v>328</v>
      </c>
      <c r="B59" s="5" t="s">
        <v>329</v>
      </c>
    </row>
    <row r="60" spans="1:2">
      <c r="A60" s="5" t="s">
        <v>330</v>
      </c>
      <c r="B60" s="5" t="s">
        <v>331</v>
      </c>
    </row>
    <row r="61" spans="1:2">
      <c r="A61" s="5" t="s">
        <v>332</v>
      </c>
      <c r="B61" s="5" t="s">
        <v>333</v>
      </c>
    </row>
    <row r="62" spans="1:2">
      <c r="A62" s="5" t="s">
        <v>334</v>
      </c>
      <c r="B62" s="5" t="s">
        <v>335</v>
      </c>
    </row>
    <row r="63" spans="1:2">
      <c r="A63" s="5" t="s">
        <v>336</v>
      </c>
      <c r="B63" s="5" t="s">
        <v>337</v>
      </c>
    </row>
    <row r="64" spans="1:2">
      <c r="A64" s="5" t="s">
        <v>338</v>
      </c>
      <c r="B64" s="5" t="s">
        <v>339</v>
      </c>
    </row>
    <row r="65" spans="1:2">
      <c r="A65" s="5" t="s">
        <v>340</v>
      </c>
      <c r="B65" s="5" t="s">
        <v>341</v>
      </c>
    </row>
    <row r="66" spans="1:2">
      <c r="A66" s="5" t="s">
        <v>42</v>
      </c>
      <c r="B66" s="38" t="s">
        <v>342</v>
      </c>
    </row>
    <row r="67" spans="1:2">
      <c r="A67" s="5" t="s">
        <v>343</v>
      </c>
      <c r="B67" s="5" t="s">
        <v>344</v>
      </c>
    </row>
    <row r="68" spans="1:2">
      <c r="A68" s="5" t="s">
        <v>345</v>
      </c>
      <c r="B68" s="5" t="s">
        <v>346</v>
      </c>
    </row>
    <row r="69" spans="1:2">
      <c r="A69" s="5" t="s">
        <v>44</v>
      </c>
      <c r="B69" s="5" t="s">
        <v>347</v>
      </c>
    </row>
    <row r="70" spans="1:2">
      <c r="A70" s="5" t="s">
        <v>348</v>
      </c>
      <c r="B70" s="5" t="s">
        <v>349</v>
      </c>
    </row>
    <row r="71" spans="1:2">
      <c r="A71" s="5" t="s">
        <v>350</v>
      </c>
      <c r="B71" s="5" t="s">
        <v>351</v>
      </c>
    </row>
    <row r="72" spans="1:2">
      <c r="A72" s="5" t="s">
        <v>352</v>
      </c>
      <c r="B72" s="5" t="s">
        <v>353</v>
      </c>
    </row>
    <row r="73" spans="1:2">
      <c r="A73" s="5" t="s">
        <v>354</v>
      </c>
      <c r="B73" s="5" t="s">
        <v>355</v>
      </c>
    </row>
    <row r="74" spans="1:2">
      <c r="A74" s="5" t="s">
        <v>40</v>
      </c>
      <c r="B74" s="5" t="s">
        <v>356</v>
      </c>
    </row>
    <row r="75" spans="1:2">
      <c r="A75" s="5" t="s">
        <v>43</v>
      </c>
      <c r="B75" s="5" t="s">
        <v>357</v>
      </c>
    </row>
    <row r="76" spans="1:2">
      <c r="A76" s="5" t="s">
        <v>358</v>
      </c>
      <c r="B76" s="5" t="s">
        <v>359</v>
      </c>
    </row>
    <row r="77" spans="1:2">
      <c r="A77" s="5" t="s">
        <v>360</v>
      </c>
      <c r="B77" s="5" t="s">
        <v>361</v>
      </c>
    </row>
    <row r="78" spans="1:2">
      <c r="A78" s="5" t="s">
        <v>41</v>
      </c>
      <c r="B78" s="5" t="s">
        <v>362</v>
      </c>
    </row>
    <row r="79" spans="1:2">
      <c r="A79" s="5" t="s">
        <v>363</v>
      </c>
      <c r="B79" s="5" t="s">
        <v>364</v>
      </c>
    </row>
    <row r="80" spans="1:2">
      <c r="A80" s="5" t="s">
        <v>365</v>
      </c>
      <c r="B80" s="5" t="s">
        <v>366</v>
      </c>
    </row>
    <row r="81" spans="1:2">
      <c r="A81" s="5" t="s">
        <v>367</v>
      </c>
      <c r="B81" s="5" t="s">
        <v>368</v>
      </c>
    </row>
    <row r="82" spans="1:2">
      <c r="A82" s="39" t="s">
        <v>369</v>
      </c>
      <c r="B82" s="39" t="s">
        <v>370</v>
      </c>
    </row>
    <row r="83" spans="1:2">
      <c r="A83" s="39" t="s">
        <v>371</v>
      </c>
      <c r="B83" s="39" t="s">
        <v>372</v>
      </c>
    </row>
    <row r="84" spans="1:2">
      <c r="A84" s="39" t="s">
        <v>373</v>
      </c>
      <c r="B84" s="39" t="s">
        <v>374</v>
      </c>
    </row>
    <row r="85" spans="1:2">
      <c r="A85" s="39" t="s">
        <v>375</v>
      </c>
      <c r="B85" s="39" t="s">
        <v>376</v>
      </c>
    </row>
    <row r="86" spans="1:2">
      <c r="A86" s="39" t="s">
        <v>377</v>
      </c>
      <c r="B86" s="39" t="s">
        <v>378</v>
      </c>
    </row>
    <row r="87" spans="1:2">
      <c r="A87" s="39" t="s">
        <v>379</v>
      </c>
      <c r="B87" s="39" t="s">
        <v>380</v>
      </c>
    </row>
    <row r="88" spans="1:2">
      <c r="A88" s="39" t="s">
        <v>381</v>
      </c>
      <c r="B88" s="39" t="s">
        <v>382</v>
      </c>
    </row>
    <row r="89" spans="1:2">
      <c r="A89" s="39" t="s">
        <v>383</v>
      </c>
      <c r="B89" s="39" t="s">
        <v>384</v>
      </c>
    </row>
    <row r="90" spans="1:2">
      <c r="A90" s="39" t="s">
        <v>385</v>
      </c>
      <c r="B90" s="39" t="s">
        <v>386</v>
      </c>
    </row>
    <row r="91" spans="1:2">
      <c r="A91" s="39" t="s">
        <v>387</v>
      </c>
      <c r="B91" s="39" t="s">
        <v>388</v>
      </c>
    </row>
    <row r="92" spans="1:2">
      <c r="A92" s="39" t="s">
        <v>389</v>
      </c>
      <c r="B92" s="39" t="s">
        <v>390</v>
      </c>
    </row>
    <row r="93" spans="1:2">
      <c r="A93" s="39" t="s">
        <v>391</v>
      </c>
      <c r="B93" s="39" t="s">
        <v>392</v>
      </c>
    </row>
    <row r="94" spans="1:2">
      <c r="A94" s="39" t="s">
        <v>736</v>
      </c>
      <c r="B94" s="39" t="s">
        <v>393</v>
      </c>
    </row>
    <row r="95" spans="1:2">
      <c r="A95" s="39" t="s">
        <v>725</v>
      </c>
      <c r="B95" s="39" t="s">
        <v>394</v>
      </c>
    </row>
    <row r="96" spans="1:2">
      <c r="A96" s="39" t="s">
        <v>726</v>
      </c>
      <c r="B96" s="39" t="s">
        <v>395</v>
      </c>
    </row>
    <row r="97" spans="1:2">
      <c r="A97" s="39" t="s">
        <v>727</v>
      </c>
      <c r="B97" s="39" t="s">
        <v>396</v>
      </c>
    </row>
    <row r="98" spans="1:2">
      <c r="A98" s="39" t="s">
        <v>728</v>
      </c>
      <c r="B98" s="39" t="s">
        <v>397</v>
      </c>
    </row>
    <row r="99" spans="1:2">
      <c r="A99" s="39" t="s">
        <v>729</v>
      </c>
      <c r="B99" s="39" t="s">
        <v>398</v>
      </c>
    </row>
    <row r="100" spans="1:2">
      <c r="A100" s="39" t="s">
        <v>730</v>
      </c>
      <c r="B100" s="39" t="s">
        <v>399</v>
      </c>
    </row>
    <row r="101" spans="1:2">
      <c r="A101" s="39" t="s">
        <v>731</v>
      </c>
      <c r="B101" s="39" t="s">
        <v>400</v>
      </c>
    </row>
    <row r="102" spans="1:2">
      <c r="A102" s="39" t="s">
        <v>732</v>
      </c>
      <c r="B102" s="39" t="s">
        <v>401</v>
      </c>
    </row>
    <row r="103" spans="1:2">
      <c r="A103" s="39" t="s">
        <v>733</v>
      </c>
      <c r="B103" s="39" t="s">
        <v>402</v>
      </c>
    </row>
    <row r="104" spans="1:2">
      <c r="A104" s="39" t="s">
        <v>734</v>
      </c>
      <c r="B104" s="39" t="s">
        <v>403</v>
      </c>
    </row>
    <row r="105" spans="1:2">
      <c r="A105" s="39" t="s">
        <v>735</v>
      </c>
      <c r="B105" s="39" t="s">
        <v>404</v>
      </c>
    </row>
    <row r="106" spans="1:2">
      <c r="A106" s="39" t="s">
        <v>405</v>
      </c>
      <c r="B106" s="39" t="s">
        <v>406</v>
      </c>
    </row>
    <row r="107" spans="1:2">
      <c r="A107" s="39" t="s">
        <v>407</v>
      </c>
      <c r="B107" s="39" t="s">
        <v>408</v>
      </c>
    </row>
    <row r="108" spans="1:2">
      <c r="A108" s="39" t="s">
        <v>409</v>
      </c>
      <c r="B108" s="39" t="s">
        <v>410</v>
      </c>
    </row>
    <row r="109" spans="1:2">
      <c r="A109" s="39" t="s">
        <v>411</v>
      </c>
      <c r="B109" s="39" t="s">
        <v>412</v>
      </c>
    </row>
    <row r="110" spans="1:2">
      <c r="A110" s="39" t="s">
        <v>413</v>
      </c>
      <c r="B110" s="39" t="s">
        <v>414</v>
      </c>
    </row>
    <row r="111" spans="1:2">
      <c r="A111" s="39" t="s">
        <v>415</v>
      </c>
      <c r="B111" s="39" t="s">
        <v>416</v>
      </c>
    </row>
    <row r="112" spans="1:2">
      <c r="A112" s="39" t="s">
        <v>417</v>
      </c>
      <c r="B112" s="39" t="s">
        <v>418</v>
      </c>
    </row>
    <row r="113" spans="1:2">
      <c r="A113" s="39" t="s">
        <v>419</v>
      </c>
      <c r="B113" s="39" t="s">
        <v>420</v>
      </c>
    </row>
    <row r="114" spans="1:2">
      <c r="A114" s="39" t="s">
        <v>421</v>
      </c>
      <c r="B114" s="39" t="s">
        <v>422</v>
      </c>
    </row>
    <row r="115" spans="1:2">
      <c r="A115" s="39" t="s">
        <v>423</v>
      </c>
      <c r="B115" s="39" t="s">
        <v>424</v>
      </c>
    </row>
    <row r="116" spans="1:2">
      <c r="A116" s="39" t="s">
        <v>425</v>
      </c>
      <c r="B116" s="39" t="s">
        <v>426</v>
      </c>
    </row>
    <row r="117" spans="1:2">
      <c r="A117" s="39" t="s">
        <v>427</v>
      </c>
      <c r="B117" s="39" t="s">
        <v>428</v>
      </c>
    </row>
    <row r="118" spans="1:2">
      <c r="A118" s="39" t="s">
        <v>429</v>
      </c>
      <c r="B118" s="39" t="s">
        <v>430</v>
      </c>
    </row>
    <row r="119" spans="1:2">
      <c r="A119" s="39" t="s">
        <v>431</v>
      </c>
      <c r="B119" s="39" t="s">
        <v>432</v>
      </c>
    </row>
    <row r="120" spans="1:2">
      <c r="A120" s="39" t="s">
        <v>433</v>
      </c>
      <c r="B120" s="39" t="s">
        <v>434</v>
      </c>
    </row>
    <row r="121" spans="1:2">
      <c r="A121" s="39" t="s">
        <v>435</v>
      </c>
      <c r="B121" s="39" t="s">
        <v>436</v>
      </c>
    </row>
    <row r="122" spans="1:2">
      <c r="A122" s="39" t="s">
        <v>437</v>
      </c>
      <c r="B122" s="39" t="s">
        <v>438</v>
      </c>
    </row>
    <row r="123" spans="1:2">
      <c r="A123" s="39" t="s">
        <v>439</v>
      </c>
      <c r="B123" s="39" t="s">
        <v>440</v>
      </c>
    </row>
    <row r="124" spans="1:2">
      <c r="A124" s="39" t="s">
        <v>441</v>
      </c>
      <c r="B124" s="39" t="s">
        <v>442</v>
      </c>
    </row>
    <row r="125" spans="1:2">
      <c r="A125" s="39" t="s">
        <v>443</v>
      </c>
      <c r="B125" s="39" t="s">
        <v>444</v>
      </c>
    </row>
    <row r="126" spans="1:2">
      <c r="A126" s="39" t="s">
        <v>445</v>
      </c>
      <c r="B126" s="39" t="s">
        <v>446</v>
      </c>
    </row>
    <row r="127" spans="1:2">
      <c r="A127" s="39" t="s">
        <v>447</v>
      </c>
      <c r="B127" s="39" t="s">
        <v>448</v>
      </c>
    </row>
    <row r="128" spans="1:2">
      <c r="A128" s="39" t="s">
        <v>449</v>
      </c>
      <c r="B128" s="39" t="s">
        <v>450</v>
      </c>
    </row>
    <row r="129" spans="1:2">
      <c r="A129" s="39" t="s">
        <v>451</v>
      </c>
      <c r="B129" s="39" t="s">
        <v>452</v>
      </c>
    </row>
    <row r="130" spans="1:2">
      <c r="A130" s="39" t="s">
        <v>453</v>
      </c>
      <c r="B130" s="39" t="s">
        <v>454</v>
      </c>
    </row>
    <row r="131" spans="1:2">
      <c r="A131" s="39" t="s">
        <v>455</v>
      </c>
      <c r="B131" s="39" t="s">
        <v>456</v>
      </c>
    </row>
    <row r="132" spans="1:2">
      <c r="A132" s="39" t="s">
        <v>457</v>
      </c>
      <c r="B132" s="39" t="s">
        <v>458</v>
      </c>
    </row>
    <row r="133" spans="1:2">
      <c r="A133" s="39" t="s">
        <v>459</v>
      </c>
      <c r="B133" s="39" t="s">
        <v>460</v>
      </c>
    </row>
    <row r="134" spans="1:2">
      <c r="A134" s="39" t="s">
        <v>461</v>
      </c>
      <c r="B134" s="39" t="s">
        <v>462</v>
      </c>
    </row>
    <row r="135" spans="1:2">
      <c r="A135" s="39" t="s">
        <v>463</v>
      </c>
      <c r="B135" s="39" t="s">
        <v>464</v>
      </c>
    </row>
    <row r="136" spans="1:2">
      <c r="A136" s="39" t="s">
        <v>465</v>
      </c>
      <c r="B136" s="39" t="s">
        <v>466</v>
      </c>
    </row>
    <row r="137" spans="1:2">
      <c r="A137" s="39" t="s">
        <v>467</v>
      </c>
      <c r="B137" s="39" t="s">
        <v>468</v>
      </c>
    </row>
    <row r="138" spans="1:2">
      <c r="A138" s="39" t="s">
        <v>469</v>
      </c>
      <c r="B138" s="39" t="s">
        <v>470</v>
      </c>
    </row>
    <row r="139" spans="1:2">
      <c r="A139" s="39" t="s">
        <v>471</v>
      </c>
      <c r="B139" s="39" t="s">
        <v>472</v>
      </c>
    </row>
    <row r="140" spans="1:2">
      <c r="A140" s="39" t="s">
        <v>473</v>
      </c>
      <c r="B140" s="39" t="s">
        <v>474</v>
      </c>
    </row>
    <row r="141" spans="1:2">
      <c r="A141" s="39" t="s">
        <v>475</v>
      </c>
      <c r="B141" s="39" t="s">
        <v>476</v>
      </c>
    </row>
    <row r="142" spans="1:2">
      <c r="A142" s="39" t="s">
        <v>477</v>
      </c>
      <c r="B142" s="39" t="s">
        <v>478</v>
      </c>
    </row>
    <row r="143" spans="1:2">
      <c r="A143" s="39" t="s">
        <v>479</v>
      </c>
      <c r="B143" s="39" t="s">
        <v>480</v>
      </c>
    </row>
    <row r="144" spans="1:2">
      <c r="A144" s="39" t="s">
        <v>481</v>
      </c>
      <c r="B144" s="39" t="s">
        <v>482</v>
      </c>
    </row>
    <row r="145" spans="1:2">
      <c r="A145" s="39" t="s">
        <v>483</v>
      </c>
      <c r="B145" s="39" t="s">
        <v>484</v>
      </c>
    </row>
    <row r="146" spans="1:2">
      <c r="A146" s="39" t="s">
        <v>485</v>
      </c>
      <c r="B146" s="39" t="s">
        <v>55</v>
      </c>
    </row>
    <row r="147" spans="1:2">
      <c r="A147" s="39" t="s">
        <v>712</v>
      </c>
      <c r="B147" s="39" t="s">
        <v>486</v>
      </c>
    </row>
    <row r="148" spans="1:2">
      <c r="A148" s="39" t="s">
        <v>713</v>
      </c>
      <c r="B148" s="39" t="s">
        <v>487</v>
      </c>
    </row>
    <row r="149" spans="1:2">
      <c r="A149" s="39" t="s">
        <v>714</v>
      </c>
      <c r="B149" s="39" t="s">
        <v>488</v>
      </c>
    </row>
    <row r="150" spans="1:2">
      <c r="A150" s="39" t="s">
        <v>715</v>
      </c>
      <c r="B150" s="39" t="s">
        <v>489</v>
      </c>
    </row>
    <row r="151" spans="1:2">
      <c r="A151" s="39" t="s">
        <v>716</v>
      </c>
      <c r="B151" s="39" t="s">
        <v>490</v>
      </c>
    </row>
    <row r="152" spans="1:2">
      <c r="A152" s="39" t="s">
        <v>717</v>
      </c>
      <c r="B152" s="39" t="s">
        <v>491</v>
      </c>
    </row>
    <row r="153" spans="1:2">
      <c r="A153" s="39" t="s">
        <v>718</v>
      </c>
      <c r="B153" s="39" t="s">
        <v>492</v>
      </c>
    </row>
    <row r="154" spans="1:2">
      <c r="A154" s="39" t="s">
        <v>719</v>
      </c>
      <c r="B154" s="39" t="s">
        <v>493</v>
      </c>
    </row>
    <row r="155" spans="1:2">
      <c r="A155" s="39" t="s">
        <v>720</v>
      </c>
      <c r="B155" s="39" t="s">
        <v>494</v>
      </c>
    </row>
    <row r="156" spans="1:2">
      <c r="A156" s="39" t="s">
        <v>721</v>
      </c>
      <c r="B156" s="39" t="s">
        <v>495</v>
      </c>
    </row>
    <row r="157" spans="1:2">
      <c r="A157" s="39" t="s">
        <v>722</v>
      </c>
      <c r="B157" s="39" t="s">
        <v>496</v>
      </c>
    </row>
    <row r="158" spans="1:2">
      <c r="A158" s="39" t="s">
        <v>723</v>
      </c>
      <c r="B158" s="39" t="s">
        <v>497</v>
      </c>
    </row>
    <row r="159" spans="1:2">
      <c r="A159" s="39" t="s">
        <v>724</v>
      </c>
      <c r="B159" s="39" t="s">
        <v>498</v>
      </c>
    </row>
    <row r="160" spans="1:2">
      <c r="A160" s="39" t="s">
        <v>499</v>
      </c>
      <c r="B160" s="39" t="s">
        <v>500</v>
      </c>
    </row>
    <row r="161" spans="1:2">
      <c r="A161" s="5" t="s">
        <v>501</v>
      </c>
      <c r="B161" s="5" t="s">
        <v>502</v>
      </c>
    </row>
    <row r="162" spans="1:2">
      <c r="A162" s="5" t="s">
        <v>503</v>
      </c>
      <c r="B162" s="5" t="s">
        <v>504</v>
      </c>
    </row>
    <row r="163" spans="1:2">
      <c r="A163" s="5" t="s">
        <v>505</v>
      </c>
      <c r="B163" s="5" t="s">
        <v>506</v>
      </c>
    </row>
    <row r="164" spans="1:2">
      <c r="A164" s="5" t="s">
        <v>507</v>
      </c>
      <c r="B164" s="5" t="s">
        <v>508</v>
      </c>
    </row>
    <row r="165" spans="1:2">
      <c r="A165" s="5" t="s">
        <v>509</v>
      </c>
      <c r="B165" s="5" t="s">
        <v>510</v>
      </c>
    </row>
    <row r="166" spans="1:2">
      <c r="A166" s="5" t="s">
        <v>511</v>
      </c>
      <c r="B166" s="5" t="s">
        <v>512</v>
      </c>
    </row>
    <row r="167" spans="1:2">
      <c r="A167" s="5" t="s">
        <v>513</v>
      </c>
      <c r="B167" s="5" t="s">
        <v>514</v>
      </c>
    </row>
    <row r="168" spans="1:2">
      <c r="A168" s="5" t="s">
        <v>515</v>
      </c>
      <c r="B168" s="5" t="s">
        <v>516</v>
      </c>
    </row>
    <row r="169" spans="1:2">
      <c r="A169" s="5" t="s">
        <v>517</v>
      </c>
      <c r="B169" s="5" t="s">
        <v>518</v>
      </c>
    </row>
    <row r="170" spans="1:2">
      <c r="A170" s="5" t="s">
        <v>519</v>
      </c>
      <c r="B170" s="5" t="s">
        <v>520</v>
      </c>
    </row>
    <row r="171" spans="1:2">
      <c r="A171" s="5" t="s">
        <v>521</v>
      </c>
      <c r="B171" s="5" t="s">
        <v>522</v>
      </c>
    </row>
    <row r="172" spans="1:2">
      <c r="A172" s="5" t="s">
        <v>523</v>
      </c>
      <c r="B172" s="5" t="s">
        <v>524</v>
      </c>
    </row>
    <row r="173" spans="1:2">
      <c r="A173" s="5" t="s">
        <v>525</v>
      </c>
      <c r="B173" s="5" t="s">
        <v>526</v>
      </c>
    </row>
    <row r="174" spans="1:2">
      <c r="A174" s="5" t="s">
        <v>527</v>
      </c>
      <c r="B174" s="5" t="s">
        <v>528</v>
      </c>
    </row>
    <row r="175" spans="1:2">
      <c r="A175" s="5" t="s">
        <v>529</v>
      </c>
      <c r="B175" s="5" t="s">
        <v>530</v>
      </c>
    </row>
    <row r="176" spans="1:2">
      <c r="A176" s="5" t="s">
        <v>531</v>
      </c>
      <c r="B176" s="5" t="s">
        <v>532</v>
      </c>
    </row>
    <row r="177" spans="1:2">
      <c r="A177" s="5" t="s">
        <v>533</v>
      </c>
      <c r="B177" s="5" t="s">
        <v>534</v>
      </c>
    </row>
    <row r="178" spans="1:2">
      <c r="A178" s="5" t="s">
        <v>535</v>
      </c>
      <c r="B178" s="5" t="s">
        <v>536</v>
      </c>
    </row>
    <row r="179" spans="1:2">
      <c r="A179" s="5" t="s">
        <v>537</v>
      </c>
      <c r="B179" s="5" t="s">
        <v>538</v>
      </c>
    </row>
    <row r="180" spans="1:2">
      <c r="A180" s="5" t="s">
        <v>539</v>
      </c>
      <c r="B180" s="5" t="s">
        <v>540</v>
      </c>
    </row>
    <row r="181" spans="1:2">
      <c r="A181" s="5" t="s">
        <v>541</v>
      </c>
      <c r="B181" s="5" t="s">
        <v>542</v>
      </c>
    </row>
    <row r="182" spans="1:2">
      <c r="A182" s="5" t="s">
        <v>543</v>
      </c>
      <c r="B182" s="5" t="s">
        <v>544</v>
      </c>
    </row>
    <row r="183" spans="1:2">
      <c r="A183" s="5" t="s">
        <v>545</v>
      </c>
      <c r="B183" s="5" t="s">
        <v>546</v>
      </c>
    </row>
    <row r="184" spans="1:2">
      <c r="A184" s="5" t="s">
        <v>547</v>
      </c>
      <c r="B184" s="5" t="s">
        <v>548</v>
      </c>
    </row>
    <row r="185" spans="1:2">
      <c r="A185" s="5" t="s">
        <v>549</v>
      </c>
      <c r="B185" s="5" t="s">
        <v>550</v>
      </c>
    </row>
    <row r="186" spans="1:2">
      <c r="A186" s="5" t="s">
        <v>551</v>
      </c>
      <c r="B186" s="5" t="s">
        <v>552</v>
      </c>
    </row>
    <row r="187" spans="1:2">
      <c r="A187" s="5" t="s">
        <v>553</v>
      </c>
      <c r="B187" s="5" t="s">
        <v>554</v>
      </c>
    </row>
    <row r="188" spans="1:2">
      <c r="A188" s="5" t="s">
        <v>555</v>
      </c>
      <c r="B188" s="5" t="s">
        <v>556</v>
      </c>
    </row>
    <row r="189" spans="1:2">
      <c r="A189" s="5" t="s">
        <v>557</v>
      </c>
      <c r="B189" s="5" t="s">
        <v>558</v>
      </c>
    </row>
    <row r="190" spans="1:2">
      <c r="A190" s="5" t="s">
        <v>559</v>
      </c>
      <c r="B190" s="5" t="s">
        <v>560</v>
      </c>
    </row>
    <row r="191" spans="1:2">
      <c r="A191" s="5" t="s">
        <v>561</v>
      </c>
      <c r="B191" s="5" t="s">
        <v>562</v>
      </c>
    </row>
    <row r="192" spans="1:2">
      <c r="A192" s="5" t="s">
        <v>563</v>
      </c>
      <c r="B192" s="5" t="s">
        <v>564</v>
      </c>
    </row>
    <row r="193" spans="1:2">
      <c r="A193" s="5" t="s">
        <v>565</v>
      </c>
      <c r="B193" s="5" t="s">
        <v>566</v>
      </c>
    </row>
    <row r="194" spans="1:2">
      <c r="A194" s="5" t="s">
        <v>567</v>
      </c>
      <c r="B194" s="5" t="s">
        <v>568</v>
      </c>
    </row>
    <row r="195" spans="1:2">
      <c r="A195" s="5" t="s">
        <v>569</v>
      </c>
      <c r="B195" s="5" t="s">
        <v>570</v>
      </c>
    </row>
    <row r="196" spans="1:2">
      <c r="A196" s="5" t="s">
        <v>571</v>
      </c>
      <c r="B196" s="5" t="s">
        <v>572</v>
      </c>
    </row>
    <row r="197" spans="1:2">
      <c r="A197" s="5" t="s">
        <v>573</v>
      </c>
      <c r="B197" s="5" t="s">
        <v>574</v>
      </c>
    </row>
    <row r="198" spans="1:2">
      <c r="A198" s="5" t="s">
        <v>575</v>
      </c>
      <c r="B198" s="5" t="s">
        <v>576</v>
      </c>
    </row>
    <row r="199" spans="1:2">
      <c r="A199" s="5" t="s">
        <v>577</v>
      </c>
      <c r="B199" s="5" t="s">
        <v>578</v>
      </c>
    </row>
    <row r="200" spans="1:2">
      <c r="A200" s="5" t="s">
        <v>579</v>
      </c>
      <c r="B200" s="5" t="s">
        <v>580</v>
      </c>
    </row>
    <row r="201" spans="1:2">
      <c r="A201" s="5" t="s">
        <v>581</v>
      </c>
      <c r="B201" s="5" t="s">
        <v>582</v>
      </c>
    </row>
    <row r="202" spans="1:2">
      <c r="A202" s="5" t="s">
        <v>583</v>
      </c>
      <c r="B202" s="5" t="s">
        <v>584</v>
      </c>
    </row>
    <row r="203" spans="1:2">
      <c r="A203" s="5" t="s">
        <v>585</v>
      </c>
      <c r="B203" s="5" t="s">
        <v>586</v>
      </c>
    </row>
    <row r="204" spans="1:2">
      <c r="A204" s="5" t="s">
        <v>587</v>
      </c>
      <c r="B204" s="5" t="s">
        <v>588</v>
      </c>
    </row>
    <row r="205" spans="1:2">
      <c r="A205" s="5" t="s">
        <v>589</v>
      </c>
      <c r="B205" s="5" t="s">
        <v>590</v>
      </c>
    </row>
    <row r="206" spans="1:2">
      <c r="A206" s="5" t="s">
        <v>591</v>
      </c>
      <c r="B206" s="5" t="s">
        <v>592</v>
      </c>
    </row>
    <row r="207" spans="1:2">
      <c r="A207" s="5" t="s">
        <v>593</v>
      </c>
      <c r="B207" s="5" t="s">
        <v>594</v>
      </c>
    </row>
    <row r="208" spans="1:2">
      <c r="A208" s="5" t="s">
        <v>595</v>
      </c>
      <c r="B208" s="5" t="s">
        <v>596</v>
      </c>
    </row>
    <row r="209" spans="1:2">
      <c r="A209" s="5" t="s">
        <v>597</v>
      </c>
      <c r="B209" s="5" t="s">
        <v>598</v>
      </c>
    </row>
    <row r="210" spans="1:2">
      <c r="A210" s="5" t="s">
        <v>599</v>
      </c>
      <c r="B210" s="5" t="s">
        <v>600</v>
      </c>
    </row>
    <row r="211" spans="1:2">
      <c r="A211" s="5" t="s">
        <v>601</v>
      </c>
      <c r="B211" s="5" t="s">
        <v>602</v>
      </c>
    </row>
    <row r="212" spans="1:2">
      <c r="A212" s="5" t="s">
        <v>603</v>
      </c>
      <c r="B212" s="5" t="s">
        <v>604</v>
      </c>
    </row>
    <row r="213" spans="1:2">
      <c r="A213" s="5" t="s">
        <v>605</v>
      </c>
      <c r="B213" s="5" t="s">
        <v>606</v>
      </c>
    </row>
    <row r="214" spans="1:2">
      <c r="A214" s="5" t="s">
        <v>607</v>
      </c>
      <c r="B214" s="5" t="s">
        <v>608</v>
      </c>
    </row>
    <row r="215" spans="1:2">
      <c r="A215" s="5" t="s">
        <v>609</v>
      </c>
      <c r="B215" s="5" t="s">
        <v>610</v>
      </c>
    </row>
    <row r="216" spans="1:2">
      <c r="A216" s="5" t="s">
        <v>611</v>
      </c>
      <c r="B216" s="5" t="s">
        <v>612</v>
      </c>
    </row>
    <row r="217" spans="1:2">
      <c r="A217" s="5" t="s">
        <v>613</v>
      </c>
      <c r="B217" s="5" t="s">
        <v>614</v>
      </c>
    </row>
    <row r="218" spans="1:2">
      <c r="A218" s="5" t="s">
        <v>615</v>
      </c>
      <c r="B218" s="5" t="s">
        <v>616</v>
      </c>
    </row>
    <row r="219" spans="1:2">
      <c r="A219" s="5" t="s">
        <v>617</v>
      </c>
      <c r="B219" s="5" t="s">
        <v>618</v>
      </c>
    </row>
    <row r="220" spans="1:2">
      <c r="A220" s="5" t="s">
        <v>619</v>
      </c>
      <c r="B220" s="5" t="s">
        <v>620</v>
      </c>
    </row>
    <row r="221" spans="1:2">
      <c r="A221" s="5" t="s">
        <v>621</v>
      </c>
      <c r="B221" s="5" t="s">
        <v>622</v>
      </c>
    </row>
    <row r="222" spans="1:2">
      <c r="A222" s="5" t="s">
        <v>623</v>
      </c>
      <c r="B222" s="5" t="s">
        <v>624</v>
      </c>
    </row>
    <row r="223" spans="1:2">
      <c r="A223" s="5" t="s">
        <v>625</v>
      </c>
      <c r="B223" s="5" t="s">
        <v>626</v>
      </c>
    </row>
    <row r="224" spans="1:2">
      <c r="A224" s="5" t="s">
        <v>627</v>
      </c>
      <c r="B224" s="5" t="s">
        <v>628</v>
      </c>
    </row>
    <row r="225" spans="1:2">
      <c r="A225" s="5" t="s">
        <v>629</v>
      </c>
      <c r="B225" s="5" t="s">
        <v>630</v>
      </c>
    </row>
    <row r="226" spans="1:2">
      <c r="A226" s="5" t="s">
        <v>631</v>
      </c>
      <c r="B226" s="5" t="s">
        <v>632</v>
      </c>
    </row>
    <row r="227" spans="1:2">
      <c r="A227" s="5" t="s">
        <v>633</v>
      </c>
      <c r="B227" s="5" t="s">
        <v>634</v>
      </c>
    </row>
    <row r="228" spans="1:2">
      <c r="A228" s="5" t="s">
        <v>635</v>
      </c>
      <c r="B228" s="5" t="s">
        <v>636</v>
      </c>
    </row>
    <row r="229" spans="1:2">
      <c r="A229" s="5" t="s">
        <v>637</v>
      </c>
      <c r="B229" s="5" t="s">
        <v>638</v>
      </c>
    </row>
    <row r="230" spans="1:2">
      <c r="A230" s="5" t="s">
        <v>639</v>
      </c>
      <c r="B230" s="5" t="s">
        <v>640</v>
      </c>
    </row>
    <row r="231" spans="1:2">
      <c r="A231" s="5" t="s">
        <v>641</v>
      </c>
      <c r="B231" s="5" t="s">
        <v>642</v>
      </c>
    </row>
    <row r="232" spans="1:2">
      <c r="A232" s="5" t="s">
        <v>643</v>
      </c>
      <c r="B232" s="5" t="s">
        <v>644</v>
      </c>
    </row>
    <row r="233" spans="1:2">
      <c r="A233" s="5" t="s">
        <v>645</v>
      </c>
      <c r="B233" s="5" t="s">
        <v>646</v>
      </c>
    </row>
    <row r="234" spans="1:2">
      <c r="A234" s="5" t="s">
        <v>647</v>
      </c>
      <c r="B234" s="5" t="s">
        <v>648</v>
      </c>
    </row>
    <row r="235" spans="1:2">
      <c r="A235" s="5" t="s">
        <v>649</v>
      </c>
      <c r="B235" s="5" t="s">
        <v>650</v>
      </c>
    </row>
    <row r="236" spans="1:2">
      <c r="A236" s="5" t="s">
        <v>651</v>
      </c>
      <c r="B236" s="5" t="s">
        <v>652</v>
      </c>
    </row>
    <row r="237" spans="1:2">
      <c r="A237" s="5" t="s">
        <v>653</v>
      </c>
      <c r="B237" s="5" t="s">
        <v>654</v>
      </c>
    </row>
    <row r="238" spans="1:2">
      <c r="A238" s="5" t="s">
        <v>655</v>
      </c>
      <c r="B238" s="5" t="s">
        <v>656</v>
      </c>
    </row>
    <row r="239" spans="1:2">
      <c r="A239" s="5" t="s">
        <v>657</v>
      </c>
      <c r="B239" s="5" t="s">
        <v>658</v>
      </c>
    </row>
    <row r="240" spans="1:2">
      <c r="A240" s="5" t="s">
        <v>659</v>
      </c>
      <c r="B240" s="5" t="s">
        <v>660</v>
      </c>
    </row>
    <row r="241" spans="1:2">
      <c r="A241" s="5" t="s">
        <v>661</v>
      </c>
      <c r="B241" s="5" t="s">
        <v>662</v>
      </c>
    </row>
    <row r="242" spans="1:2">
      <c r="A242" s="5" t="s">
        <v>663</v>
      </c>
      <c r="B242" s="5" t="s">
        <v>664</v>
      </c>
    </row>
    <row r="243" spans="1:2">
      <c r="A243" s="5" t="s">
        <v>665</v>
      </c>
      <c r="B243" s="5" t="s">
        <v>666</v>
      </c>
    </row>
    <row r="244" spans="1:2">
      <c r="A244" s="5" t="s">
        <v>667</v>
      </c>
      <c r="B244" s="5" t="s">
        <v>668</v>
      </c>
    </row>
    <row r="245" spans="1:2">
      <c r="A245" s="5" t="s">
        <v>669</v>
      </c>
      <c r="B245" s="5" t="s">
        <v>670</v>
      </c>
    </row>
    <row r="246" spans="1:2">
      <c r="A246" s="5" t="s">
        <v>671</v>
      </c>
      <c r="B246" s="5" t="s">
        <v>672</v>
      </c>
    </row>
    <row r="247" spans="1:2">
      <c r="A247" s="5" t="s">
        <v>673</v>
      </c>
      <c r="B247" s="5" t="s">
        <v>674</v>
      </c>
    </row>
    <row r="248" spans="1:2">
      <c r="A248" s="5" t="s">
        <v>675</v>
      </c>
      <c r="B248" s="5" t="s">
        <v>676</v>
      </c>
    </row>
    <row r="249" spans="1:2">
      <c r="A249" s="5" t="s">
        <v>677</v>
      </c>
      <c r="B249" s="5" t="s">
        <v>678</v>
      </c>
    </row>
    <row r="250" spans="1:2">
      <c r="A250" s="5" t="s">
        <v>679</v>
      </c>
      <c r="B250" s="5" t="s">
        <v>680</v>
      </c>
    </row>
    <row r="251" spans="1:2">
      <c r="A251" s="5" t="s">
        <v>681</v>
      </c>
      <c r="B251" s="5" t="s">
        <v>682</v>
      </c>
    </row>
    <row r="252" spans="1:2">
      <c r="A252" s="5" t="s">
        <v>683</v>
      </c>
      <c r="B252" s="5" t="s">
        <v>684</v>
      </c>
    </row>
    <row r="253" spans="1:2">
      <c r="A253" s="5" t="s">
        <v>685</v>
      </c>
      <c r="B253" s="5" t="s">
        <v>686</v>
      </c>
    </row>
    <row r="254" spans="1:2">
      <c r="A254" s="5" t="s">
        <v>687</v>
      </c>
      <c r="B254" s="5" t="s">
        <v>688</v>
      </c>
    </row>
    <row r="255" spans="1:2">
      <c r="A255" s="5" t="s">
        <v>689</v>
      </c>
      <c r="B255" s="5" t="s">
        <v>690</v>
      </c>
    </row>
    <row r="256" spans="1:2">
      <c r="A256" s="5" t="s">
        <v>691</v>
      </c>
      <c r="B256" s="5" t="s">
        <v>692</v>
      </c>
    </row>
    <row r="257" spans="1:2">
      <c r="A257" s="5" t="s">
        <v>693</v>
      </c>
      <c r="B257" s="5" t="s">
        <v>694</v>
      </c>
    </row>
    <row r="258" spans="1:2">
      <c r="A258" s="5" t="s">
        <v>695</v>
      </c>
      <c r="B258" s="5" t="s">
        <v>696</v>
      </c>
    </row>
    <row r="259" spans="1:2">
      <c r="A259" s="5" t="s">
        <v>697</v>
      </c>
      <c r="B259" s="5" t="s">
        <v>698</v>
      </c>
    </row>
    <row r="260" spans="1:2">
      <c r="A260" s="5" t="s">
        <v>699</v>
      </c>
      <c r="B260" s="5" t="s">
        <v>700</v>
      </c>
    </row>
    <row r="261" spans="1:2">
      <c r="A261" s="5" t="s">
        <v>42</v>
      </c>
      <c r="B261" s="5" t="s">
        <v>342</v>
      </c>
    </row>
    <row r="262" spans="1:2">
      <c r="A262" s="5" t="s">
        <v>343</v>
      </c>
      <c r="B262" s="5" t="s">
        <v>344</v>
      </c>
    </row>
    <row r="263" spans="1:2">
      <c r="A263" s="5" t="s">
        <v>345</v>
      </c>
      <c r="B263" s="5" t="s">
        <v>346</v>
      </c>
    </row>
    <row r="264" spans="1:2">
      <c r="A264" s="5" t="s">
        <v>44</v>
      </c>
      <c r="B264" s="5" t="s">
        <v>347</v>
      </c>
    </row>
    <row r="265" spans="1:2">
      <c r="A265" s="5" t="s">
        <v>348</v>
      </c>
      <c r="B265" s="5" t="s">
        <v>349</v>
      </c>
    </row>
    <row r="266" spans="1:2">
      <c r="A266" s="5" t="s">
        <v>350</v>
      </c>
      <c r="B266" s="5" t="s">
        <v>351</v>
      </c>
    </row>
    <row r="267" spans="1:2">
      <c r="A267" s="5" t="s">
        <v>352</v>
      </c>
      <c r="B267" s="5" t="s">
        <v>353</v>
      </c>
    </row>
    <row r="268" spans="1:2">
      <c r="A268" s="5" t="s">
        <v>354</v>
      </c>
      <c r="B268" s="5" t="s">
        <v>355</v>
      </c>
    </row>
    <row r="269" spans="1:2">
      <c r="A269" s="5" t="s">
        <v>40</v>
      </c>
      <c r="B269" s="5" t="s">
        <v>356</v>
      </c>
    </row>
    <row r="270" spans="1:2">
      <c r="A270" s="5" t="s">
        <v>43</v>
      </c>
      <c r="B270" s="5" t="s">
        <v>357</v>
      </c>
    </row>
    <row r="271" spans="1:2">
      <c r="A271" s="5" t="s">
        <v>358</v>
      </c>
      <c r="B271" s="5" t="s">
        <v>359</v>
      </c>
    </row>
    <row r="272" spans="1:2">
      <c r="A272" s="5" t="s">
        <v>360</v>
      </c>
      <c r="B272" s="5" t="s">
        <v>361</v>
      </c>
    </row>
    <row r="273" spans="1:2">
      <c r="A273" s="5" t="s">
        <v>41</v>
      </c>
      <c r="B273" s="5" t="s">
        <v>362</v>
      </c>
    </row>
    <row r="274" spans="1:2">
      <c r="A274" s="5" t="s">
        <v>45</v>
      </c>
      <c r="B274" s="5" t="s">
        <v>364</v>
      </c>
    </row>
    <row r="275" spans="1:2">
      <c r="A275" s="5" t="s">
        <v>365</v>
      </c>
      <c r="B275" s="5" t="s">
        <v>366</v>
      </c>
    </row>
    <row r="276" spans="1:2">
      <c r="A276" s="5" t="s">
        <v>367</v>
      </c>
      <c r="B276" s="5" t="s">
        <v>368</v>
      </c>
    </row>
    <row r="277" spans="1:2">
      <c r="A277" s="5" t="s">
        <v>235</v>
      </c>
      <c r="B277" s="5" t="s">
        <v>234</v>
      </c>
    </row>
    <row r="278" spans="1:2">
      <c r="A278" s="5" t="s">
        <v>237</v>
      </c>
      <c r="B278" s="5" t="s">
        <v>236</v>
      </c>
    </row>
    <row r="279" spans="1:2">
      <c r="A279" s="5" t="s">
        <v>239</v>
      </c>
      <c r="B279" s="5" t="s">
        <v>238</v>
      </c>
    </row>
    <row r="280" spans="1:2">
      <c r="A280" s="5" t="s">
        <v>241</v>
      </c>
      <c r="B280" s="5" t="s">
        <v>240</v>
      </c>
    </row>
    <row r="281" spans="1:2">
      <c r="A281" s="5" t="s">
        <v>235</v>
      </c>
      <c r="B281" s="5" t="s">
        <v>242</v>
      </c>
    </row>
    <row r="282" spans="1:2">
      <c r="A282" s="5" t="s">
        <v>237</v>
      </c>
      <c r="B282" s="5" t="s">
        <v>243</v>
      </c>
    </row>
    <row r="283" spans="1:2">
      <c r="A283" s="5" t="s">
        <v>239</v>
      </c>
      <c r="B283" s="5" t="s">
        <v>244</v>
      </c>
    </row>
    <row r="284" spans="1:2">
      <c r="A284" s="5" t="s">
        <v>241</v>
      </c>
      <c r="B284" s="5" t="s">
        <v>245</v>
      </c>
    </row>
    <row r="285" spans="1:2">
      <c r="A285" s="5" t="s">
        <v>247</v>
      </c>
      <c r="B285" s="5" t="s">
        <v>246</v>
      </c>
    </row>
    <row r="286" spans="1:2">
      <c r="A286" s="5" t="s">
        <v>249</v>
      </c>
      <c r="B286" s="5" t="s">
        <v>248</v>
      </c>
    </row>
    <row r="287" spans="1:2">
      <c r="A287" s="5" t="s">
        <v>251</v>
      </c>
      <c r="B287" s="5" t="s">
        <v>250</v>
      </c>
    </row>
    <row r="288" spans="1:2">
      <c r="A288" s="5" t="s">
        <v>253</v>
      </c>
      <c r="B288" s="5" t="s">
        <v>252</v>
      </c>
    </row>
    <row r="289" spans="1:2">
      <c r="A289" s="5" t="s">
        <v>247</v>
      </c>
      <c r="B289" s="5" t="s">
        <v>254</v>
      </c>
    </row>
    <row r="290" spans="1:2">
      <c r="A290" s="5" t="s">
        <v>249</v>
      </c>
      <c r="B290" s="5" t="s">
        <v>255</v>
      </c>
    </row>
    <row r="291" spans="1:2">
      <c r="A291" s="5" t="s">
        <v>251</v>
      </c>
      <c r="B291" s="5" t="s">
        <v>256</v>
      </c>
    </row>
    <row r="292" spans="1:2">
      <c r="A292" s="5" t="s">
        <v>253</v>
      </c>
      <c r="B292" s="5" t="s">
        <v>257</v>
      </c>
    </row>
    <row r="293" spans="1:2">
      <c r="A293" s="5" t="s">
        <v>259</v>
      </c>
      <c r="B293" s="5" t="s">
        <v>258</v>
      </c>
    </row>
    <row r="294" spans="1:2">
      <c r="A294" s="5" t="s">
        <v>261</v>
      </c>
      <c r="B294" s="5" t="s">
        <v>260</v>
      </c>
    </row>
    <row r="295" spans="1:2">
      <c r="A295" s="5" t="s">
        <v>263</v>
      </c>
      <c r="B295" s="5" t="s">
        <v>262</v>
      </c>
    </row>
    <row r="296" spans="1:2">
      <c r="A296" s="5" t="s">
        <v>265</v>
      </c>
      <c r="B296" s="5" t="s">
        <v>264</v>
      </c>
    </row>
    <row r="297" spans="1:2">
      <c r="A297" s="5" t="s">
        <v>259</v>
      </c>
      <c r="B297" s="5" t="s">
        <v>266</v>
      </c>
    </row>
    <row r="298" spans="1:2">
      <c r="A298" s="5" t="s">
        <v>261</v>
      </c>
      <c r="B298" s="5" t="s">
        <v>267</v>
      </c>
    </row>
    <row r="299" spans="1:2">
      <c r="A299" s="5" t="s">
        <v>263</v>
      </c>
      <c r="B299" s="5" t="s">
        <v>268</v>
      </c>
    </row>
    <row r="300" spans="1:2">
      <c r="A300" s="5" t="s">
        <v>265</v>
      </c>
      <c r="B300" s="5" t="s">
        <v>269</v>
      </c>
    </row>
    <row r="301" spans="1:2">
      <c r="A301" s="5" t="s">
        <v>271</v>
      </c>
      <c r="B301" s="5" t="s">
        <v>270</v>
      </c>
    </row>
    <row r="302" spans="1:2">
      <c r="A302" s="5" t="s">
        <v>273</v>
      </c>
      <c r="B302" s="5" t="s">
        <v>272</v>
      </c>
    </row>
    <row r="303" spans="1:2">
      <c r="A303" s="5" t="s">
        <v>275</v>
      </c>
      <c r="B303" s="5" t="s">
        <v>274</v>
      </c>
    </row>
    <row r="304" spans="1:2">
      <c r="A304" s="5" t="s">
        <v>277</v>
      </c>
      <c r="B304" s="5" t="s">
        <v>276</v>
      </c>
    </row>
    <row r="305" spans="1:2">
      <c r="A305" s="37" t="s">
        <v>279</v>
      </c>
      <c r="B305" s="36" t="s">
        <v>278</v>
      </c>
    </row>
    <row r="306" spans="1:2">
      <c r="A306" s="37" t="s">
        <v>281</v>
      </c>
      <c r="B306" s="36" t="s">
        <v>280</v>
      </c>
    </row>
    <row r="307" spans="1:2">
      <c r="A307" s="37" t="s">
        <v>283</v>
      </c>
      <c r="B307" s="36" t="s">
        <v>282</v>
      </c>
    </row>
    <row r="308" spans="1:2">
      <c r="A308" s="37" t="s">
        <v>285</v>
      </c>
      <c r="B308" s="36" t="s">
        <v>284</v>
      </c>
    </row>
    <row r="309" spans="1:2">
      <c r="A309" s="37" t="s">
        <v>287</v>
      </c>
      <c r="B309" s="36" t="s">
        <v>286</v>
      </c>
    </row>
    <row r="310" spans="1:2">
      <c r="A310" s="37" t="s">
        <v>289</v>
      </c>
      <c r="B310" s="36" t="s">
        <v>288</v>
      </c>
    </row>
    <row r="311" spans="1:2">
      <c r="A311" s="37" t="s">
        <v>291</v>
      </c>
      <c r="B311" s="36" t="s">
        <v>290</v>
      </c>
    </row>
    <row r="312" spans="1:2">
      <c r="A312" s="37" t="s">
        <v>293</v>
      </c>
      <c r="B312" s="36" t="s">
        <v>292</v>
      </c>
    </row>
    <row r="313" spans="1:2">
      <c r="A313" s="37" t="s">
        <v>295</v>
      </c>
      <c r="B313" s="36" t="s">
        <v>294</v>
      </c>
    </row>
    <row r="314" spans="1:2">
      <c r="A314" s="37" t="s">
        <v>297</v>
      </c>
      <c r="B314" s="36" t="s">
        <v>296</v>
      </c>
    </row>
    <row r="315" spans="1:2">
      <c r="A315" s="37" t="s">
        <v>299</v>
      </c>
      <c r="B315" s="36" t="s">
        <v>298</v>
      </c>
    </row>
    <row r="316" spans="1:2">
      <c r="A316" s="37" t="s">
        <v>301</v>
      </c>
      <c r="B316" s="36" t="s">
        <v>300</v>
      </c>
    </row>
    <row r="317" spans="1:2">
      <c r="A317" s="5" t="s">
        <v>303</v>
      </c>
      <c r="B317" s="5" t="s">
        <v>302</v>
      </c>
    </row>
    <row r="318" spans="1:2">
      <c r="A318" s="5" t="s">
        <v>305</v>
      </c>
      <c r="B318" s="5" t="s">
        <v>304</v>
      </c>
    </row>
    <row r="319" spans="1:2">
      <c r="A319" s="5" t="s">
        <v>307</v>
      </c>
      <c r="B319" s="5" t="s">
        <v>306</v>
      </c>
    </row>
    <row r="320" spans="1:2">
      <c r="A320" s="5" t="s">
        <v>309</v>
      </c>
      <c r="B320" s="5" t="s">
        <v>308</v>
      </c>
    </row>
    <row r="321" spans="1:2">
      <c r="A321" s="5" t="s">
        <v>303</v>
      </c>
      <c r="B321" s="5" t="s">
        <v>310</v>
      </c>
    </row>
    <row r="322" spans="1:2">
      <c r="A322" s="5" t="s">
        <v>305</v>
      </c>
      <c r="B322" s="5" t="s">
        <v>311</v>
      </c>
    </row>
    <row r="323" spans="1:2">
      <c r="A323" s="5" t="s">
        <v>307</v>
      </c>
      <c r="B323" s="5" t="s">
        <v>312</v>
      </c>
    </row>
    <row r="324" spans="1:2">
      <c r="A324" s="5" t="s">
        <v>309</v>
      </c>
      <c r="B324" s="5" t="s">
        <v>313</v>
      </c>
    </row>
    <row r="325" spans="1:2">
      <c r="A325" s="5" t="s">
        <v>315</v>
      </c>
      <c r="B325" s="5" t="s">
        <v>314</v>
      </c>
    </row>
    <row r="326" spans="1:2">
      <c r="A326" s="5" t="s">
        <v>317</v>
      </c>
      <c r="B326" s="5" t="s">
        <v>316</v>
      </c>
    </row>
    <row r="327" spans="1:2">
      <c r="A327" s="5" t="s">
        <v>319</v>
      </c>
      <c r="B327" s="5" t="s">
        <v>318</v>
      </c>
    </row>
    <row r="328" spans="1:2">
      <c r="A328" s="5" t="s">
        <v>321</v>
      </c>
      <c r="B328" s="5" t="s">
        <v>320</v>
      </c>
    </row>
    <row r="329" spans="1:2">
      <c r="A329" s="5" t="s">
        <v>315</v>
      </c>
      <c r="B329" s="5" t="s">
        <v>322</v>
      </c>
    </row>
    <row r="330" spans="1:2">
      <c r="A330" s="5" t="s">
        <v>317</v>
      </c>
      <c r="B330" s="5" t="s">
        <v>323</v>
      </c>
    </row>
    <row r="331" spans="1:2">
      <c r="A331" s="5" t="s">
        <v>319</v>
      </c>
      <c r="B331" s="5" t="s">
        <v>324</v>
      </c>
    </row>
    <row r="332" spans="1:2">
      <c r="A332" s="5" t="s">
        <v>321</v>
      </c>
      <c r="B332" s="5" t="s">
        <v>325</v>
      </c>
    </row>
    <row r="333" spans="1:2">
      <c r="A333" s="5" t="s">
        <v>327</v>
      </c>
      <c r="B333" s="5" t="s">
        <v>326</v>
      </c>
    </row>
    <row r="334" spans="1:2">
      <c r="A334" s="5" t="s">
        <v>329</v>
      </c>
      <c r="B334" s="5" t="s">
        <v>328</v>
      </c>
    </row>
    <row r="335" spans="1:2">
      <c r="A335" s="5" t="s">
        <v>331</v>
      </c>
      <c r="B335" s="5" t="s">
        <v>330</v>
      </c>
    </row>
    <row r="336" spans="1:2">
      <c r="A336" s="5" t="s">
        <v>333</v>
      </c>
      <c r="B336" s="5" t="s">
        <v>332</v>
      </c>
    </row>
    <row r="337" spans="1:2">
      <c r="A337" s="5" t="s">
        <v>335</v>
      </c>
      <c r="B337" s="5" t="s">
        <v>334</v>
      </c>
    </row>
    <row r="338" spans="1:2">
      <c r="A338" s="5" t="s">
        <v>337</v>
      </c>
      <c r="B338" s="5" t="s">
        <v>336</v>
      </c>
    </row>
    <row r="339" spans="1:2">
      <c r="A339" s="5" t="s">
        <v>339</v>
      </c>
      <c r="B339" s="5" t="s">
        <v>338</v>
      </c>
    </row>
    <row r="340" spans="1:2">
      <c r="A340" s="5" t="s">
        <v>341</v>
      </c>
      <c r="B340" s="5" t="s">
        <v>340</v>
      </c>
    </row>
    <row r="341" spans="1:2">
      <c r="A341" s="38" t="s">
        <v>342</v>
      </c>
      <c r="B341" s="5" t="s">
        <v>42</v>
      </c>
    </row>
    <row r="342" spans="1:2">
      <c r="A342" s="5" t="s">
        <v>344</v>
      </c>
      <c r="B342" s="5" t="s">
        <v>343</v>
      </c>
    </row>
    <row r="343" spans="1:2">
      <c r="A343" s="5" t="s">
        <v>346</v>
      </c>
      <c r="B343" s="5" t="s">
        <v>345</v>
      </c>
    </row>
    <row r="344" spans="1:2">
      <c r="A344" s="5" t="s">
        <v>347</v>
      </c>
      <c r="B344" s="5" t="s">
        <v>44</v>
      </c>
    </row>
    <row r="345" spans="1:2">
      <c r="A345" s="5" t="s">
        <v>349</v>
      </c>
      <c r="B345" s="5" t="s">
        <v>348</v>
      </c>
    </row>
    <row r="346" spans="1:2">
      <c r="A346" s="5" t="s">
        <v>351</v>
      </c>
      <c r="B346" s="5" t="s">
        <v>350</v>
      </c>
    </row>
    <row r="347" spans="1:2">
      <c r="A347" s="5" t="s">
        <v>353</v>
      </c>
      <c r="B347" s="5" t="s">
        <v>352</v>
      </c>
    </row>
    <row r="348" spans="1:2">
      <c r="A348" s="5" t="s">
        <v>355</v>
      </c>
      <c r="B348" s="5" t="s">
        <v>354</v>
      </c>
    </row>
    <row r="349" spans="1:2">
      <c r="A349" s="5" t="s">
        <v>356</v>
      </c>
      <c r="B349" s="5" t="s">
        <v>40</v>
      </c>
    </row>
    <row r="350" spans="1:2">
      <c r="A350" s="5" t="s">
        <v>357</v>
      </c>
      <c r="B350" s="5" t="s">
        <v>43</v>
      </c>
    </row>
    <row r="351" spans="1:2">
      <c r="A351" s="5" t="s">
        <v>359</v>
      </c>
      <c r="B351" s="5" t="s">
        <v>358</v>
      </c>
    </row>
    <row r="352" spans="1:2">
      <c r="A352" s="5" t="s">
        <v>361</v>
      </c>
      <c r="B352" s="5" t="s">
        <v>360</v>
      </c>
    </row>
    <row r="353" spans="1:2">
      <c r="A353" s="5" t="s">
        <v>362</v>
      </c>
      <c r="B353" s="5" t="s">
        <v>41</v>
      </c>
    </row>
    <row r="354" spans="1:2">
      <c r="A354" s="5" t="s">
        <v>364</v>
      </c>
      <c r="B354" s="5" t="s">
        <v>363</v>
      </c>
    </row>
    <row r="355" spans="1:2">
      <c r="A355" s="5" t="s">
        <v>366</v>
      </c>
      <c r="B355" s="5" t="s">
        <v>365</v>
      </c>
    </row>
    <row r="356" spans="1:2">
      <c r="A356" s="5" t="s">
        <v>368</v>
      </c>
      <c r="B356" s="5" t="s">
        <v>367</v>
      </c>
    </row>
    <row r="357" spans="1:2">
      <c r="A357" s="39" t="s">
        <v>370</v>
      </c>
      <c r="B357" s="39" t="s">
        <v>369</v>
      </c>
    </row>
    <row r="358" spans="1:2">
      <c r="A358" s="39" t="s">
        <v>372</v>
      </c>
      <c r="B358" s="39" t="s">
        <v>371</v>
      </c>
    </row>
    <row r="359" spans="1:2">
      <c r="A359" s="39" t="s">
        <v>374</v>
      </c>
      <c r="B359" s="39" t="s">
        <v>373</v>
      </c>
    </row>
    <row r="360" spans="1:2">
      <c r="A360" s="39" t="s">
        <v>376</v>
      </c>
      <c r="B360" s="39" t="s">
        <v>375</v>
      </c>
    </row>
    <row r="361" spans="1:2">
      <c r="A361" s="39" t="s">
        <v>378</v>
      </c>
      <c r="B361" s="39" t="s">
        <v>377</v>
      </c>
    </row>
    <row r="362" spans="1:2">
      <c r="A362" s="39" t="s">
        <v>380</v>
      </c>
      <c r="B362" s="39" t="s">
        <v>379</v>
      </c>
    </row>
    <row r="363" spans="1:2">
      <c r="A363" s="39" t="s">
        <v>382</v>
      </c>
      <c r="B363" s="39" t="s">
        <v>381</v>
      </c>
    </row>
    <row r="364" spans="1:2">
      <c r="A364" s="39" t="s">
        <v>384</v>
      </c>
      <c r="B364" s="39" t="s">
        <v>383</v>
      </c>
    </row>
    <row r="365" spans="1:2">
      <c r="A365" s="39" t="s">
        <v>386</v>
      </c>
      <c r="B365" s="39" t="s">
        <v>385</v>
      </c>
    </row>
    <row r="366" spans="1:2">
      <c r="A366" s="39" t="s">
        <v>388</v>
      </c>
      <c r="B366" s="39" t="s">
        <v>387</v>
      </c>
    </row>
    <row r="367" spans="1:2">
      <c r="A367" s="39" t="s">
        <v>390</v>
      </c>
      <c r="B367" s="39" t="s">
        <v>389</v>
      </c>
    </row>
    <row r="368" spans="1:2">
      <c r="A368" s="39" t="s">
        <v>392</v>
      </c>
      <c r="B368" s="39" t="s">
        <v>391</v>
      </c>
    </row>
    <row r="369" spans="1:2">
      <c r="A369" s="39" t="s">
        <v>393</v>
      </c>
      <c r="B369" s="39" t="s">
        <v>736</v>
      </c>
    </row>
    <row r="370" spans="1:2">
      <c r="A370" s="39" t="s">
        <v>394</v>
      </c>
      <c r="B370" s="39" t="s">
        <v>725</v>
      </c>
    </row>
    <row r="371" spans="1:2">
      <c r="A371" s="39" t="s">
        <v>395</v>
      </c>
      <c r="B371" s="39" t="s">
        <v>726</v>
      </c>
    </row>
    <row r="372" spans="1:2">
      <c r="A372" s="39" t="s">
        <v>396</v>
      </c>
      <c r="B372" s="39" t="s">
        <v>727</v>
      </c>
    </row>
    <row r="373" spans="1:2">
      <c r="A373" s="39" t="s">
        <v>397</v>
      </c>
      <c r="B373" s="39" t="s">
        <v>728</v>
      </c>
    </row>
    <row r="374" spans="1:2">
      <c r="A374" s="39" t="s">
        <v>398</v>
      </c>
      <c r="B374" s="39" t="s">
        <v>729</v>
      </c>
    </row>
    <row r="375" spans="1:2">
      <c r="A375" s="39" t="s">
        <v>399</v>
      </c>
      <c r="B375" s="39" t="s">
        <v>730</v>
      </c>
    </row>
    <row r="376" spans="1:2">
      <c r="A376" s="39" t="s">
        <v>400</v>
      </c>
      <c r="B376" s="39" t="s">
        <v>731</v>
      </c>
    </row>
    <row r="377" spans="1:2">
      <c r="A377" s="39" t="s">
        <v>401</v>
      </c>
      <c r="B377" s="39" t="s">
        <v>732</v>
      </c>
    </row>
    <row r="378" spans="1:2">
      <c r="A378" s="39" t="s">
        <v>402</v>
      </c>
      <c r="B378" s="39" t="s">
        <v>733</v>
      </c>
    </row>
    <row r="379" spans="1:2">
      <c r="A379" s="39" t="s">
        <v>403</v>
      </c>
      <c r="B379" s="39" t="s">
        <v>734</v>
      </c>
    </row>
    <row r="380" spans="1:2">
      <c r="A380" s="39" t="s">
        <v>404</v>
      </c>
      <c r="B380" s="39" t="s">
        <v>735</v>
      </c>
    </row>
    <row r="381" spans="1:2">
      <c r="A381" s="39" t="s">
        <v>406</v>
      </c>
      <c r="B381" s="39" t="s">
        <v>405</v>
      </c>
    </row>
    <row r="382" spans="1:2">
      <c r="A382" s="39" t="s">
        <v>408</v>
      </c>
      <c r="B382" s="39" t="s">
        <v>407</v>
      </c>
    </row>
    <row r="383" spans="1:2">
      <c r="A383" s="39" t="s">
        <v>410</v>
      </c>
      <c r="B383" s="39" t="s">
        <v>409</v>
      </c>
    </row>
    <row r="384" spans="1:2">
      <c r="A384" s="39" t="s">
        <v>412</v>
      </c>
      <c r="B384" s="39" t="s">
        <v>411</v>
      </c>
    </row>
    <row r="385" spans="1:2">
      <c r="A385" s="39" t="s">
        <v>414</v>
      </c>
      <c r="B385" s="39" t="s">
        <v>413</v>
      </c>
    </row>
    <row r="386" spans="1:2">
      <c r="A386" s="39" t="s">
        <v>416</v>
      </c>
      <c r="B386" s="39" t="s">
        <v>415</v>
      </c>
    </row>
    <row r="387" spans="1:2">
      <c r="A387" s="39" t="s">
        <v>418</v>
      </c>
      <c r="B387" s="39" t="s">
        <v>417</v>
      </c>
    </row>
    <row r="388" spans="1:2">
      <c r="A388" s="39" t="s">
        <v>420</v>
      </c>
      <c r="B388" s="39" t="s">
        <v>419</v>
      </c>
    </row>
    <row r="389" spans="1:2">
      <c r="A389" s="39" t="s">
        <v>422</v>
      </c>
      <c r="B389" s="39" t="s">
        <v>421</v>
      </c>
    </row>
    <row r="390" spans="1:2">
      <c r="A390" s="39" t="s">
        <v>424</v>
      </c>
      <c r="B390" s="39" t="s">
        <v>423</v>
      </c>
    </row>
    <row r="391" spans="1:2">
      <c r="A391" s="39" t="s">
        <v>426</v>
      </c>
      <c r="B391" s="39" t="s">
        <v>425</v>
      </c>
    </row>
    <row r="392" spans="1:2">
      <c r="A392" s="39" t="s">
        <v>428</v>
      </c>
      <c r="B392" s="39" t="s">
        <v>427</v>
      </c>
    </row>
    <row r="393" spans="1:2">
      <c r="A393" s="39" t="s">
        <v>430</v>
      </c>
      <c r="B393" s="39" t="s">
        <v>429</v>
      </c>
    </row>
    <row r="394" spans="1:2">
      <c r="A394" s="39" t="s">
        <v>432</v>
      </c>
      <c r="B394" s="39" t="s">
        <v>431</v>
      </c>
    </row>
    <row r="395" spans="1:2">
      <c r="A395" s="39" t="s">
        <v>434</v>
      </c>
      <c r="B395" s="39" t="s">
        <v>433</v>
      </c>
    </row>
    <row r="396" spans="1:2">
      <c r="A396" s="39" t="s">
        <v>436</v>
      </c>
      <c r="B396" s="39" t="s">
        <v>435</v>
      </c>
    </row>
    <row r="397" spans="1:2">
      <c r="A397" s="39" t="s">
        <v>438</v>
      </c>
      <c r="B397" s="39" t="s">
        <v>437</v>
      </c>
    </row>
    <row r="398" spans="1:2">
      <c r="A398" s="39" t="s">
        <v>440</v>
      </c>
      <c r="B398" s="39" t="s">
        <v>439</v>
      </c>
    </row>
    <row r="399" spans="1:2">
      <c r="A399" s="39" t="s">
        <v>442</v>
      </c>
      <c r="B399" s="39" t="s">
        <v>441</v>
      </c>
    </row>
    <row r="400" spans="1:2">
      <c r="A400" s="39" t="s">
        <v>444</v>
      </c>
      <c r="B400" s="39" t="s">
        <v>443</v>
      </c>
    </row>
    <row r="401" spans="1:2">
      <c r="A401" s="39" t="s">
        <v>446</v>
      </c>
      <c r="B401" s="39" t="s">
        <v>445</v>
      </c>
    </row>
    <row r="402" spans="1:2">
      <c r="A402" s="39" t="s">
        <v>448</v>
      </c>
      <c r="B402" s="39" t="s">
        <v>447</v>
      </c>
    </row>
    <row r="403" spans="1:2">
      <c r="A403" s="39" t="s">
        <v>450</v>
      </c>
      <c r="B403" s="39" t="s">
        <v>449</v>
      </c>
    </row>
    <row r="404" spans="1:2">
      <c r="A404" s="39" t="s">
        <v>452</v>
      </c>
      <c r="B404" s="39" t="s">
        <v>451</v>
      </c>
    </row>
    <row r="405" spans="1:2">
      <c r="A405" s="39" t="s">
        <v>454</v>
      </c>
      <c r="B405" s="39" t="s">
        <v>453</v>
      </c>
    </row>
    <row r="406" spans="1:2">
      <c r="A406" s="39" t="s">
        <v>456</v>
      </c>
      <c r="B406" s="39" t="s">
        <v>455</v>
      </c>
    </row>
    <row r="407" spans="1:2">
      <c r="A407" s="39" t="s">
        <v>458</v>
      </c>
      <c r="B407" s="39" t="s">
        <v>457</v>
      </c>
    </row>
    <row r="408" spans="1:2">
      <c r="A408" s="39" t="s">
        <v>460</v>
      </c>
      <c r="B408" s="39" t="s">
        <v>459</v>
      </c>
    </row>
    <row r="409" spans="1:2">
      <c r="A409" s="39" t="s">
        <v>462</v>
      </c>
      <c r="B409" s="39" t="s">
        <v>461</v>
      </c>
    </row>
    <row r="410" spans="1:2">
      <c r="A410" s="39" t="s">
        <v>464</v>
      </c>
      <c r="B410" s="39" t="s">
        <v>463</v>
      </c>
    </row>
    <row r="411" spans="1:2">
      <c r="A411" s="39" t="s">
        <v>466</v>
      </c>
      <c r="B411" s="39" t="s">
        <v>465</v>
      </c>
    </row>
    <row r="412" spans="1:2">
      <c r="A412" s="39" t="s">
        <v>468</v>
      </c>
      <c r="B412" s="39" t="s">
        <v>467</v>
      </c>
    </row>
    <row r="413" spans="1:2">
      <c r="A413" s="39" t="s">
        <v>470</v>
      </c>
      <c r="B413" s="39" t="s">
        <v>469</v>
      </c>
    </row>
    <row r="414" spans="1:2">
      <c r="A414" s="39" t="s">
        <v>472</v>
      </c>
      <c r="B414" s="39" t="s">
        <v>471</v>
      </c>
    </row>
    <row r="415" spans="1:2">
      <c r="A415" s="39" t="s">
        <v>474</v>
      </c>
      <c r="B415" s="39" t="s">
        <v>473</v>
      </c>
    </row>
    <row r="416" spans="1:2">
      <c r="A416" s="39" t="s">
        <v>476</v>
      </c>
      <c r="B416" s="39" t="s">
        <v>475</v>
      </c>
    </row>
    <row r="417" spans="1:2">
      <c r="A417" s="39" t="s">
        <v>478</v>
      </c>
      <c r="B417" s="39" t="s">
        <v>477</v>
      </c>
    </row>
    <row r="418" spans="1:2">
      <c r="A418" s="39" t="s">
        <v>480</v>
      </c>
      <c r="B418" s="39" t="s">
        <v>479</v>
      </c>
    </row>
    <row r="419" spans="1:2">
      <c r="A419" s="39" t="s">
        <v>482</v>
      </c>
      <c r="B419" s="39" t="s">
        <v>481</v>
      </c>
    </row>
    <row r="420" spans="1:2">
      <c r="A420" s="39" t="s">
        <v>484</v>
      </c>
      <c r="B420" s="39" t="s">
        <v>483</v>
      </c>
    </row>
    <row r="421" spans="1:2">
      <c r="A421" s="39" t="s">
        <v>55</v>
      </c>
      <c r="B421" s="39" t="s">
        <v>485</v>
      </c>
    </row>
    <row r="422" spans="1:2">
      <c r="A422" s="39" t="s">
        <v>486</v>
      </c>
      <c r="B422" s="39" t="s">
        <v>712</v>
      </c>
    </row>
    <row r="423" spans="1:2">
      <c r="A423" s="39" t="s">
        <v>487</v>
      </c>
      <c r="B423" s="39" t="s">
        <v>713</v>
      </c>
    </row>
    <row r="424" spans="1:2">
      <c r="A424" s="39" t="s">
        <v>488</v>
      </c>
      <c r="B424" s="39" t="s">
        <v>714</v>
      </c>
    </row>
    <row r="425" spans="1:2">
      <c r="A425" s="39" t="s">
        <v>489</v>
      </c>
      <c r="B425" s="39" t="s">
        <v>715</v>
      </c>
    </row>
    <row r="426" spans="1:2">
      <c r="A426" s="39" t="s">
        <v>490</v>
      </c>
      <c r="B426" s="39" t="s">
        <v>716</v>
      </c>
    </row>
    <row r="427" spans="1:2">
      <c r="A427" s="39" t="s">
        <v>491</v>
      </c>
      <c r="B427" s="39" t="s">
        <v>717</v>
      </c>
    </row>
    <row r="428" spans="1:2">
      <c r="A428" s="39" t="s">
        <v>492</v>
      </c>
      <c r="B428" s="39" t="s">
        <v>718</v>
      </c>
    </row>
    <row r="429" spans="1:2">
      <c r="A429" s="39" t="s">
        <v>493</v>
      </c>
      <c r="B429" s="39" t="s">
        <v>719</v>
      </c>
    </row>
    <row r="430" spans="1:2">
      <c r="A430" s="39" t="s">
        <v>494</v>
      </c>
      <c r="B430" s="39" t="s">
        <v>720</v>
      </c>
    </row>
    <row r="431" spans="1:2">
      <c r="A431" s="39" t="s">
        <v>495</v>
      </c>
      <c r="B431" s="39" t="s">
        <v>721</v>
      </c>
    </row>
    <row r="432" spans="1:2">
      <c r="A432" s="39" t="s">
        <v>496</v>
      </c>
      <c r="B432" s="39" t="s">
        <v>722</v>
      </c>
    </row>
    <row r="433" spans="1:2">
      <c r="A433" s="39" t="s">
        <v>497</v>
      </c>
      <c r="B433" s="39" t="s">
        <v>723</v>
      </c>
    </row>
    <row r="434" spans="1:2">
      <c r="A434" s="39" t="s">
        <v>498</v>
      </c>
      <c r="B434" s="39" t="s">
        <v>724</v>
      </c>
    </row>
    <row r="435" spans="1:2">
      <c r="A435" s="39" t="s">
        <v>500</v>
      </c>
      <c r="B435" s="39" t="s">
        <v>499</v>
      </c>
    </row>
    <row r="436" spans="1:2">
      <c r="A436" s="5" t="s">
        <v>502</v>
      </c>
      <c r="B436" s="5" t="s">
        <v>501</v>
      </c>
    </row>
    <row r="437" spans="1:2">
      <c r="A437" s="5" t="s">
        <v>504</v>
      </c>
      <c r="B437" s="5" t="s">
        <v>503</v>
      </c>
    </row>
    <row r="438" spans="1:2">
      <c r="A438" s="5" t="s">
        <v>506</v>
      </c>
      <c r="B438" s="5" t="s">
        <v>505</v>
      </c>
    </row>
    <row r="439" spans="1:2">
      <c r="A439" s="5" t="s">
        <v>508</v>
      </c>
      <c r="B439" s="5" t="s">
        <v>507</v>
      </c>
    </row>
    <row r="440" spans="1:2">
      <c r="A440" s="5" t="s">
        <v>510</v>
      </c>
      <c r="B440" s="5" t="s">
        <v>509</v>
      </c>
    </row>
    <row r="441" spans="1:2">
      <c r="A441" s="5" t="s">
        <v>512</v>
      </c>
      <c r="B441" s="5" t="s">
        <v>511</v>
      </c>
    </row>
    <row r="442" spans="1:2">
      <c r="A442" s="5" t="s">
        <v>514</v>
      </c>
      <c r="B442" s="5" t="s">
        <v>513</v>
      </c>
    </row>
    <row r="443" spans="1:2">
      <c r="A443" s="5" t="s">
        <v>516</v>
      </c>
      <c r="B443" s="5" t="s">
        <v>515</v>
      </c>
    </row>
    <row r="444" spans="1:2">
      <c r="A444" s="5" t="s">
        <v>518</v>
      </c>
      <c r="B444" s="5" t="s">
        <v>517</v>
      </c>
    </row>
    <row r="445" spans="1:2">
      <c r="A445" s="5" t="s">
        <v>520</v>
      </c>
      <c r="B445" s="5" t="s">
        <v>519</v>
      </c>
    </row>
    <row r="446" spans="1:2">
      <c r="A446" s="5" t="s">
        <v>522</v>
      </c>
      <c r="B446" s="5" t="s">
        <v>521</v>
      </c>
    </row>
    <row r="447" spans="1:2">
      <c r="A447" s="5" t="s">
        <v>524</v>
      </c>
      <c r="B447" s="5" t="s">
        <v>523</v>
      </c>
    </row>
    <row r="448" spans="1:2">
      <c r="A448" s="5" t="s">
        <v>526</v>
      </c>
      <c r="B448" s="5" t="s">
        <v>525</v>
      </c>
    </row>
    <row r="449" spans="1:2">
      <c r="A449" s="5" t="s">
        <v>528</v>
      </c>
      <c r="B449" s="5" t="s">
        <v>527</v>
      </c>
    </row>
    <row r="450" spans="1:2">
      <c r="A450" s="5" t="s">
        <v>530</v>
      </c>
      <c r="B450" s="5" t="s">
        <v>529</v>
      </c>
    </row>
    <row r="451" spans="1:2">
      <c r="A451" s="5" t="s">
        <v>532</v>
      </c>
      <c r="B451" s="5" t="s">
        <v>531</v>
      </c>
    </row>
    <row r="452" spans="1:2">
      <c r="A452" s="5" t="s">
        <v>534</v>
      </c>
      <c r="B452" s="5" t="s">
        <v>533</v>
      </c>
    </row>
    <row r="453" spans="1:2">
      <c r="A453" s="5" t="s">
        <v>536</v>
      </c>
      <c r="B453" s="5" t="s">
        <v>535</v>
      </c>
    </row>
    <row r="454" spans="1:2">
      <c r="A454" s="5" t="s">
        <v>538</v>
      </c>
      <c r="B454" s="5" t="s">
        <v>537</v>
      </c>
    </row>
    <row r="455" spans="1:2">
      <c r="A455" s="5" t="s">
        <v>540</v>
      </c>
      <c r="B455" s="5" t="s">
        <v>539</v>
      </c>
    </row>
    <row r="456" spans="1:2">
      <c r="A456" s="5" t="s">
        <v>542</v>
      </c>
      <c r="B456" s="5" t="s">
        <v>541</v>
      </c>
    </row>
    <row r="457" spans="1:2">
      <c r="A457" s="5" t="s">
        <v>544</v>
      </c>
      <c r="B457" s="5" t="s">
        <v>543</v>
      </c>
    </row>
    <row r="458" spans="1:2">
      <c r="A458" s="5" t="s">
        <v>546</v>
      </c>
      <c r="B458" s="5" t="s">
        <v>545</v>
      </c>
    </row>
    <row r="459" spans="1:2">
      <c r="A459" s="5" t="s">
        <v>548</v>
      </c>
      <c r="B459" s="5" t="s">
        <v>547</v>
      </c>
    </row>
    <row r="460" spans="1:2">
      <c r="A460" s="5" t="s">
        <v>550</v>
      </c>
      <c r="B460" s="5" t="s">
        <v>549</v>
      </c>
    </row>
    <row r="461" spans="1:2">
      <c r="A461" s="5" t="s">
        <v>552</v>
      </c>
      <c r="B461" s="5" t="s">
        <v>551</v>
      </c>
    </row>
    <row r="462" spans="1:2">
      <c r="A462" s="5" t="s">
        <v>554</v>
      </c>
      <c r="B462" s="5" t="s">
        <v>553</v>
      </c>
    </row>
    <row r="463" spans="1:2">
      <c r="A463" s="5" t="s">
        <v>556</v>
      </c>
      <c r="B463" s="5" t="s">
        <v>555</v>
      </c>
    </row>
    <row r="464" spans="1:2">
      <c r="A464" s="5" t="s">
        <v>558</v>
      </c>
      <c r="B464" s="5" t="s">
        <v>557</v>
      </c>
    </row>
    <row r="465" spans="1:2">
      <c r="A465" s="5" t="s">
        <v>560</v>
      </c>
      <c r="B465" s="5" t="s">
        <v>559</v>
      </c>
    </row>
    <row r="466" spans="1:2">
      <c r="A466" s="5" t="s">
        <v>562</v>
      </c>
      <c r="B466" s="5" t="s">
        <v>561</v>
      </c>
    </row>
    <row r="467" spans="1:2">
      <c r="A467" s="5" t="s">
        <v>564</v>
      </c>
      <c r="B467" s="5" t="s">
        <v>563</v>
      </c>
    </row>
    <row r="468" spans="1:2">
      <c r="A468" s="5" t="s">
        <v>566</v>
      </c>
      <c r="B468" s="5" t="s">
        <v>565</v>
      </c>
    </row>
    <row r="469" spans="1:2">
      <c r="A469" s="5" t="s">
        <v>568</v>
      </c>
      <c r="B469" s="5" t="s">
        <v>567</v>
      </c>
    </row>
    <row r="470" spans="1:2">
      <c r="A470" s="5" t="s">
        <v>570</v>
      </c>
      <c r="B470" s="5" t="s">
        <v>569</v>
      </c>
    </row>
    <row r="471" spans="1:2">
      <c r="A471" s="5" t="s">
        <v>572</v>
      </c>
      <c r="B471" s="5" t="s">
        <v>571</v>
      </c>
    </row>
    <row r="472" spans="1:2">
      <c r="A472" s="5" t="s">
        <v>574</v>
      </c>
      <c r="B472" s="5" t="s">
        <v>573</v>
      </c>
    </row>
    <row r="473" spans="1:2">
      <c r="A473" s="5" t="s">
        <v>576</v>
      </c>
      <c r="B473" s="5" t="s">
        <v>575</v>
      </c>
    </row>
    <row r="474" spans="1:2">
      <c r="A474" s="5" t="s">
        <v>578</v>
      </c>
      <c r="B474" s="5" t="s">
        <v>577</v>
      </c>
    </row>
    <row r="475" spans="1:2">
      <c r="A475" s="5" t="s">
        <v>580</v>
      </c>
      <c r="B475" s="5" t="s">
        <v>579</v>
      </c>
    </row>
    <row r="476" spans="1:2">
      <c r="A476" s="5" t="s">
        <v>582</v>
      </c>
      <c r="B476" s="5" t="s">
        <v>581</v>
      </c>
    </row>
    <row r="477" spans="1:2">
      <c r="A477" s="5" t="s">
        <v>584</v>
      </c>
      <c r="B477" s="5" t="s">
        <v>583</v>
      </c>
    </row>
    <row r="478" spans="1:2">
      <c r="A478" s="5" t="s">
        <v>586</v>
      </c>
      <c r="B478" s="5" t="s">
        <v>585</v>
      </c>
    </row>
    <row r="479" spans="1:2">
      <c r="A479" s="5" t="s">
        <v>588</v>
      </c>
      <c r="B479" s="5" t="s">
        <v>587</v>
      </c>
    </row>
    <row r="480" spans="1:2">
      <c r="A480" s="5" t="s">
        <v>590</v>
      </c>
      <c r="B480" s="5" t="s">
        <v>589</v>
      </c>
    </row>
    <row r="481" spans="1:2">
      <c r="A481" s="5" t="s">
        <v>592</v>
      </c>
      <c r="B481" s="5" t="s">
        <v>591</v>
      </c>
    </row>
    <row r="482" spans="1:2">
      <c r="A482" s="5" t="s">
        <v>594</v>
      </c>
      <c r="B482" s="5" t="s">
        <v>593</v>
      </c>
    </row>
    <row r="483" spans="1:2">
      <c r="A483" s="5" t="s">
        <v>596</v>
      </c>
      <c r="B483" s="5" t="s">
        <v>595</v>
      </c>
    </row>
    <row r="484" spans="1:2">
      <c r="A484" s="5" t="s">
        <v>598</v>
      </c>
      <c r="B484" s="5" t="s">
        <v>597</v>
      </c>
    </row>
    <row r="485" spans="1:2">
      <c r="A485" s="5" t="s">
        <v>600</v>
      </c>
      <c r="B485" s="5" t="s">
        <v>599</v>
      </c>
    </row>
    <row r="486" spans="1:2">
      <c r="A486" s="5" t="s">
        <v>602</v>
      </c>
      <c r="B486" s="5" t="s">
        <v>601</v>
      </c>
    </row>
    <row r="487" spans="1:2">
      <c r="A487" s="5" t="s">
        <v>604</v>
      </c>
      <c r="B487" s="5" t="s">
        <v>603</v>
      </c>
    </row>
    <row r="488" spans="1:2">
      <c r="A488" s="5" t="s">
        <v>606</v>
      </c>
      <c r="B488" s="5" t="s">
        <v>605</v>
      </c>
    </row>
    <row r="489" spans="1:2">
      <c r="A489" s="5" t="s">
        <v>608</v>
      </c>
      <c r="B489" s="5" t="s">
        <v>607</v>
      </c>
    </row>
    <row r="490" spans="1:2">
      <c r="A490" s="5" t="s">
        <v>610</v>
      </c>
      <c r="B490" s="5" t="s">
        <v>609</v>
      </c>
    </row>
    <row r="491" spans="1:2">
      <c r="A491" s="5" t="s">
        <v>612</v>
      </c>
      <c r="B491" s="5" t="s">
        <v>611</v>
      </c>
    </row>
    <row r="492" spans="1:2">
      <c r="A492" s="5" t="s">
        <v>614</v>
      </c>
      <c r="B492" s="5" t="s">
        <v>613</v>
      </c>
    </row>
    <row r="493" spans="1:2">
      <c r="A493" s="5" t="s">
        <v>616</v>
      </c>
      <c r="B493" s="5" t="s">
        <v>615</v>
      </c>
    </row>
    <row r="494" spans="1:2">
      <c r="A494" s="5" t="s">
        <v>618</v>
      </c>
      <c r="B494" s="5" t="s">
        <v>617</v>
      </c>
    </row>
    <row r="495" spans="1:2">
      <c r="A495" s="5" t="s">
        <v>620</v>
      </c>
      <c r="B495" s="5" t="s">
        <v>619</v>
      </c>
    </row>
    <row r="496" spans="1:2">
      <c r="A496" s="5" t="s">
        <v>622</v>
      </c>
      <c r="B496" s="5" t="s">
        <v>621</v>
      </c>
    </row>
    <row r="497" spans="1:2">
      <c r="A497" s="5" t="s">
        <v>624</v>
      </c>
      <c r="B497" s="5" t="s">
        <v>623</v>
      </c>
    </row>
    <row r="498" spans="1:2">
      <c r="A498" s="5" t="s">
        <v>626</v>
      </c>
      <c r="B498" s="5" t="s">
        <v>625</v>
      </c>
    </row>
    <row r="499" spans="1:2">
      <c r="A499" s="5" t="s">
        <v>628</v>
      </c>
      <c r="B499" s="5" t="s">
        <v>627</v>
      </c>
    </row>
    <row r="500" spans="1:2">
      <c r="A500" s="5" t="s">
        <v>630</v>
      </c>
      <c r="B500" s="5" t="s">
        <v>629</v>
      </c>
    </row>
    <row r="501" spans="1:2">
      <c r="A501" s="5" t="s">
        <v>632</v>
      </c>
      <c r="B501" s="5" t="s">
        <v>631</v>
      </c>
    </row>
    <row r="502" spans="1:2">
      <c r="A502" s="5" t="s">
        <v>634</v>
      </c>
      <c r="B502" s="5" t="s">
        <v>633</v>
      </c>
    </row>
    <row r="503" spans="1:2">
      <c r="A503" s="5" t="s">
        <v>636</v>
      </c>
      <c r="B503" s="5" t="s">
        <v>635</v>
      </c>
    </row>
    <row r="504" spans="1:2">
      <c r="A504" s="5" t="s">
        <v>638</v>
      </c>
      <c r="B504" s="5" t="s">
        <v>637</v>
      </c>
    </row>
    <row r="505" spans="1:2">
      <c r="A505" s="5" t="s">
        <v>640</v>
      </c>
      <c r="B505" s="5" t="s">
        <v>639</v>
      </c>
    </row>
    <row r="506" spans="1:2">
      <c r="A506" s="5" t="s">
        <v>642</v>
      </c>
      <c r="B506" s="5" t="s">
        <v>641</v>
      </c>
    </row>
    <row r="507" spans="1:2">
      <c r="A507" s="5" t="s">
        <v>644</v>
      </c>
      <c r="B507" s="5" t="s">
        <v>643</v>
      </c>
    </row>
    <row r="508" spans="1:2">
      <c r="A508" s="5" t="s">
        <v>646</v>
      </c>
      <c r="B508" s="5" t="s">
        <v>645</v>
      </c>
    </row>
    <row r="509" spans="1:2">
      <c r="A509" s="5" t="s">
        <v>648</v>
      </c>
      <c r="B509" s="5" t="s">
        <v>647</v>
      </c>
    </row>
    <row r="510" spans="1:2">
      <c r="A510" s="5" t="s">
        <v>650</v>
      </c>
      <c r="B510" s="5" t="s">
        <v>649</v>
      </c>
    </row>
    <row r="511" spans="1:2">
      <c r="A511" s="5" t="s">
        <v>652</v>
      </c>
      <c r="B511" s="5" t="s">
        <v>651</v>
      </c>
    </row>
    <row r="512" spans="1:2">
      <c r="A512" s="5" t="s">
        <v>654</v>
      </c>
      <c r="B512" s="5" t="s">
        <v>653</v>
      </c>
    </row>
    <row r="513" spans="1:2">
      <c r="A513" s="5" t="s">
        <v>656</v>
      </c>
      <c r="B513" s="5" t="s">
        <v>655</v>
      </c>
    </row>
    <row r="514" spans="1:2">
      <c r="A514" s="5" t="s">
        <v>658</v>
      </c>
      <c r="B514" s="5" t="s">
        <v>657</v>
      </c>
    </row>
    <row r="515" spans="1:2">
      <c r="A515" s="5" t="s">
        <v>660</v>
      </c>
      <c r="B515" s="5" t="s">
        <v>659</v>
      </c>
    </row>
    <row r="516" spans="1:2">
      <c r="A516" s="5" t="s">
        <v>662</v>
      </c>
      <c r="B516" s="5" t="s">
        <v>661</v>
      </c>
    </row>
    <row r="517" spans="1:2">
      <c r="A517" s="5" t="s">
        <v>664</v>
      </c>
      <c r="B517" s="5" t="s">
        <v>663</v>
      </c>
    </row>
    <row r="518" spans="1:2">
      <c r="A518" s="5" t="s">
        <v>666</v>
      </c>
      <c r="B518" s="5" t="s">
        <v>665</v>
      </c>
    </row>
    <row r="519" spans="1:2">
      <c r="A519" s="5" t="s">
        <v>668</v>
      </c>
      <c r="B519" s="5" t="s">
        <v>667</v>
      </c>
    </row>
    <row r="520" spans="1:2">
      <c r="A520" s="5" t="s">
        <v>670</v>
      </c>
      <c r="B520" s="5" t="s">
        <v>669</v>
      </c>
    </row>
    <row r="521" spans="1:2">
      <c r="A521" s="5" t="s">
        <v>672</v>
      </c>
      <c r="B521" s="5" t="s">
        <v>671</v>
      </c>
    </row>
    <row r="522" spans="1:2">
      <c r="A522" s="5" t="s">
        <v>674</v>
      </c>
      <c r="B522" s="5" t="s">
        <v>673</v>
      </c>
    </row>
    <row r="523" spans="1:2">
      <c r="A523" s="5" t="s">
        <v>676</v>
      </c>
      <c r="B523" s="5" t="s">
        <v>675</v>
      </c>
    </row>
    <row r="524" spans="1:2">
      <c r="A524" s="5" t="s">
        <v>678</v>
      </c>
      <c r="B524" s="5" t="s">
        <v>677</v>
      </c>
    </row>
    <row r="525" spans="1:2">
      <c r="A525" s="5" t="s">
        <v>680</v>
      </c>
      <c r="B525" s="5" t="s">
        <v>679</v>
      </c>
    </row>
    <row r="526" spans="1:2">
      <c r="A526" s="5" t="s">
        <v>682</v>
      </c>
      <c r="B526" s="5" t="s">
        <v>681</v>
      </c>
    </row>
    <row r="527" spans="1:2">
      <c r="A527" s="5" t="s">
        <v>684</v>
      </c>
      <c r="B527" s="5" t="s">
        <v>683</v>
      </c>
    </row>
    <row r="528" spans="1:2">
      <c r="A528" s="5" t="s">
        <v>686</v>
      </c>
      <c r="B528" s="5" t="s">
        <v>685</v>
      </c>
    </row>
    <row r="529" spans="1:2">
      <c r="A529" s="5" t="s">
        <v>688</v>
      </c>
      <c r="B529" s="5" t="s">
        <v>687</v>
      </c>
    </row>
    <row r="530" spans="1:2">
      <c r="A530" s="5" t="s">
        <v>690</v>
      </c>
      <c r="B530" s="5" t="s">
        <v>689</v>
      </c>
    </row>
    <row r="531" spans="1:2">
      <c r="A531" s="5" t="s">
        <v>692</v>
      </c>
      <c r="B531" s="5" t="s">
        <v>691</v>
      </c>
    </row>
    <row r="532" spans="1:2">
      <c r="A532" s="5" t="s">
        <v>694</v>
      </c>
      <c r="B532" s="5" t="s">
        <v>693</v>
      </c>
    </row>
    <row r="533" spans="1:2">
      <c r="A533" s="5" t="s">
        <v>696</v>
      </c>
      <c r="B533" s="5" t="s">
        <v>695</v>
      </c>
    </row>
    <row r="534" spans="1:2">
      <c r="A534" s="5" t="s">
        <v>698</v>
      </c>
      <c r="B534" s="5" t="s">
        <v>697</v>
      </c>
    </row>
    <row r="535" spans="1:2">
      <c r="A535" s="5" t="s">
        <v>700</v>
      </c>
      <c r="B535" s="5" t="s">
        <v>699</v>
      </c>
    </row>
    <row r="536" spans="1:2">
      <c r="A536" s="5" t="s">
        <v>342</v>
      </c>
      <c r="B536" s="5" t="s">
        <v>42</v>
      </c>
    </row>
    <row r="537" spans="1:2">
      <c r="A537" s="5" t="s">
        <v>344</v>
      </c>
      <c r="B537" s="5" t="s">
        <v>343</v>
      </c>
    </row>
    <row r="538" spans="1:2">
      <c r="A538" s="5" t="s">
        <v>346</v>
      </c>
      <c r="B538" s="5" t="s">
        <v>345</v>
      </c>
    </row>
    <row r="539" spans="1:2">
      <c r="A539" s="5" t="s">
        <v>347</v>
      </c>
      <c r="B539" s="5" t="s">
        <v>44</v>
      </c>
    </row>
    <row r="540" spans="1:2">
      <c r="A540" s="5" t="s">
        <v>349</v>
      </c>
      <c r="B540" s="5" t="s">
        <v>348</v>
      </c>
    </row>
    <row r="541" spans="1:2">
      <c r="A541" s="5" t="s">
        <v>351</v>
      </c>
      <c r="B541" s="5" t="s">
        <v>350</v>
      </c>
    </row>
    <row r="542" spans="1:2">
      <c r="A542" s="5" t="s">
        <v>353</v>
      </c>
      <c r="B542" s="5" t="s">
        <v>352</v>
      </c>
    </row>
    <row r="543" spans="1:2">
      <c r="A543" s="5" t="s">
        <v>355</v>
      </c>
      <c r="B543" s="5" t="s">
        <v>354</v>
      </c>
    </row>
    <row r="544" spans="1:2">
      <c r="A544" s="5" t="s">
        <v>356</v>
      </c>
      <c r="B544" s="5" t="s">
        <v>40</v>
      </c>
    </row>
    <row r="545" spans="1:2">
      <c r="A545" s="5" t="s">
        <v>357</v>
      </c>
      <c r="B545" s="5" t="s">
        <v>43</v>
      </c>
    </row>
    <row r="546" spans="1:2">
      <c r="A546" s="5" t="s">
        <v>359</v>
      </c>
      <c r="B546" s="5" t="s">
        <v>358</v>
      </c>
    </row>
    <row r="547" spans="1:2">
      <c r="A547" s="5" t="s">
        <v>361</v>
      </c>
      <c r="B547" s="5" t="s">
        <v>360</v>
      </c>
    </row>
    <row r="548" spans="1:2">
      <c r="A548" s="5" t="s">
        <v>362</v>
      </c>
      <c r="B548" s="5" t="s">
        <v>41</v>
      </c>
    </row>
    <row r="549" spans="1:2">
      <c r="A549" s="5" t="s">
        <v>364</v>
      </c>
      <c r="B549" s="5" t="s">
        <v>45</v>
      </c>
    </row>
    <row r="550" spans="1:2">
      <c r="A550" s="5" t="s">
        <v>366</v>
      </c>
      <c r="B550" s="5" t="s">
        <v>365</v>
      </c>
    </row>
    <row r="551" spans="1:2">
      <c r="A551" s="5" t="s">
        <v>368</v>
      </c>
      <c r="B551" s="5" t="s">
        <v>367</v>
      </c>
    </row>
  </sheetData>
  <phoneticPr fontId="6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절압지도서</vt:lpstr>
      <vt:lpstr>PT</vt:lpstr>
      <vt:lpstr>DATA(STRIP LENGTH)</vt:lpstr>
      <vt:lpstr>인장력</vt:lpstr>
      <vt:lpstr>이원화</vt:lpstr>
      <vt:lpstr>PT!Print_Area</vt:lpstr>
      <vt:lpstr>절압지도서!Print_Area</vt:lpstr>
      <vt:lpstr>절압지도서!Print_Titles</vt:lpstr>
    </vt:vector>
  </TitlesOfParts>
  <Company>세림전자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명주</dc:creator>
  <cp:lastModifiedBy>108 PC</cp:lastModifiedBy>
  <cp:lastPrinted>2025-12-19T01:08:45Z</cp:lastPrinted>
  <dcterms:created xsi:type="dcterms:W3CDTF">2013-04-15T00:08:45Z</dcterms:created>
  <dcterms:modified xsi:type="dcterms:W3CDTF">2026-03-09T08:17:09Z</dcterms:modified>
</cp:coreProperties>
</file>